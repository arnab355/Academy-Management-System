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y monthly payment" sheetId="1" r:id="rId5"/>
    <sheet state="visible" name="Academy Balance sheet" sheetId="2" r:id="rId6"/>
    <sheet state="visible" name="Attendence" sheetId="3" r:id="rId7"/>
    <sheet state="visible" name="Football Inventory" sheetId="4" r:id="rId8"/>
    <sheet state="hidden" name="Sweat Gym information " sheetId="5" r:id="rId9"/>
    <sheet state="hidden" name="Academy" sheetId="6" r:id="rId10"/>
    <sheet state="hidden" name="Sweat Gym-24 Fees" sheetId="7" r:id="rId11"/>
    <sheet state="hidden" name="Sweat Gym-Balance Sheet 24" sheetId="8" r:id="rId12"/>
    <sheet state="hidden" name="Acacdemy Running-2024 " sheetId="9" r:id="rId13"/>
    <sheet state="hidden" name="Sweat Gym" sheetId="10" r:id="rId14"/>
    <sheet state="hidden" name="Sweat gym balance c" sheetId="11" r:id="rId15"/>
    <sheet state="hidden" name="Karate" sheetId="12" r:id="rId16"/>
    <sheet state="hidden" name="karate balance" sheetId="13" r:id="rId17"/>
    <sheet state="hidden" name="পত্রক8" sheetId="14" r:id="rId18"/>
    <sheet state="hidden" name="A.R.S.L" sheetId="15" r:id="rId19"/>
    <sheet state="hidden" name="পত্রক25" sheetId="16" r:id="rId20"/>
  </sheets>
  <definedNames>
    <definedName hidden="1" localSheetId="1" name="_xlnm._FilterDatabase">'Academy Balance sheet'!$A$2:$G$1019</definedName>
    <definedName hidden="1" localSheetId="6" name="_xlnm._FilterDatabase">'Sweat Gym-24 Fees'!$C$1:$C$998</definedName>
  </definedNames>
  <calcPr/>
</workbook>
</file>

<file path=xl/sharedStrings.xml><?xml version="1.0" encoding="utf-8"?>
<sst xmlns="http://schemas.openxmlformats.org/spreadsheetml/2006/main" count="5044" uniqueCount="1528">
  <si>
    <t>s/n</t>
  </si>
  <si>
    <t>Student Name</t>
  </si>
  <si>
    <t>Contact Number</t>
  </si>
  <si>
    <t>Admission Fee</t>
  </si>
  <si>
    <t>Admission Month</t>
  </si>
  <si>
    <t>Sequrity Deposite</t>
  </si>
  <si>
    <t>Active/Inactive</t>
  </si>
  <si>
    <t>July</t>
  </si>
  <si>
    <t>August</t>
  </si>
  <si>
    <t>September</t>
  </si>
  <si>
    <t>October</t>
  </si>
  <si>
    <t>November</t>
  </si>
  <si>
    <t>December</t>
  </si>
  <si>
    <t>January 2024</t>
  </si>
  <si>
    <t>February</t>
  </si>
  <si>
    <t>March</t>
  </si>
  <si>
    <t>April</t>
  </si>
  <si>
    <t>May</t>
  </si>
  <si>
    <t>June</t>
  </si>
  <si>
    <t>January-25</t>
  </si>
  <si>
    <t>February-25</t>
  </si>
  <si>
    <t>March-25</t>
  </si>
  <si>
    <t>April-25</t>
  </si>
  <si>
    <t>June-2026</t>
  </si>
  <si>
    <t>July-2026</t>
  </si>
  <si>
    <t>August-2026</t>
  </si>
  <si>
    <t>September-2026</t>
  </si>
  <si>
    <t>October-2026</t>
  </si>
  <si>
    <t>November-2026</t>
  </si>
  <si>
    <t>December2026</t>
  </si>
  <si>
    <t>Active</t>
  </si>
  <si>
    <t>Admission+Deposite</t>
  </si>
  <si>
    <t>Monthly Payment</t>
  </si>
  <si>
    <t>Date</t>
  </si>
  <si>
    <t>Method</t>
  </si>
  <si>
    <t>Due</t>
  </si>
  <si>
    <t>Athir arhan Rezon</t>
  </si>
  <si>
    <t>Drop</t>
  </si>
  <si>
    <t>drop</t>
  </si>
  <si>
    <t>bkash</t>
  </si>
  <si>
    <t xml:space="preserve">Mohammad Aiyan Ibrahim </t>
  </si>
  <si>
    <t xml:space="preserve">Samiul Islam </t>
  </si>
  <si>
    <t>Taha Faiyad Malik</t>
  </si>
  <si>
    <t xml:space="preserve">Rafi Zaman Khan </t>
  </si>
  <si>
    <t>Admission 6000</t>
  </si>
  <si>
    <t xml:space="preserve">Izaan Ibrahim Ahmed </t>
  </si>
  <si>
    <t>Azaan Tabish Rahman</t>
  </si>
  <si>
    <t>-</t>
  </si>
  <si>
    <t xml:space="preserve">Zohaib Raseen Bin Amran </t>
  </si>
  <si>
    <t>Md.Arham Awrd Hasan</t>
  </si>
  <si>
    <t>Raonar Rahman</t>
  </si>
  <si>
    <t>Aniruddha Kar</t>
  </si>
  <si>
    <t>Muntakim  Shahed Ajmain</t>
  </si>
  <si>
    <t>Syed Kashef Asfer</t>
  </si>
  <si>
    <t xml:space="preserve">Aariz Arham </t>
  </si>
  <si>
    <t>Adreeb Ahnaf</t>
  </si>
  <si>
    <t>Mihran Marzuq</t>
  </si>
  <si>
    <t>Aafraz Faizan</t>
  </si>
  <si>
    <t>Arhan Zaman</t>
  </si>
  <si>
    <t>Md Faizan Afnan Huda</t>
  </si>
  <si>
    <t>Sheikh Hasibul Bashar</t>
  </si>
  <si>
    <t>Tawhidul Islam Nirob</t>
  </si>
  <si>
    <t>Safwat Ahmed Faizan</t>
  </si>
  <si>
    <t>Faraj Uddin Ehan</t>
  </si>
  <si>
    <t>Omor Mahmud</t>
  </si>
  <si>
    <t>Safwat Shehran</t>
  </si>
  <si>
    <t>Md Azharul Islam</t>
  </si>
  <si>
    <t>Tasfiq Zaman Zabid</t>
  </si>
  <si>
    <t>Nayeef Hossain</t>
  </si>
  <si>
    <t>Md Awsaf Jabir Intishar</t>
  </si>
  <si>
    <t>Ahyiat Fawaz</t>
  </si>
  <si>
    <t>Burhanuddin Mostofa</t>
  </si>
  <si>
    <t>Ashtar Fakhri</t>
  </si>
  <si>
    <t>Md.Sabit Islam Ayaat</t>
  </si>
  <si>
    <t>off</t>
  </si>
  <si>
    <t>MM Wasi Al Ghanee Adyan</t>
  </si>
  <si>
    <t>Ridit Sarker</t>
  </si>
  <si>
    <t>Ahnaf Tawsin</t>
  </si>
  <si>
    <t>Ayan Bin Ahmed</t>
  </si>
  <si>
    <t>Md.Afraz</t>
  </si>
  <si>
    <t>Md.Mizbahul Haque</t>
  </si>
  <si>
    <t>Md.Samilul Haque</t>
  </si>
  <si>
    <t>Mohammad Ibn Hassan</t>
  </si>
  <si>
    <t>Safwan Ahmed Chowdhury</t>
  </si>
  <si>
    <t>Total</t>
  </si>
  <si>
    <t>Monthly Target</t>
  </si>
  <si>
    <t>Monthly Income</t>
  </si>
  <si>
    <t>Difference</t>
  </si>
  <si>
    <t>.</t>
  </si>
  <si>
    <t>Description</t>
  </si>
  <si>
    <t>Debit</t>
  </si>
  <si>
    <t>Credit</t>
  </si>
  <si>
    <t>Balance</t>
  </si>
  <si>
    <t>Remarks</t>
  </si>
  <si>
    <t>july</t>
  </si>
  <si>
    <t xml:space="preserve">Ayman Hossain </t>
  </si>
  <si>
    <t>Galam alian zayan</t>
  </si>
  <si>
    <t>Bkash</t>
  </si>
  <si>
    <t>Zesun bkash june</t>
  </si>
  <si>
    <t>Ayaz Bin Hasan</t>
  </si>
  <si>
    <t>Admission+July</t>
  </si>
  <si>
    <t>Shaikh yasaar osman shagor</t>
  </si>
  <si>
    <t>Zohaib Adiyan Ahmed</t>
  </si>
  <si>
    <t>withdraw</t>
  </si>
  <si>
    <t>Samiul haque</t>
  </si>
  <si>
    <t>July+August fee</t>
  </si>
  <si>
    <t>Hemant Poddar</t>
  </si>
  <si>
    <t>Admission,  july due</t>
  </si>
  <si>
    <t>Tafheem Mahdi Yafi</t>
  </si>
  <si>
    <t>july fee</t>
  </si>
  <si>
    <t>Marzuk</t>
  </si>
  <si>
    <t>Aymanul Haque Eahan</t>
  </si>
  <si>
    <t>August fee advance</t>
  </si>
  <si>
    <t>Farajul Hoque</t>
  </si>
  <si>
    <t>Admission fee only</t>
  </si>
  <si>
    <t>Mushfique Neaoz</t>
  </si>
  <si>
    <t>Md Azmain Imrat</t>
  </si>
  <si>
    <t>Md Anas Hossain</t>
  </si>
  <si>
    <t>Ahnaf Siddik</t>
  </si>
  <si>
    <t>Rashed Mir Irfan</t>
  </si>
  <si>
    <t>Abdullah Al  Nihal</t>
  </si>
  <si>
    <t>June fee</t>
  </si>
  <si>
    <t>Aydin</t>
  </si>
  <si>
    <t>August 2023</t>
  </si>
  <si>
    <t>Galam Alian Zayan</t>
  </si>
  <si>
    <t>August fee</t>
  </si>
  <si>
    <t>Mahmudur Rahman Mahin</t>
  </si>
  <si>
    <t>Admissiion and 1000</t>
  </si>
  <si>
    <t>Withdraw For Salary july</t>
  </si>
  <si>
    <t>Abiyan</t>
  </si>
  <si>
    <t>admission and july fee</t>
  </si>
  <si>
    <t>Hossain Shabbir</t>
  </si>
  <si>
    <t>Withdraw For lawer Bill</t>
  </si>
  <si>
    <t>Junaid Mahboob Nafis</t>
  </si>
  <si>
    <t>Md.Shafen Ar Rafi</t>
  </si>
  <si>
    <t>admsiion fee+sep</t>
  </si>
  <si>
    <t>Adnan Sanjid</t>
  </si>
  <si>
    <t>Sep</t>
  </si>
  <si>
    <t>Md.Safwan Islam (Wadi)</t>
  </si>
  <si>
    <t>Admission fee+Sep</t>
  </si>
  <si>
    <t>Shahzaib Rafsan</t>
  </si>
  <si>
    <t>Tawhid Al Zarid</t>
  </si>
  <si>
    <t>Marzuq</t>
  </si>
  <si>
    <t>Md. Azmain Imrat</t>
  </si>
  <si>
    <t>Junaid Mahbub Nafis</t>
  </si>
  <si>
    <t xml:space="preserve">Nashwan Nazim Ehan </t>
  </si>
  <si>
    <t xml:space="preserve">Ayaz Bin Hasan </t>
  </si>
  <si>
    <t>Nashwan nazim Ehan</t>
  </si>
  <si>
    <t>Eeshan deb roy</t>
  </si>
  <si>
    <t>Hussain Sabbir</t>
  </si>
  <si>
    <t>September,October</t>
  </si>
  <si>
    <t>October Fee</t>
  </si>
  <si>
    <t>November Fee</t>
  </si>
  <si>
    <t>October, November Fee</t>
  </si>
  <si>
    <t>November Fee Bkash</t>
  </si>
  <si>
    <t>October,November Fee</t>
  </si>
  <si>
    <t>Raonar</t>
  </si>
  <si>
    <t>December+Admission Fee</t>
  </si>
  <si>
    <t>December Fee</t>
  </si>
  <si>
    <t>December Fee Bkash</t>
  </si>
  <si>
    <t>December, January Fee Bkash</t>
  </si>
  <si>
    <t xml:space="preserve">withdraw November  Salary </t>
  </si>
  <si>
    <t>November Fee, Bkash</t>
  </si>
  <si>
    <t>September Fee</t>
  </si>
  <si>
    <t>Zarif Islam</t>
  </si>
  <si>
    <t>January Fee</t>
  </si>
  <si>
    <t>Academy January balance sheet 2024</t>
  </si>
  <si>
    <t>January Fee Bkash</t>
  </si>
  <si>
    <t>Sakibul Islam Farabee</t>
  </si>
  <si>
    <t>Admission+January Fee bkash</t>
  </si>
  <si>
    <t>October,December Fee bkash</t>
  </si>
  <si>
    <t>February, March Fee</t>
  </si>
  <si>
    <t>January Fees Bkash</t>
  </si>
  <si>
    <t>December, January Fees</t>
  </si>
  <si>
    <t>ABM Ishfar  Nirvan Bhuiyan</t>
  </si>
  <si>
    <t>February Admission</t>
  </si>
  <si>
    <t>Muhaimin Ahrar Tahan</t>
  </si>
  <si>
    <t xml:space="preserve">February Admission </t>
  </si>
  <si>
    <t>February Fees</t>
  </si>
  <si>
    <t>December Fees</t>
  </si>
  <si>
    <t>January Fees</t>
  </si>
  <si>
    <t>Galam Ayan Zayan</t>
  </si>
  <si>
    <t>February Fees Bkash</t>
  </si>
  <si>
    <t>Yaseer Mahmud Niladri</t>
  </si>
  <si>
    <t>Admission 6000 March</t>
  </si>
  <si>
    <t xml:space="preserve">February Fee </t>
  </si>
  <si>
    <t>February Fee Bkash</t>
  </si>
  <si>
    <t>02.03.24</t>
  </si>
  <si>
    <t>02.3.24</t>
  </si>
  <si>
    <t>Zarif Hossain Niloy</t>
  </si>
  <si>
    <t>Shaikh yasaar osman shayor</t>
  </si>
  <si>
    <t xml:space="preserve">Abiyaan </t>
  </si>
  <si>
    <t xml:space="preserve">march </t>
  </si>
  <si>
    <t>07.03.24</t>
  </si>
  <si>
    <t>March Academy Fees</t>
  </si>
  <si>
    <t>06.03.24</t>
  </si>
  <si>
    <t>11.03.24</t>
  </si>
  <si>
    <t>February Academy Fees</t>
  </si>
  <si>
    <t>15.03.24</t>
  </si>
  <si>
    <t>February, March Academy Fees</t>
  </si>
  <si>
    <t>Sarim Iqbal</t>
  </si>
  <si>
    <t>Admission Fees April</t>
  </si>
  <si>
    <t>16.03.24</t>
  </si>
  <si>
    <t>Academy Fees March</t>
  </si>
  <si>
    <t>20.03.24</t>
  </si>
  <si>
    <t>Academy Fees February, March bkash</t>
  </si>
  <si>
    <t>22.03.24</t>
  </si>
  <si>
    <t>Academy Fees February.</t>
  </si>
  <si>
    <t>31.3.24</t>
  </si>
  <si>
    <t>Academy Fees March bkash</t>
  </si>
  <si>
    <t>02.04.24</t>
  </si>
  <si>
    <t>Academy Fees April, May</t>
  </si>
  <si>
    <t>05.04.24</t>
  </si>
  <si>
    <t>Academy Fees April</t>
  </si>
  <si>
    <t>17.04.24</t>
  </si>
  <si>
    <t>Ethan Henry Philip</t>
  </si>
  <si>
    <t>Academy Admission, may Fees</t>
  </si>
  <si>
    <t>20.04.24</t>
  </si>
  <si>
    <t>23.04.23</t>
  </si>
  <si>
    <t>24.04.24</t>
  </si>
  <si>
    <t>Academy Fees February, March</t>
  </si>
  <si>
    <t>26.04.24</t>
  </si>
  <si>
    <t>Marvin Ibad Khan Turno</t>
  </si>
  <si>
    <t>Zohaib Raseen Bin Amran</t>
  </si>
  <si>
    <t>Bkash april</t>
  </si>
  <si>
    <t>01.05.24</t>
  </si>
  <si>
    <t>Fare</t>
  </si>
  <si>
    <t>Jisan bhai, to federation from office vice-versa</t>
  </si>
  <si>
    <t>04.04.24</t>
  </si>
  <si>
    <t>Alfaz bhai Bonus</t>
  </si>
  <si>
    <t>Academy Fees</t>
  </si>
  <si>
    <t>Alfaz bhai</t>
  </si>
  <si>
    <t>25.03.24</t>
  </si>
  <si>
    <t>Nusrat Apu card</t>
  </si>
  <si>
    <t>visiting Card</t>
  </si>
  <si>
    <t>Labor</t>
  </si>
  <si>
    <t>Gym Intrument transfer</t>
  </si>
  <si>
    <t>Dipu bhai</t>
  </si>
  <si>
    <t>Gym Intrument installing</t>
  </si>
  <si>
    <t>rashid mir irfan</t>
  </si>
  <si>
    <t>April  fee by bkash 3000 tanjil</t>
  </si>
  <si>
    <t>27.04.24</t>
  </si>
  <si>
    <t>Zarif Academy Fees, March,April, May</t>
  </si>
  <si>
    <t>Academy Fees, February, March, April</t>
  </si>
  <si>
    <t>Academy Fees, April</t>
  </si>
  <si>
    <t>Academy Fees 2 coach</t>
  </si>
  <si>
    <t>Alfaz bhai, Belal bhai</t>
  </si>
  <si>
    <t>Azan Tabish Rahman</t>
  </si>
  <si>
    <t>Jersey 10 pcs</t>
  </si>
  <si>
    <t>Students Jersey</t>
  </si>
  <si>
    <t>Academy Fees, May</t>
  </si>
  <si>
    <t>Bkash 9000 feb,mar,apr</t>
  </si>
  <si>
    <t>07.05.24</t>
  </si>
  <si>
    <t>printing for Academy</t>
  </si>
  <si>
    <t>For submitting in the federation</t>
  </si>
  <si>
    <t>10.05.24</t>
  </si>
  <si>
    <t>April Total student</t>
  </si>
  <si>
    <t>April recevied payment</t>
  </si>
  <si>
    <t>13 student</t>
  </si>
  <si>
    <t>14.05.24</t>
  </si>
  <si>
    <t>Admission</t>
  </si>
  <si>
    <t>1 student</t>
  </si>
  <si>
    <t>Academy Fees, January,February</t>
  </si>
  <si>
    <t>7 student</t>
  </si>
  <si>
    <t>15.5.24</t>
  </si>
  <si>
    <t>May acacdemy fee Bkash</t>
  </si>
  <si>
    <t>5 student</t>
  </si>
  <si>
    <t>April Acacdemy Bkash</t>
  </si>
  <si>
    <t>May fee Bkash</t>
  </si>
  <si>
    <t>16.5.25</t>
  </si>
  <si>
    <t>Federation Visiting Cost</t>
  </si>
  <si>
    <t>17.05.24</t>
  </si>
  <si>
    <t>21.05.24</t>
  </si>
  <si>
    <t>27.05.24</t>
  </si>
  <si>
    <t>Academy Fees,June, July Bkash</t>
  </si>
  <si>
    <t>Academy Fees June, Bkash</t>
  </si>
  <si>
    <t>28.05.24</t>
  </si>
  <si>
    <t>Academy Fees April, May, June</t>
  </si>
  <si>
    <t>Belal Ahmed Fees</t>
  </si>
  <si>
    <t>Advance salary</t>
  </si>
  <si>
    <t>Rasel Advance</t>
  </si>
  <si>
    <t>31.05.24</t>
  </si>
  <si>
    <t>Academy Fees June</t>
  </si>
  <si>
    <t>Academy Fees May</t>
  </si>
  <si>
    <t>Academy Fees june</t>
  </si>
  <si>
    <t>01.06.24</t>
  </si>
  <si>
    <t>Admission+Academy Fees June</t>
  </si>
  <si>
    <t>02.06.24</t>
  </si>
  <si>
    <t>04.06.24</t>
  </si>
  <si>
    <t>Academy Fees May June Bkash</t>
  </si>
  <si>
    <t>Academy Fees june bkash</t>
  </si>
  <si>
    <t>07.06.24</t>
  </si>
  <si>
    <t>08.06.24</t>
  </si>
  <si>
    <t>Academy Fees june, july</t>
  </si>
  <si>
    <t>Withdrawal</t>
  </si>
  <si>
    <t>21.06.24</t>
  </si>
  <si>
    <t>22.06.24</t>
  </si>
  <si>
    <t>Wasif Abdullah Omio</t>
  </si>
  <si>
    <t>Admission+Academy Fees July</t>
  </si>
  <si>
    <t>30.06.24</t>
  </si>
  <si>
    <t>Muttaki Mohsin Amol</t>
  </si>
  <si>
    <t>Admission+academy Fees July Bkash</t>
  </si>
  <si>
    <t>28.06.24</t>
  </si>
  <si>
    <t>01.07.24</t>
  </si>
  <si>
    <t>02.07.24</t>
  </si>
  <si>
    <t xml:space="preserve">Academy Fees May, June Bkash </t>
  </si>
  <si>
    <t>Academy Fees July</t>
  </si>
  <si>
    <t>Coach Fees 2.07.2024</t>
  </si>
  <si>
    <t>Belal Ahmes Fees Academy</t>
  </si>
  <si>
    <t>05.07.24</t>
  </si>
  <si>
    <t>Aiyan Ibrahim</t>
  </si>
  <si>
    <t>Academy Fee july</t>
  </si>
  <si>
    <t>09.07.24</t>
  </si>
  <si>
    <t>b</t>
  </si>
  <si>
    <t>c</t>
  </si>
  <si>
    <t>Academy Fee july Bkash</t>
  </si>
  <si>
    <t>Academy Fee july bkash</t>
  </si>
  <si>
    <t>11.07.24</t>
  </si>
  <si>
    <t>Rafsan Habib</t>
  </si>
  <si>
    <t>13.07.24</t>
  </si>
  <si>
    <t xml:space="preserve">Academy Fee August </t>
  </si>
  <si>
    <t xml:space="preserve">Academy Fee july+August </t>
  </si>
  <si>
    <t xml:space="preserve"> </t>
  </si>
  <si>
    <t>Buying Football 9 pcs</t>
  </si>
  <si>
    <t>For Academy</t>
  </si>
  <si>
    <t>Academy Coach Fees 13.7.2024</t>
  </si>
  <si>
    <t>16.07.24</t>
  </si>
  <si>
    <t>15.07.24</t>
  </si>
  <si>
    <t>17.07.24</t>
  </si>
  <si>
    <t>Salary</t>
  </si>
  <si>
    <t>Academy Fee july+August -bkash</t>
  </si>
  <si>
    <t>10.07.24</t>
  </si>
  <si>
    <t>02.08.24</t>
  </si>
  <si>
    <t>09.08.24</t>
  </si>
  <si>
    <t>Academy Fee August-Bkash</t>
  </si>
  <si>
    <t>10.08.24</t>
  </si>
  <si>
    <t>03.08.24</t>
  </si>
  <si>
    <t>Academy Fee August Bkash</t>
  </si>
  <si>
    <t>11.08.24</t>
  </si>
  <si>
    <t>13.08.24</t>
  </si>
  <si>
    <t>Academy Fees Agust, September Bkash</t>
  </si>
  <si>
    <t>Academy Fee july+ August Bkash</t>
  </si>
  <si>
    <t>Academy Fee August, september</t>
  </si>
  <si>
    <t>Academy Fee August, Bkash</t>
  </si>
  <si>
    <t>15.08.24</t>
  </si>
  <si>
    <t>03.09.24</t>
  </si>
  <si>
    <t>Syed Md. Yamin Omio</t>
  </si>
  <si>
    <t>Admission+Academy Fees September</t>
  </si>
  <si>
    <t>Academy Fees September</t>
  </si>
  <si>
    <t>02.09.24</t>
  </si>
  <si>
    <t>Fare To Federation</t>
  </si>
  <si>
    <t>Fare, Jisan</t>
  </si>
  <si>
    <t>04.09.24</t>
  </si>
  <si>
    <t>05.09.24</t>
  </si>
  <si>
    <t>Ajmain Haque Azraf</t>
  </si>
  <si>
    <t>Admission, September Fees, 5000 Cash 1000 Bkash</t>
  </si>
  <si>
    <t>06.09.24</t>
  </si>
  <si>
    <t>Jawad Morshed</t>
  </si>
  <si>
    <t xml:space="preserve">Admission </t>
  </si>
  <si>
    <t>Academy Fees September Bkash</t>
  </si>
  <si>
    <t>08.09.24</t>
  </si>
  <si>
    <t>Ahnaf Tahmid Zarif</t>
  </si>
  <si>
    <t>Suiper Bill</t>
  </si>
  <si>
    <t>10.09.24</t>
  </si>
  <si>
    <t>11.09.24</t>
  </si>
  <si>
    <t>12.09.24</t>
  </si>
  <si>
    <t>13.09.24</t>
  </si>
  <si>
    <t>Admission, September Academy Fees</t>
  </si>
  <si>
    <t>Rihjuk Nuhan</t>
  </si>
  <si>
    <t>Admission, September Academy Fees Bkash</t>
  </si>
  <si>
    <t>cash</t>
  </si>
  <si>
    <t>16.09.24</t>
  </si>
  <si>
    <t>Salary Adjust</t>
  </si>
  <si>
    <t>Alfaz Bhai</t>
  </si>
  <si>
    <t>22.09.24</t>
  </si>
  <si>
    <t>Ruzaik Azad</t>
  </si>
  <si>
    <t>Admission, October Academy Fees</t>
  </si>
  <si>
    <t>25.09.24</t>
  </si>
  <si>
    <t>27.09.24</t>
  </si>
  <si>
    <t xml:space="preserve">Academy Fees Agust +September </t>
  </si>
  <si>
    <t>Md.Ishrak Amin Sirat</t>
  </si>
  <si>
    <t>Admission+Academy Fees October</t>
  </si>
  <si>
    <t>01.10.24</t>
  </si>
  <si>
    <t>Academy Fees October, November. Bkash</t>
  </si>
  <si>
    <t>Academy Fees October, Bkash</t>
  </si>
  <si>
    <t>Raonaer Rahman</t>
  </si>
  <si>
    <t>Academy Fees October</t>
  </si>
  <si>
    <t>07.10.24</t>
  </si>
  <si>
    <t>08.10.24</t>
  </si>
  <si>
    <t>09.10.24</t>
  </si>
  <si>
    <t>11.10.24</t>
  </si>
  <si>
    <t>Academy Fees October Bkash</t>
  </si>
  <si>
    <t>14.10.24</t>
  </si>
  <si>
    <t>Academy Fees August, September,October Bkash</t>
  </si>
  <si>
    <t>15.10.24</t>
  </si>
  <si>
    <t>Samiul Bari Aiyan</t>
  </si>
  <si>
    <t>Academy Fees October, Admission</t>
  </si>
  <si>
    <t>Adib Muntasir Mahid</t>
  </si>
  <si>
    <t>Nuraz Hossain</t>
  </si>
  <si>
    <t>Academy Fees October, Admission, Bkash 3000, Cash 3000</t>
  </si>
  <si>
    <t>18.10.24</t>
  </si>
  <si>
    <t>22.10.24</t>
  </si>
  <si>
    <t>Conveyance</t>
  </si>
  <si>
    <t>23.10.24</t>
  </si>
  <si>
    <t>25.10.24</t>
  </si>
  <si>
    <t>27.10.24</t>
  </si>
  <si>
    <t>Aydin Rahman Gohin</t>
  </si>
  <si>
    <t>Academy Fees November, Admission</t>
  </si>
  <si>
    <t>1.11.24</t>
  </si>
  <si>
    <t>Academy Fees November</t>
  </si>
  <si>
    <t>06.11.24</t>
  </si>
  <si>
    <t>Minhaz Khan</t>
  </si>
  <si>
    <t>05.11.24</t>
  </si>
  <si>
    <t>Academy Fees November, Bkash</t>
  </si>
  <si>
    <t>03.11.24</t>
  </si>
  <si>
    <t>01.11.24</t>
  </si>
  <si>
    <t>04,11.24</t>
  </si>
  <si>
    <t xml:space="preserve">Academy Fees November, </t>
  </si>
  <si>
    <t>04.11.24</t>
  </si>
  <si>
    <t>Kazi Saifan Hossain</t>
  </si>
  <si>
    <t>Zayeed Abdullah</t>
  </si>
  <si>
    <t>02.11.24</t>
  </si>
  <si>
    <t>Mudabbir Wasif</t>
  </si>
  <si>
    <t>09.11.24</t>
  </si>
  <si>
    <t>Muhammad Aariz Chowdhury</t>
  </si>
  <si>
    <t>Aryan Rahman</t>
  </si>
  <si>
    <t>Academy Fees November, Admission, Bkash</t>
  </si>
  <si>
    <t>12.11.24</t>
  </si>
  <si>
    <t>Belal Ahmed Conveyance Bill</t>
  </si>
  <si>
    <t>Conveyance Bill</t>
  </si>
  <si>
    <t>13.11.24</t>
  </si>
  <si>
    <t xml:space="preserve">Borat Sir </t>
  </si>
  <si>
    <t>14.11.24</t>
  </si>
  <si>
    <t>15.11.24</t>
  </si>
  <si>
    <t>18.11.24</t>
  </si>
  <si>
    <t>19.11.24</t>
  </si>
  <si>
    <t>19.11.25</t>
  </si>
  <si>
    <t>29.11.25</t>
  </si>
  <si>
    <t>01.12.24</t>
  </si>
  <si>
    <t>Academy Fees December, Bkash</t>
  </si>
  <si>
    <t>Academy Fees December &amp; January Bkash</t>
  </si>
  <si>
    <t>Academy Fees December</t>
  </si>
  <si>
    <t>03.12.24</t>
  </si>
  <si>
    <t>Belal Ahmed and Alfaz Ahmed Conveyance Bill</t>
  </si>
  <si>
    <t>06.12.24</t>
  </si>
  <si>
    <t>Md. Ishrak Amin Sirat</t>
  </si>
  <si>
    <t>07.12.24</t>
  </si>
  <si>
    <t>Academy Fees December Bkash</t>
  </si>
  <si>
    <t>10.12.24</t>
  </si>
  <si>
    <t>Shayor</t>
  </si>
  <si>
    <t>Abian</t>
  </si>
  <si>
    <t>11.12.24</t>
  </si>
  <si>
    <t>13.12.24</t>
  </si>
  <si>
    <t>14.12.24</t>
  </si>
  <si>
    <t>18.12.24</t>
  </si>
  <si>
    <t>Practice Tools</t>
  </si>
  <si>
    <t>Academy</t>
  </si>
  <si>
    <t>Federation Coach</t>
  </si>
  <si>
    <t>Nasta</t>
  </si>
  <si>
    <t>Coach+Federation Employees</t>
  </si>
  <si>
    <t>Coffee</t>
  </si>
  <si>
    <t>20.12.24</t>
  </si>
  <si>
    <t>22.12.24</t>
  </si>
  <si>
    <t>Golam Alian Zayan</t>
  </si>
  <si>
    <t>Academy Fees December (101320 Recevied from Mahadi)</t>
  </si>
  <si>
    <t>Siam Advance</t>
  </si>
  <si>
    <t>Mamun Advance</t>
  </si>
  <si>
    <t>26.12.24</t>
  </si>
  <si>
    <t>Salary December</t>
  </si>
  <si>
    <t>after salary closing balance december</t>
  </si>
  <si>
    <t>05.01,25</t>
  </si>
  <si>
    <t>Academy Fees January</t>
  </si>
  <si>
    <t>05.01.25</t>
  </si>
  <si>
    <t>06.01.25</t>
  </si>
  <si>
    <t>Academy Fees January, Bkash</t>
  </si>
  <si>
    <t>07.01.25</t>
  </si>
  <si>
    <t>07.01,25</t>
  </si>
  <si>
    <t>09.01.25</t>
  </si>
  <si>
    <t xml:space="preserve">Academy Fees January </t>
  </si>
  <si>
    <t>16.01.25</t>
  </si>
  <si>
    <t>12.01.25</t>
  </si>
  <si>
    <t>11.01.25</t>
  </si>
  <si>
    <t>15.01.25</t>
  </si>
  <si>
    <t>Academy Fees January+February, Bkash</t>
  </si>
  <si>
    <t xml:space="preserve">Coach nasta bill January </t>
  </si>
  <si>
    <t>Academy cash previous</t>
  </si>
  <si>
    <t>03.02.25</t>
  </si>
  <si>
    <t>Admission Fee February,Bkash</t>
  </si>
  <si>
    <t>02.02.25</t>
  </si>
  <si>
    <t>Aariz Arham</t>
  </si>
  <si>
    <t>Academy Fees February, Bkash</t>
  </si>
  <si>
    <t>24.01.25</t>
  </si>
  <si>
    <t xml:space="preserve">Academy Fees February </t>
  </si>
  <si>
    <t>Khan Arfan Nuhan</t>
  </si>
  <si>
    <t xml:space="preserve">Academy Fees ,January+February </t>
  </si>
  <si>
    <t>Academy February fee</t>
  </si>
  <si>
    <t>Academy Re-Admission February,</t>
  </si>
  <si>
    <t>Saadman Zaman Taj</t>
  </si>
  <si>
    <t>Admission Fee February</t>
  </si>
  <si>
    <t xml:space="preserve">Coach nasta bill February </t>
  </si>
  <si>
    <t>Academy cash previous (Received 51400 By Tanjil)</t>
  </si>
  <si>
    <t>04.02.25</t>
  </si>
  <si>
    <t>Academy February fee-bkash</t>
  </si>
  <si>
    <t>08.02.25</t>
  </si>
  <si>
    <t>11.02.25</t>
  </si>
  <si>
    <t>13.02.25</t>
  </si>
  <si>
    <t>14.02.25</t>
  </si>
  <si>
    <t>16.02.25</t>
  </si>
  <si>
    <t>Jersey</t>
  </si>
  <si>
    <t>Jersey-old due-6000,New stu-5,-4000</t>
  </si>
  <si>
    <t>23.02.25</t>
  </si>
  <si>
    <t>25.02.25</t>
  </si>
  <si>
    <t>Academy Fees February, recevied by tanjil 4 march 2025</t>
  </si>
  <si>
    <t>01.03.25</t>
  </si>
  <si>
    <t>Academy Fees March, Bkash</t>
  </si>
  <si>
    <t>04.03.25</t>
  </si>
  <si>
    <t>07.03.25</t>
  </si>
  <si>
    <t>Academy Fees March+April</t>
  </si>
  <si>
    <t>Coach nasta bill March</t>
  </si>
  <si>
    <t>Academy cash ,coach nasta-March</t>
  </si>
  <si>
    <t>11.03.25</t>
  </si>
  <si>
    <t>14.03.25</t>
  </si>
  <si>
    <t>Academy Fees March+(April-1k due2000)</t>
  </si>
  <si>
    <t>18.03.25</t>
  </si>
  <si>
    <t>Academy Fees March+April-bkash</t>
  </si>
  <si>
    <t>20.03.25</t>
  </si>
  <si>
    <t>Md.Mirazul Islam Pipul</t>
  </si>
  <si>
    <t>Admission Fee April, (cash-4000,Bkash-2000)</t>
  </si>
  <si>
    <t>21.03.25</t>
  </si>
  <si>
    <t>Academy Fees March+April-</t>
  </si>
  <si>
    <t>22.03.25</t>
  </si>
  <si>
    <t>Areeb Nahwan Oman</t>
  </si>
  <si>
    <t>Academy Admission Fee April</t>
  </si>
  <si>
    <t>23.03.25</t>
  </si>
  <si>
    <t>Academy Fees March+April,(Cash)</t>
  </si>
  <si>
    <t>Academy Fees March+April-(bkash-6303)</t>
  </si>
  <si>
    <t>Academy Fees March+April-(bkash-6799)</t>
  </si>
  <si>
    <t>Academy Fees March,(Bkash-1507)</t>
  </si>
  <si>
    <t>Academy Fees March+April-(bkash-6593)</t>
  </si>
  <si>
    <t>Academy Fees March,(Bkash-3259)</t>
  </si>
  <si>
    <t>24.03.25</t>
  </si>
  <si>
    <t>Academy Fees April,Bkash-2090</t>
  </si>
  <si>
    <t>25.03.25</t>
  </si>
  <si>
    <t>Academy Fees March+April,Bkash-1056</t>
  </si>
  <si>
    <t xml:space="preserve">January and february </t>
  </si>
  <si>
    <t>Acacdemy fee March April bkash</t>
  </si>
  <si>
    <t>Acacdemy fee March April</t>
  </si>
  <si>
    <t>Ayan Bin Faruk</t>
  </si>
  <si>
    <t>Admission and april fee</t>
  </si>
  <si>
    <t>Murvin Ibad Khan Turno</t>
  </si>
  <si>
    <t>April month fee</t>
  </si>
  <si>
    <t xml:space="preserve">Mahin </t>
  </si>
  <si>
    <t>April month fee Bkash</t>
  </si>
  <si>
    <t>April Month due</t>
  </si>
  <si>
    <t>Ahmed Wafi</t>
  </si>
  <si>
    <t>Admission fee</t>
  </si>
  <si>
    <t>Zesun bhai BFF</t>
  </si>
  <si>
    <t>Certification board</t>
  </si>
  <si>
    <t>Convayance april</t>
  </si>
  <si>
    <t>Ayaan Bin Faruk</t>
  </si>
  <si>
    <t>Md Ishrak Amin Sirat</t>
  </si>
  <si>
    <t>tk</t>
  </si>
  <si>
    <t>Mohammad Aiyan Ibrahim</t>
  </si>
  <si>
    <t>Muntakim Shahed Ajmain</t>
  </si>
  <si>
    <t>Rafi Zaman Khan</t>
  </si>
  <si>
    <t>Samiul Islam</t>
  </si>
  <si>
    <t>Coach Convence</t>
  </si>
  <si>
    <t>Gym Radif</t>
  </si>
  <si>
    <t>Academy Mobile Recharge</t>
  </si>
  <si>
    <t>04//06/2025</t>
  </si>
  <si>
    <t>Ayaan Bin Faruq</t>
  </si>
  <si>
    <t>May 25</t>
  </si>
  <si>
    <t>Bkash May 25 &amp; June 25</t>
  </si>
  <si>
    <t>Aydin Mahmud</t>
  </si>
  <si>
    <t xml:space="preserve">Admission fee June &amp; July Monthly Fee </t>
  </si>
  <si>
    <t>Arhan Anowar Chowdhury</t>
  </si>
  <si>
    <t xml:space="preserve">Admission fee June Monthly Fee </t>
  </si>
  <si>
    <t>18/6/0205</t>
  </si>
  <si>
    <t>Nur Amin</t>
  </si>
  <si>
    <t>June-2025, Re-admission 3000, Advance 3000.</t>
  </si>
  <si>
    <t>Nusraat</t>
  </si>
  <si>
    <t xml:space="preserve">Convayance coach </t>
  </si>
  <si>
    <t>Damage bike fine</t>
  </si>
  <si>
    <t>Dewan Nazif Farasat</t>
  </si>
  <si>
    <t>Admission Fee,July &amp; August Monthly Fee</t>
  </si>
  <si>
    <t>June &amp; July 2025</t>
  </si>
  <si>
    <t>Izyan Areen Shah</t>
  </si>
  <si>
    <t>21/7/2025 &amp; 22/7/2025</t>
  </si>
  <si>
    <t>Bkash June and July Fee</t>
  </si>
  <si>
    <t>Coach convence</t>
  </si>
  <si>
    <t>RECEVIED</t>
  </si>
  <si>
    <t>recevied 23/08/25</t>
  </si>
  <si>
    <t>Water</t>
  </si>
  <si>
    <t>A.K.M Ahyan Haque</t>
  </si>
  <si>
    <t>Admission &amp; September fee</t>
  </si>
  <si>
    <t>august fee</t>
  </si>
  <si>
    <t>August &amp; September fee Bkash</t>
  </si>
  <si>
    <t>Mohd.Tasawwur Hossain</t>
  </si>
  <si>
    <t>Admission Fee,September &amp; October Fee</t>
  </si>
  <si>
    <t>August &amp; September Fee</t>
  </si>
  <si>
    <t>academy promotion Usd</t>
  </si>
  <si>
    <t>Arham Hossain Khan</t>
  </si>
  <si>
    <t>Admission Fee, October &amp; November Fee</t>
  </si>
  <si>
    <t>Bkash Admission Fee, October &amp; November Fee</t>
  </si>
  <si>
    <t>Tahan Iftekhar</t>
  </si>
  <si>
    <t>Print Acacdemy Book</t>
  </si>
  <si>
    <t>Recevied</t>
  </si>
  <si>
    <t>Usd Dollar For promotion</t>
  </si>
  <si>
    <t>Month</t>
  </si>
  <si>
    <t>Amount</t>
  </si>
  <si>
    <t>September &amp; October Fee Bkash</t>
  </si>
  <si>
    <t xml:space="preserve">September &amp; October Fee </t>
  </si>
  <si>
    <t>Admission fee October &amp; Sequrity Deposite</t>
  </si>
  <si>
    <t>November fee</t>
  </si>
  <si>
    <t>Falaque Muhammed Yaffi</t>
  </si>
  <si>
    <t>Admission fee October &amp; November fee</t>
  </si>
  <si>
    <t>Ahmad Bin Abdullah Siddique</t>
  </si>
  <si>
    <t>Admission fee November &amp; December fee</t>
  </si>
  <si>
    <t>Aziz Manzil Carpet green room</t>
  </si>
  <si>
    <t>Belal</t>
  </si>
  <si>
    <t>Buffufee photocopy</t>
  </si>
  <si>
    <t>Zisan Bhaia Conveyance</t>
  </si>
  <si>
    <t>Sofa Aziz Manzil</t>
  </si>
  <si>
    <t>Arin sir Printer Cover</t>
  </si>
  <si>
    <t>28/10/25</t>
  </si>
  <si>
    <t>Club Chada</t>
  </si>
  <si>
    <t>Collection</t>
  </si>
  <si>
    <t>admission Nov &amp; dec</t>
  </si>
  <si>
    <t>November 25</t>
  </si>
  <si>
    <t>December 25</t>
  </si>
  <si>
    <t>Zisan Jersey</t>
  </si>
  <si>
    <t>Photographer</t>
  </si>
  <si>
    <t>Money Bag Delivery Charge</t>
  </si>
  <si>
    <t>November &amp; December Bkash</t>
  </si>
  <si>
    <t>January</t>
  </si>
  <si>
    <t>December-26</t>
  </si>
  <si>
    <t>January-26</t>
  </si>
  <si>
    <t xml:space="preserve">November &amp; December </t>
  </si>
  <si>
    <t>Bkash Dce-25 &amp; January-26</t>
  </si>
  <si>
    <t>dustbin</t>
  </si>
  <si>
    <t>Tree</t>
  </si>
  <si>
    <t>Cleaner</t>
  </si>
  <si>
    <t>Dustbin &amp; Conveyance</t>
  </si>
  <si>
    <t>shahin</t>
  </si>
  <si>
    <t>Fahad</t>
  </si>
  <si>
    <t>Medel</t>
  </si>
  <si>
    <t>December-25</t>
  </si>
  <si>
    <t xml:space="preserve">bkash </t>
  </si>
  <si>
    <t>jan-1</t>
  </si>
  <si>
    <t>Keyaan Rahman Ayaz</t>
  </si>
  <si>
    <t>Bkash 7000 Cash 3500 Admission Fee And Jan 26, Feb 26</t>
  </si>
  <si>
    <t>January -26</t>
  </si>
  <si>
    <t>Dec-25 Bkash</t>
  </si>
  <si>
    <t>February-26</t>
  </si>
  <si>
    <t>Admission &amp; Feb26 Fee</t>
  </si>
  <si>
    <t>mob spary</t>
  </si>
  <si>
    <t>Bksp Convayance</t>
  </si>
  <si>
    <t>December 25 &amp; January-26 Bkash 2000 tk</t>
  </si>
  <si>
    <t>Admission fee February &amp; March fee</t>
  </si>
  <si>
    <t>Jan</t>
  </si>
  <si>
    <t>3pax</t>
  </si>
  <si>
    <t>Feb</t>
  </si>
  <si>
    <t>16pax</t>
  </si>
  <si>
    <t>Jan-26 bkash</t>
  </si>
  <si>
    <t>march</t>
  </si>
  <si>
    <t>2pax</t>
  </si>
  <si>
    <t>Jan-Feb Bkash 2</t>
  </si>
  <si>
    <t>March-26</t>
  </si>
  <si>
    <t>Jan-Feb 2</t>
  </si>
  <si>
    <t>19pax</t>
  </si>
  <si>
    <t>1pax</t>
  </si>
  <si>
    <t>Bkash Jan-26</t>
  </si>
  <si>
    <t>bkash Fed &amp; March -2026</t>
  </si>
  <si>
    <t>bkash April fee</t>
  </si>
  <si>
    <t>15pax</t>
  </si>
  <si>
    <t>May-26 fee</t>
  </si>
  <si>
    <t>re admission</t>
  </si>
  <si>
    <t>Admission April &amp; Sequrity Deposite</t>
  </si>
  <si>
    <t>April 2026</t>
  </si>
  <si>
    <t>April-26</t>
  </si>
  <si>
    <t>Attendance Machine Repair</t>
  </si>
  <si>
    <t>March &amp; April fee bkash</t>
  </si>
  <si>
    <t>Admission fee April &amp; Sequrity deposite Bkash</t>
  </si>
  <si>
    <t>10pax</t>
  </si>
  <si>
    <t>Admission fee May &amp; Sequrity Deposite</t>
  </si>
  <si>
    <t>Re admission</t>
  </si>
  <si>
    <t>Admission fee May &amp; Sequrity Deposite Bkash</t>
  </si>
  <si>
    <t xml:space="preserve">May </t>
  </si>
  <si>
    <t>Alfaz Salary Advance</t>
  </si>
  <si>
    <t>Salary Advance</t>
  </si>
  <si>
    <t>Admission fee May &amp; Sequrity DepositeBkash 7000, Cash-3500</t>
  </si>
  <si>
    <t>May Bkash</t>
  </si>
  <si>
    <t>RE-Admission fee &amp; May Bkash</t>
  </si>
  <si>
    <t xml:space="preserve">Admission fee &amp; May </t>
  </si>
  <si>
    <t>Admission fee &amp; May Sequrity Deposite</t>
  </si>
  <si>
    <t>May-26</t>
  </si>
  <si>
    <t>April-26 bkash</t>
  </si>
  <si>
    <t>April &amp; May Bkash</t>
  </si>
  <si>
    <t>Football10 pcs</t>
  </si>
  <si>
    <t>Admission Fee May &amp; Sequrity Deposite</t>
  </si>
  <si>
    <t>may-26</t>
  </si>
  <si>
    <t xml:space="preserve">Admission Fee </t>
  </si>
  <si>
    <t>may-26 bkash</t>
  </si>
  <si>
    <t>Coach Convayance April &amp; May</t>
  </si>
  <si>
    <t>May-26 &amp; Security Money</t>
  </si>
  <si>
    <t>June-26 Bkash</t>
  </si>
  <si>
    <t xml:space="preserve">June-26 </t>
  </si>
  <si>
    <t>Admission Fee June-26 &amp; 1 month Advance</t>
  </si>
  <si>
    <t>June-26</t>
  </si>
  <si>
    <t>May-26 Bkash</t>
  </si>
  <si>
    <t>Admission Fee June-26 &amp; 1 month Advance Bkash</t>
  </si>
  <si>
    <t>DB Board babod</t>
  </si>
  <si>
    <t>promotion june</t>
  </si>
  <si>
    <t>Borat Bhaia</t>
  </si>
  <si>
    <t>Nusrat</t>
  </si>
  <si>
    <t xml:space="preserve">May &amp; June-26 </t>
  </si>
  <si>
    <t>Cash</t>
  </si>
  <si>
    <t>23/5/2026 &amp; 16/06/2026</t>
  </si>
  <si>
    <t>May &amp; June-26  Bkash</t>
  </si>
  <si>
    <t>Date :</t>
  </si>
  <si>
    <t>Coach Name :</t>
  </si>
  <si>
    <t>SL/NO</t>
  </si>
  <si>
    <t>Name</t>
  </si>
  <si>
    <t>Signature</t>
  </si>
  <si>
    <t>Coach Signature:</t>
  </si>
  <si>
    <t>Football Slot</t>
  </si>
  <si>
    <t>Football Acacdemy</t>
  </si>
  <si>
    <t>Details</t>
  </si>
  <si>
    <t xml:space="preserve">Store In </t>
  </si>
  <si>
    <t>Opening Football slot</t>
  </si>
  <si>
    <t>Old Football</t>
  </si>
  <si>
    <t>Football Purchase</t>
  </si>
  <si>
    <t>New Football</t>
  </si>
  <si>
    <t>Cell Phone</t>
  </si>
  <si>
    <t>Date of Join</t>
  </si>
  <si>
    <t xml:space="preserve">Active </t>
  </si>
  <si>
    <t>Inactive</t>
  </si>
  <si>
    <t>Date of Birth</t>
  </si>
  <si>
    <t>Age</t>
  </si>
  <si>
    <t>Medical Condition</t>
  </si>
  <si>
    <t>Allergies</t>
  </si>
  <si>
    <t>Gurdian's Name</t>
  </si>
  <si>
    <t>Address</t>
  </si>
  <si>
    <t>Emergency Contact</t>
  </si>
  <si>
    <t>SWEAT</t>
  </si>
  <si>
    <t>Yeamin Sarkar</t>
  </si>
  <si>
    <t>Monthly</t>
  </si>
  <si>
    <t>01.06.1990</t>
  </si>
  <si>
    <t>None</t>
  </si>
  <si>
    <t>Omar Ali Sarkar</t>
  </si>
  <si>
    <t>25 salauddin school road, momoenbag, dogair.</t>
  </si>
  <si>
    <t>M.K. Bin Noor Manafi</t>
  </si>
  <si>
    <t>01886667403,,01913981810</t>
  </si>
  <si>
    <t>6.1.2009</t>
  </si>
  <si>
    <t>Noor A Alam</t>
  </si>
  <si>
    <t>6c,segunbagicha,Dhaka</t>
  </si>
  <si>
    <t>e01913981810</t>
  </si>
  <si>
    <t>Shithil</t>
  </si>
  <si>
    <t>07.08.98</t>
  </si>
  <si>
    <t>Md. Mohsin Uddin Khan</t>
  </si>
  <si>
    <t>36,pioneer road,segunbagicha,dhaka-1000</t>
  </si>
  <si>
    <t>Sony Rahman</t>
  </si>
  <si>
    <t>31.12.91</t>
  </si>
  <si>
    <t>house-17,segunbagicha</t>
  </si>
  <si>
    <t>Md. Manuar Mukarram</t>
  </si>
  <si>
    <t>18.09.84</t>
  </si>
  <si>
    <t>Zulhas Uddin Ahmed</t>
  </si>
  <si>
    <t>13,segunbagicha,dhaka</t>
  </si>
  <si>
    <t>Rohat Ali Rajib</t>
  </si>
  <si>
    <t>03.06.24</t>
  </si>
  <si>
    <t>20.12.1989</t>
  </si>
  <si>
    <t>Shamshur Ali</t>
  </si>
  <si>
    <t>402/3, New Eskaton Dhaka</t>
  </si>
  <si>
    <t>Md. Rasel</t>
  </si>
  <si>
    <t>11.06.1979</t>
  </si>
  <si>
    <t>Late Imam Hossain</t>
  </si>
  <si>
    <t>46/A, Road -6a, Dhanmondi</t>
  </si>
  <si>
    <t>Zim</t>
  </si>
  <si>
    <t>01.03.2003</t>
  </si>
  <si>
    <t>Md. Lutfor Rahman</t>
  </si>
  <si>
    <t>111 Property Paragon segunbagicha</t>
  </si>
  <si>
    <t xml:space="preserve">Raaif Hasin Moazzan </t>
  </si>
  <si>
    <t>3 Month</t>
  </si>
  <si>
    <t>10.09.2006</t>
  </si>
  <si>
    <t>Moazzem Hossain</t>
  </si>
  <si>
    <t>Eastern Panaroma</t>
  </si>
  <si>
    <t>01982251828,,01716750056</t>
  </si>
  <si>
    <t>Hasnat Iftekhar</t>
  </si>
  <si>
    <t>8.05.1999</t>
  </si>
  <si>
    <t>Suraiya Begum</t>
  </si>
  <si>
    <t>33 Segunbagicha Navana C-7 ,Dhaka</t>
  </si>
  <si>
    <t>Tanvir Hossain Taaha</t>
  </si>
  <si>
    <t>01.09.2001</t>
  </si>
  <si>
    <t>Suhaarawardy Hall, Buet</t>
  </si>
  <si>
    <t>Muhtasim Tahmid</t>
  </si>
  <si>
    <t>10.06.24</t>
  </si>
  <si>
    <t>19.09.2004</t>
  </si>
  <si>
    <t>Esrat Farzana</t>
  </si>
  <si>
    <t>Junayed Sahil</t>
  </si>
  <si>
    <t>20.02.2002</t>
  </si>
  <si>
    <t>none</t>
  </si>
  <si>
    <t>Nazmul Hasan</t>
  </si>
  <si>
    <t>6/6,nagar chayaneer</t>
  </si>
  <si>
    <t>Ajmad Hasan</t>
  </si>
  <si>
    <t>14.05.2009</t>
  </si>
  <si>
    <t>Razasan  Hasan</t>
  </si>
  <si>
    <t>6/5,6/6,Segunbagicha</t>
  </si>
  <si>
    <t>Sandid Hasan</t>
  </si>
  <si>
    <t>08.12.2013</t>
  </si>
  <si>
    <t>Nashid Hasan</t>
  </si>
  <si>
    <t>6/5,6/6,Segunbagicha,nayar chayair.</t>
  </si>
  <si>
    <t>Md Zakir Hossain</t>
  </si>
  <si>
    <t>Tananka Tower,D-5</t>
  </si>
  <si>
    <t>Abdullah Zihan</t>
  </si>
  <si>
    <t>13.02.2006</t>
  </si>
  <si>
    <t>Shamsul Huda</t>
  </si>
  <si>
    <t>6/4, Segunbagicha</t>
  </si>
  <si>
    <t>Neoaz Morshed</t>
  </si>
  <si>
    <t>6 Month</t>
  </si>
  <si>
    <t>Flat-1004, Eastern Panaroma, 3/2 segunbagicha, Ramna, Dhaka-10000</t>
  </si>
  <si>
    <t>Enan Zulkernine</t>
  </si>
  <si>
    <t>21.04.2003</t>
  </si>
  <si>
    <t>S.H. Babar</t>
  </si>
  <si>
    <t>Hashenoor Green Cottage, 6/4 Segunbagicha, Dhaka</t>
  </si>
  <si>
    <t xml:space="preserve">Pramita Datta </t>
  </si>
  <si>
    <t>10.08.1996</t>
  </si>
  <si>
    <t>Diganta Dash</t>
  </si>
  <si>
    <t>13/B,Tanaka Tower,Segunbagicha</t>
  </si>
  <si>
    <t>Diganta Das</t>
  </si>
  <si>
    <t>20.06.1996</t>
  </si>
  <si>
    <t>Ajit Das</t>
  </si>
  <si>
    <t>Tanaka Tower,Segunbagicha</t>
  </si>
  <si>
    <t>Sayed Iham</t>
  </si>
  <si>
    <t>28.09.2003</t>
  </si>
  <si>
    <t>Ishrat Haque</t>
  </si>
  <si>
    <t>14, Naya Palan</t>
  </si>
  <si>
    <t>zawad Rahman</t>
  </si>
  <si>
    <t>24.12.2002</t>
  </si>
  <si>
    <t>Sultana Razia</t>
  </si>
  <si>
    <t>36 pioneer Road, kakrail, romna, dhaka -1000</t>
  </si>
  <si>
    <t>Zayed Nayem</t>
  </si>
  <si>
    <t>10.12.2003</t>
  </si>
  <si>
    <t>Nilufa yeasmin</t>
  </si>
  <si>
    <t>36, kakrail , pioneer road, dhaka</t>
  </si>
  <si>
    <t xml:space="preserve">Tahmid </t>
  </si>
  <si>
    <t>01576666003,,01634846097</t>
  </si>
  <si>
    <t>11.07.2005</t>
  </si>
  <si>
    <t>Morjida Khanom</t>
  </si>
  <si>
    <t>956/2 Outer Circuler road, Dhaka</t>
  </si>
  <si>
    <t>Shahrior Mehrab</t>
  </si>
  <si>
    <t>01830132853,,01760703286</t>
  </si>
  <si>
    <t>13.12.2009</t>
  </si>
  <si>
    <t>Sarowar Uddin</t>
  </si>
  <si>
    <t>Segunbagicha, Navana Tower</t>
  </si>
  <si>
    <t>Mahrum Hasan</t>
  </si>
  <si>
    <t>03.08.1991</t>
  </si>
  <si>
    <t>Md. Helal Uddin</t>
  </si>
  <si>
    <t>27/11/1, Topkhana Road, Dhaka 1000</t>
  </si>
  <si>
    <t>Abdullah Nishat</t>
  </si>
  <si>
    <t>29.05.1999</t>
  </si>
  <si>
    <t>87,  Purana Paltan, Paltan Tower, Apt-1205</t>
  </si>
  <si>
    <t>Md. Raju</t>
  </si>
  <si>
    <t>6 month</t>
  </si>
  <si>
    <t>03.03.2000</t>
  </si>
  <si>
    <t>Md. Habibur</t>
  </si>
  <si>
    <t>Iftequer Tanim</t>
  </si>
  <si>
    <t>6/2, segunbagicha</t>
  </si>
  <si>
    <t>Mahin Shahriar</t>
  </si>
  <si>
    <t>16.07.2005</t>
  </si>
  <si>
    <t>Ms. Moyazzem Hossain</t>
  </si>
  <si>
    <t>3, segunbagicha, Shajan Tower-2, 8c. Dhaka-1000</t>
  </si>
  <si>
    <t>Azmyen Mustafa</t>
  </si>
  <si>
    <t>18.10.2024</t>
  </si>
  <si>
    <t>Mustafa Kamal Chowdhury</t>
  </si>
  <si>
    <t>5/1, Gulnahar, Topkhana Road, Segunbagicha, Dhaka-1000</t>
  </si>
  <si>
    <t>Md. Maruf As Shafi</t>
  </si>
  <si>
    <t>Md. Abdul Qudddus</t>
  </si>
  <si>
    <t>14, Naya Paltan, Mosjid Goli, Flat no, C4</t>
  </si>
  <si>
    <t>AKM Zarif Hasan</t>
  </si>
  <si>
    <t>20.10.2009</t>
  </si>
  <si>
    <t>Sayedaa Shaheda Begum</t>
  </si>
  <si>
    <t>29, Nildiganta, Shegunbagicha, Ramna</t>
  </si>
  <si>
    <t>Md. Maruf Islam</t>
  </si>
  <si>
    <t>30.10.24</t>
  </si>
  <si>
    <t>21.02.2000</t>
  </si>
  <si>
    <t>Md. Nazrul Islam</t>
  </si>
  <si>
    <t>31, topkhana road , dhaka</t>
  </si>
  <si>
    <t>Shafayet Kabir</t>
  </si>
  <si>
    <t>26.10.2008</t>
  </si>
  <si>
    <t>Dust Allergy</t>
  </si>
  <si>
    <t>Shahriar Kabir</t>
  </si>
  <si>
    <t>21, Segunbagicha</t>
  </si>
  <si>
    <t>Farabi</t>
  </si>
  <si>
    <t>2.3.2006</t>
  </si>
  <si>
    <t>Momotaj Begum</t>
  </si>
  <si>
    <t>81,Noyapaltan, Dhaka-1000</t>
  </si>
  <si>
    <t>Mezbah Uddin Tipu</t>
  </si>
  <si>
    <t>16.10.1999</t>
  </si>
  <si>
    <t>Zainal Abedin</t>
  </si>
  <si>
    <t>Malibag Staff Quarter</t>
  </si>
  <si>
    <t>Afrin Wasima Rinthi</t>
  </si>
  <si>
    <t>27.05.1999</t>
  </si>
  <si>
    <t>Abul Hossain</t>
  </si>
  <si>
    <t>1/2, Ganguly Lane, kayattuuly</t>
  </si>
  <si>
    <t>Md. Ramzan Ali</t>
  </si>
  <si>
    <t>24.11.24</t>
  </si>
  <si>
    <t>10.02.1960</t>
  </si>
  <si>
    <t>Lambe Spine</t>
  </si>
  <si>
    <t>Self</t>
  </si>
  <si>
    <t>37, Pioneer Road, Segunbagicha</t>
  </si>
  <si>
    <t>Saiful Islam</t>
  </si>
  <si>
    <t>3 month</t>
  </si>
  <si>
    <t>12.12.1992</t>
  </si>
  <si>
    <r>
      <rPr>
        <rFont val="Arial"/>
        <color theme="1"/>
      </rPr>
      <t>B/P</t>
    </r>
    <r>
      <rPr>
        <rFont val="Arial"/>
        <color theme="1"/>
      </rPr>
      <t>, LS/S1, beetween pain</t>
    </r>
  </si>
  <si>
    <t>Syeda Mawfa Sultana</t>
  </si>
  <si>
    <t>Lane, 40/1, Shantinagar, Dhaka</t>
  </si>
  <si>
    <t>Sayed Mahir Muhtasim</t>
  </si>
  <si>
    <t>08.12.2024</t>
  </si>
  <si>
    <t>21.09.24</t>
  </si>
  <si>
    <t>Farhana Parvin</t>
  </si>
  <si>
    <t>6/7/A Topkhana Road, Segunbagicha</t>
  </si>
  <si>
    <t>Hafsa Tasnim Ali</t>
  </si>
  <si>
    <t>09.12.2024</t>
  </si>
  <si>
    <t>05.03.1999</t>
  </si>
  <si>
    <t>37, Pioneer Road,Shegunbagicha, Dhaka</t>
  </si>
  <si>
    <t>Imran Hasan Siam</t>
  </si>
  <si>
    <t>02.12.24</t>
  </si>
  <si>
    <t>20.07.2005</t>
  </si>
  <si>
    <t>3/5 Topkhana Road, Segunbagicha, Dhaka</t>
  </si>
  <si>
    <t>Rubina Nasrin</t>
  </si>
  <si>
    <t>28.12.24</t>
  </si>
  <si>
    <t>10.07.1968</t>
  </si>
  <si>
    <t>Back Pain</t>
  </si>
  <si>
    <t>Muhammad Baki Billah</t>
  </si>
  <si>
    <t>01.01.2025</t>
  </si>
  <si>
    <t>25.02.1984</t>
  </si>
  <si>
    <t>Flat 6, 6 shegunbagicha, Romna, Dhaka</t>
  </si>
  <si>
    <t>Tasir Haque</t>
  </si>
  <si>
    <t>19.01.25</t>
  </si>
  <si>
    <t>1 month</t>
  </si>
  <si>
    <t>17.06.1999</t>
  </si>
  <si>
    <t>Asmma</t>
  </si>
  <si>
    <t>Aminul haque</t>
  </si>
  <si>
    <t>Segunbagicha,easten ulaia</t>
  </si>
  <si>
    <t>Mumtahena ali</t>
  </si>
  <si>
    <t>21.01.25</t>
  </si>
  <si>
    <t>30.06.1995</t>
  </si>
  <si>
    <t>pcos</t>
  </si>
  <si>
    <t>Rubina nasrin</t>
  </si>
  <si>
    <t>Radif</t>
  </si>
  <si>
    <t>15.02.25</t>
  </si>
  <si>
    <t>11.08.2003</t>
  </si>
  <si>
    <t>6/7/A Segunbagicha,Dhaka</t>
  </si>
  <si>
    <t>april</t>
  </si>
  <si>
    <t xml:space="preserve">August </t>
  </si>
  <si>
    <t xml:space="preserve">February </t>
  </si>
  <si>
    <t xml:space="preserve">Aziz Manzil Academy </t>
  </si>
  <si>
    <t>Status</t>
  </si>
  <si>
    <t>Contact No</t>
  </si>
  <si>
    <t>Emergency Contact No</t>
  </si>
  <si>
    <t>Guardian's Name</t>
  </si>
  <si>
    <t>Mail Address</t>
  </si>
  <si>
    <t>Jersey Size</t>
  </si>
  <si>
    <t>Shoes Size</t>
  </si>
  <si>
    <t>Admission Date</t>
  </si>
  <si>
    <t>222/c/2 , malibag</t>
  </si>
  <si>
    <t>nazimehan@gmail.com</t>
  </si>
  <si>
    <t>M</t>
  </si>
  <si>
    <t>Md. Zakir Hossain</t>
  </si>
  <si>
    <t>Topkhana road, Segunagicha</t>
  </si>
  <si>
    <t>Zakir_ban@yahoo.com</t>
  </si>
  <si>
    <t>XS</t>
  </si>
  <si>
    <t>USA-4.5,EUR-35</t>
  </si>
  <si>
    <t>Faria Khan</t>
  </si>
  <si>
    <t>56/57.siddhesori road,rupayan shopno niloy flat-D6</t>
  </si>
  <si>
    <t>Sanbeem</t>
  </si>
  <si>
    <t>L</t>
  </si>
  <si>
    <t>Ahnaf Tousin</t>
  </si>
  <si>
    <t>Ahmed Hossain</t>
  </si>
  <si>
    <t>2/C Purana Palton Shawon tower</t>
  </si>
  <si>
    <t>S</t>
  </si>
  <si>
    <t>Bata-3 Baby Size</t>
  </si>
  <si>
    <t>Left</t>
  </si>
  <si>
    <t>Bata-1 Baby Size</t>
  </si>
  <si>
    <t>Jaydan</t>
  </si>
  <si>
    <t>Md. Anaf</t>
  </si>
  <si>
    <t>Sharmin Sultana</t>
  </si>
  <si>
    <t>224/B, Malibag</t>
  </si>
  <si>
    <t>Md. Rezoan</t>
  </si>
  <si>
    <t>Nokshi Tower</t>
  </si>
  <si>
    <t>Raisul Islam</t>
  </si>
  <si>
    <t xml:space="preserve">Malibag Shahi Mosjid </t>
  </si>
  <si>
    <t>kaniz Fatema</t>
  </si>
  <si>
    <t>Lalbag</t>
  </si>
  <si>
    <t>Nashwaan Hossen</t>
  </si>
  <si>
    <t>Naima Rahman</t>
  </si>
  <si>
    <t>34 segunbaghicha</t>
  </si>
  <si>
    <t>15/12/1022</t>
  </si>
  <si>
    <t>Emdad Mamun</t>
  </si>
  <si>
    <t>38/2, Shantinagar Dhaka</t>
  </si>
  <si>
    <t>Israk amin miraz</t>
  </si>
  <si>
    <t/>
  </si>
  <si>
    <t>Eastern Panoromma</t>
  </si>
  <si>
    <t>Md. Nazmul Islam</t>
  </si>
  <si>
    <t>6/B House No 43, New Iskaton Road</t>
  </si>
  <si>
    <t>reza Taimur Malik</t>
  </si>
  <si>
    <t>Tanaka Tower</t>
  </si>
  <si>
    <t>Small</t>
  </si>
  <si>
    <t>13, segunbagicha rupayan lofas</t>
  </si>
  <si>
    <t>Yousuf Abdullah</t>
  </si>
  <si>
    <t>Abdullah Al Ashraf</t>
  </si>
  <si>
    <t>5 segunbagicha Concord apartment 16 D</t>
  </si>
  <si>
    <t>Galam Hossain rian</t>
  </si>
  <si>
    <t>405, New skaton, Dillu Road 4th floor</t>
  </si>
  <si>
    <t xml:space="preserve">Marzuk </t>
  </si>
  <si>
    <t>Rizwan Rahman</t>
  </si>
  <si>
    <t>9 segunbagiacha eastern haven flat-104</t>
  </si>
  <si>
    <t>Annesha Ahmed</t>
  </si>
  <si>
    <t>29,Segunbaghicha,Nil Diganto Flat -6 B</t>
  </si>
  <si>
    <t>Mehenaz</t>
  </si>
  <si>
    <t>6/c summit hassan lodge, flat 4b</t>
  </si>
  <si>
    <t>Md shamimuzzam</t>
  </si>
  <si>
    <t>e8, tanaka tower 42/1 segunbagicha</t>
  </si>
  <si>
    <t>shaikh ishaq osman</t>
  </si>
  <si>
    <t>117 New Easkaton road</t>
  </si>
  <si>
    <t>Ibnul Ahmed</t>
  </si>
  <si>
    <t>Mogbazaar</t>
  </si>
  <si>
    <t>Rishi KR. Poddar</t>
  </si>
  <si>
    <t>6/2-A topkhana road segunbagicha</t>
  </si>
  <si>
    <t>F-1104 Eastern Panoroma, 3/2 segunbagicha</t>
  </si>
  <si>
    <t xml:space="preserve">Barrieaster Ziaur Rahman </t>
  </si>
  <si>
    <t xml:space="preserve">5 segunbagicha concord tower 16-F </t>
  </si>
  <si>
    <t>Md Anwar Hossain</t>
  </si>
  <si>
    <t>150 lalbag road</t>
  </si>
  <si>
    <t>Md. siddikur Rahman</t>
  </si>
  <si>
    <t>55 siddeeshwari a/201 suntower apt;</t>
  </si>
  <si>
    <t>Md. Mahboobur rahaman</t>
  </si>
  <si>
    <t>Nakshi tower 6/1/A Segunbagicha</t>
  </si>
  <si>
    <t>Hafizur Rahman Moni</t>
  </si>
  <si>
    <t>16/1/2 Earstarn morshed segunbagicha</t>
  </si>
  <si>
    <t>Shabbir Hossain</t>
  </si>
  <si>
    <t>52/1 Rahman Topical purana paltan line</t>
  </si>
  <si>
    <t>Md.Mahboob Alam</t>
  </si>
  <si>
    <t>Bakshi Bazaar Lane 10/2 Dhaka</t>
  </si>
  <si>
    <t>Md.Forhad Hossain</t>
  </si>
  <si>
    <t>3/1/A ulon west rampura dhaka-1219</t>
  </si>
  <si>
    <t xml:space="preserve">Md.Amran Hossain </t>
  </si>
  <si>
    <t xml:space="preserve">flat c3 18 new baily road </t>
  </si>
  <si>
    <t>Dr.Manzurul Islam</t>
  </si>
  <si>
    <t>Flat A7, Navana Alpenrose , 40 segunbagicha dhaka</t>
  </si>
  <si>
    <t>Sheikh Shahriar</t>
  </si>
  <si>
    <t>46/2 naya polton</t>
  </si>
  <si>
    <t>Kd roy</t>
  </si>
  <si>
    <t xml:space="preserve">108/1, siddewasri circular road </t>
  </si>
  <si>
    <t>Md. Khalid Hasan Pantha</t>
  </si>
  <si>
    <t>Flat-D9 Century Towder,119/1 boro mogbazar</t>
  </si>
  <si>
    <t>Md.Raonar Rahman</t>
  </si>
  <si>
    <t>1715662300-1741500000</t>
  </si>
  <si>
    <t>Shafiqul Islam Patowary</t>
  </si>
  <si>
    <t>15/A, Ranking Street, Wari, Dhaka.</t>
  </si>
  <si>
    <t>Dr. Istrat Jahan Ferdousi</t>
  </si>
  <si>
    <t>Dr. Eliza Akter</t>
  </si>
  <si>
    <t>01740635526-01828138075-01711650021</t>
  </si>
  <si>
    <t>Quazi Sharmina Sabrin</t>
  </si>
  <si>
    <t>41,Eastern Eskaton Garden, Flat 904, Dhaka Ramna</t>
  </si>
  <si>
    <t>01756777777,,01753000000</t>
  </si>
  <si>
    <t>Anthony Philip</t>
  </si>
  <si>
    <t>84,Kakrail, ramna, dhaka-1000</t>
  </si>
  <si>
    <t>Rashed Khan</t>
  </si>
  <si>
    <t>36,Estern pioneer,segunbagicha</t>
  </si>
  <si>
    <t>Joyanta Kishor Kar</t>
  </si>
  <si>
    <t>12km,DASLANE,Tikatuli,Dhaka</t>
  </si>
  <si>
    <t>01714120002-01715011855</t>
  </si>
  <si>
    <t>Mohammad Ashrafuzzaman</t>
  </si>
  <si>
    <t xml:space="preserve">14/G,Worabad colone Dilu R/D, Eskaton,Dhaka </t>
  </si>
  <si>
    <t>Earhan Hossan Talukdar</t>
  </si>
  <si>
    <t>38/1 segunbagicha,Dhaka</t>
  </si>
  <si>
    <t>Habibur Rahman</t>
  </si>
  <si>
    <t>Segunbagicha, Nokshi tower</t>
  </si>
  <si>
    <t>Sharmin Akter Mukti</t>
  </si>
  <si>
    <t>109, Agasadek road dhaka, Kotowali</t>
  </si>
  <si>
    <t>Lutfun Nahar Kanta</t>
  </si>
  <si>
    <t>361, Purbo Goran, Khilgoan</t>
  </si>
  <si>
    <t>Mahmuda Akter Mita</t>
  </si>
  <si>
    <t>2/3 Chamelibag, Segunbagicha</t>
  </si>
  <si>
    <t>Tania Sultana</t>
  </si>
  <si>
    <t>Sharulia, Demra, Dhaka</t>
  </si>
  <si>
    <t>Ajmeri Sultana</t>
  </si>
  <si>
    <t>59/1, Ujala Dristy Tower, Sutrapur</t>
  </si>
  <si>
    <t>Anjuman Ara</t>
  </si>
  <si>
    <t>Segunbagicha, Dhaka</t>
  </si>
  <si>
    <t>Md Abul Kalam Azad</t>
  </si>
  <si>
    <t>House, 284/A, Flat 3/A, East Rampura, Dhaka 1219</t>
  </si>
  <si>
    <t>1768137138, 01713027500</t>
  </si>
  <si>
    <r>
      <rPr>
        <rFont val="&quot;Times New Roman&quot;"/>
        <color rgb="FF000000"/>
        <sz val="12.0"/>
      </rPr>
      <t>Md.saiful Amin</t>
    </r>
  </si>
  <si>
    <t>H-6,Ggawsia Dynasty 109/1,Newcircuit hous ,Dhaka</t>
  </si>
  <si>
    <t>Syed Md. Deedarul Hoque</t>
  </si>
  <si>
    <t>Khilgoan, Dhaka</t>
  </si>
  <si>
    <t>Abdul Bari Alim</t>
  </si>
  <si>
    <t>5, Tallabagh, Zigatola, Dhaka</t>
  </si>
  <si>
    <t>Mohammad Mohsin</t>
  </si>
  <si>
    <t>A4, Baily Road, Dhaka</t>
  </si>
  <si>
    <t>Moajjem Hossain</t>
  </si>
  <si>
    <t>13, Rupayan Lotus, Flat-90, Shegunbagicha</t>
  </si>
  <si>
    <t>Afeef Rahman</t>
  </si>
  <si>
    <t>76,Pritom Tower Nayapaltan,Dhaka</t>
  </si>
  <si>
    <t xml:space="preserve">Abu Sadat </t>
  </si>
  <si>
    <t>1/2, New Baily ROad</t>
  </si>
  <si>
    <t>Md.Nuruddin</t>
  </si>
  <si>
    <t>7/8,Nobabpur rood,wary</t>
  </si>
  <si>
    <t>ASM Abdullah</t>
  </si>
  <si>
    <t>33, Pirer Goli, Shantinagar, Paltan, Dhaka</t>
  </si>
  <si>
    <t>Kazi Mainur Hossain</t>
  </si>
  <si>
    <t>H-03, RD-10, BL-L, South Banasree, Dhaka</t>
  </si>
  <si>
    <t>Ehtesham Uddin Ahmed Chowdhury</t>
  </si>
  <si>
    <t>71/A.B.C Shamibag, Dhaka</t>
  </si>
  <si>
    <t>Md. Azizur Rahman</t>
  </si>
  <si>
    <t>133, North Modinabagh, Mugdha, Dhaka</t>
  </si>
  <si>
    <t>Runnig Student</t>
  </si>
  <si>
    <t>bad</t>
  </si>
  <si>
    <t>``</t>
  </si>
  <si>
    <t>Aydin Reza</t>
  </si>
  <si>
    <t>End</t>
  </si>
  <si>
    <t xml:space="preserve">cancel </t>
  </si>
  <si>
    <t>Admission blance may</t>
  </si>
  <si>
    <t>admission 6000</t>
  </si>
  <si>
    <t>Admissson 6000</t>
  </si>
  <si>
    <t>Admssion Baksh 6000</t>
  </si>
  <si>
    <t>Admission 3000+was absent due to sickness</t>
  </si>
  <si>
    <t>Admission 3000</t>
  </si>
  <si>
    <t>Admission 6000 bkash</t>
  </si>
  <si>
    <t xml:space="preserve">Admission 6000 </t>
  </si>
  <si>
    <t>bad]</t>
  </si>
  <si>
    <t>Admission 5000</t>
  </si>
  <si>
    <t>Admision 6000</t>
  </si>
  <si>
    <t>cancel</t>
  </si>
  <si>
    <t>Admission  6000</t>
  </si>
  <si>
    <t>\</t>
  </si>
  <si>
    <t>May-24</t>
  </si>
  <si>
    <t>June-24</t>
  </si>
  <si>
    <t>July-24</t>
  </si>
  <si>
    <t>Aug-24</t>
  </si>
  <si>
    <t>September-24</t>
  </si>
  <si>
    <t>October-24</t>
  </si>
  <si>
    <t>November-24</t>
  </si>
  <si>
    <t>December-24</t>
  </si>
  <si>
    <t>April-2025</t>
  </si>
  <si>
    <t>May -2025</t>
  </si>
  <si>
    <t>June -2025</t>
  </si>
  <si>
    <t xml:space="preserve">  </t>
  </si>
  <si>
    <t>Admission 2500</t>
  </si>
  <si>
    <t>Admission 2000</t>
  </si>
  <si>
    <t>26-End</t>
  </si>
  <si>
    <t>Sayed Iham Talha</t>
  </si>
  <si>
    <t>8-End</t>
  </si>
  <si>
    <t>28-End</t>
  </si>
  <si>
    <t>Mahrum Hasan panna</t>
  </si>
  <si>
    <t>Siam (Bhaat Ghor)</t>
  </si>
  <si>
    <t>2000   28-End</t>
  </si>
  <si>
    <t>7-End</t>
  </si>
  <si>
    <t>End-15</t>
  </si>
  <si>
    <t>g</t>
  </si>
  <si>
    <t>18.04.24</t>
  </si>
  <si>
    <t>May Gym Fees</t>
  </si>
  <si>
    <t>09.05.24</t>
  </si>
  <si>
    <t>15.05.24</t>
  </si>
  <si>
    <t>26.05.24</t>
  </si>
  <si>
    <t>June Gym Fees</t>
  </si>
  <si>
    <t>05.06.24</t>
  </si>
  <si>
    <t>June Gym Fees Bkash</t>
  </si>
  <si>
    <t>June,July,August</t>
  </si>
  <si>
    <t>Add Campaign</t>
  </si>
  <si>
    <t>Canva subscription, Add campaign Dollar</t>
  </si>
  <si>
    <t>11.06.24</t>
  </si>
  <si>
    <t>July Gym Fees</t>
  </si>
  <si>
    <t>July Gym Fees Bkash</t>
  </si>
  <si>
    <t>27.06.24</t>
  </si>
  <si>
    <t>July, August, September Fees</t>
  </si>
  <si>
    <t>07.07.24</t>
  </si>
  <si>
    <t>14.07.24</t>
  </si>
  <si>
    <t>Chitro Golpo, Ayna Mohol Gift Sending</t>
  </si>
  <si>
    <t>July,August, September, October, November, December Fees</t>
  </si>
  <si>
    <t>31.07.24</t>
  </si>
  <si>
    <t>August Gym Fees</t>
  </si>
  <si>
    <t>01.08.24</t>
  </si>
  <si>
    <t>Pramita datta</t>
  </si>
  <si>
    <t>July, August, Fees-Bkash</t>
  </si>
  <si>
    <t>08.08.24</t>
  </si>
  <si>
    <t>12.08.24</t>
  </si>
  <si>
    <t>Gym Fees August</t>
  </si>
  <si>
    <t>Matt 4 pcs</t>
  </si>
  <si>
    <t>Gym Floor Matt</t>
  </si>
  <si>
    <t>Bkash september, October  November</t>
  </si>
  <si>
    <r>
      <rPr>
        <rFont val="Arial"/>
        <color rgb="FF000000"/>
      </rPr>
      <t>september, October November</t>
    </r>
  </si>
  <si>
    <r>
      <rPr>
        <rFont val="Arial"/>
        <color rgb="FF000000"/>
      </rPr>
      <t>september, October November</t>
    </r>
  </si>
  <si>
    <t>Tahmid Ahmed</t>
  </si>
  <si>
    <r>
      <rPr>
        <rFont val="Arial"/>
        <color rgb="FF000000"/>
      </rPr>
      <t>september, October November</t>
    </r>
  </si>
  <si>
    <t>27.08.24</t>
  </si>
  <si>
    <t>Gym Fees September</t>
  </si>
  <si>
    <t>Arin Sir</t>
  </si>
  <si>
    <t>07.09.24</t>
  </si>
  <si>
    <t xml:space="preserve">Md.Monowar Mukaram </t>
  </si>
  <si>
    <t>Bkash August</t>
  </si>
  <si>
    <t>14.09.24</t>
  </si>
  <si>
    <t>Gym Fees September Bkash</t>
  </si>
  <si>
    <t>Gym Fees Ocober, November</t>
  </si>
  <si>
    <t>23.09.24</t>
  </si>
  <si>
    <t>Gym Fees Ocober</t>
  </si>
  <si>
    <t>24.09.24</t>
  </si>
  <si>
    <t>Withdrawl</t>
  </si>
  <si>
    <t>Gym Fees Ocober, November, December Bkash</t>
  </si>
  <si>
    <t>17.10.24</t>
  </si>
  <si>
    <t>Gym Fees Ocober Bkash</t>
  </si>
  <si>
    <t>20.10.24</t>
  </si>
  <si>
    <t>Gym Fees Ocober, November, December</t>
  </si>
  <si>
    <t>Gym Fees November Bkash</t>
  </si>
  <si>
    <t xml:space="preserve">Gym Fees November </t>
  </si>
  <si>
    <t>Gym Fees November, Bkash</t>
  </si>
  <si>
    <t>Gym Fees October, November, Bkash</t>
  </si>
  <si>
    <t>Gym Fees October, November</t>
  </si>
  <si>
    <t>Machine Oil, Servicing</t>
  </si>
  <si>
    <t>Service</t>
  </si>
  <si>
    <t>16.11.24</t>
  </si>
  <si>
    <t>17.11.24</t>
  </si>
  <si>
    <t>Gym Fees November</t>
  </si>
  <si>
    <t>25.11.24</t>
  </si>
  <si>
    <t>X Banner</t>
  </si>
  <si>
    <t>X banner making cost</t>
  </si>
  <si>
    <t>Vat tips</t>
  </si>
  <si>
    <t xml:space="preserve">Salary November </t>
  </si>
  <si>
    <t>Ajwad Hasan</t>
  </si>
  <si>
    <t>Gym Fees October</t>
  </si>
  <si>
    <t>Gym Fees December, January</t>
  </si>
  <si>
    <t>Gym Fees December</t>
  </si>
  <si>
    <t>08.12.24</t>
  </si>
  <si>
    <t>Gym Fees December, January, February</t>
  </si>
  <si>
    <t>09.12.24</t>
  </si>
  <si>
    <t>Gym Fees December, Bkash</t>
  </si>
  <si>
    <t>Gym trainer snacks bill</t>
  </si>
  <si>
    <t>Talha bhai's Sncks Bill</t>
  </si>
  <si>
    <t>15.12.24</t>
  </si>
  <si>
    <t>17.12.24</t>
  </si>
  <si>
    <t>19.12.24</t>
  </si>
  <si>
    <t>Gym Fees February</t>
  </si>
  <si>
    <t>Gym Fees January, February, March</t>
  </si>
  <si>
    <t>04.01.25</t>
  </si>
  <si>
    <t>Gym Fees January, Bkash</t>
  </si>
  <si>
    <t>08.01.25</t>
  </si>
  <si>
    <t>Gym Fees January, February half</t>
  </si>
  <si>
    <t>10.01.25</t>
  </si>
  <si>
    <t>Trainer Nasta</t>
  </si>
  <si>
    <t>Talha,Jewel Snack's Bill</t>
  </si>
  <si>
    <t>13.01.25</t>
  </si>
  <si>
    <t>Gym Fees January</t>
  </si>
  <si>
    <t>Gym Fees February half, March</t>
  </si>
  <si>
    <t>18.01.25</t>
  </si>
  <si>
    <t>Gym admission Fees January Bkash</t>
  </si>
  <si>
    <t>Gym admission Fees January</t>
  </si>
  <si>
    <t>Gym Fees February -bkash</t>
  </si>
  <si>
    <t xml:space="preserve">Gym Fees February </t>
  </si>
  <si>
    <t xml:space="preserve">Gym admission 3month </t>
  </si>
  <si>
    <t>Gym Fees February -bkash recevired by tanjil</t>
  </si>
  <si>
    <t>10.03.25</t>
  </si>
  <si>
    <t>Gym Fees March</t>
  </si>
  <si>
    <t>20.02.25</t>
  </si>
  <si>
    <t>09.04.2025</t>
  </si>
  <si>
    <t>Gym Fee April,May, June 2025</t>
  </si>
  <si>
    <t>Ramzan ali retun his package</t>
  </si>
  <si>
    <t>nc</t>
  </si>
  <si>
    <t>Januaey</t>
  </si>
  <si>
    <t>due</t>
  </si>
  <si>
    <t>exam</t>
  </si>
  <si>
    <t>Paid</t>
  </si>
  <si>
    <t>paid</t>
  </si>
  <si>
    <t>wait for call</t>
  </si>
  <si>
    <t>Taka Dibe</t>
  </si>
  <si>
    <t>not pick</t>
  </si>
  <si>
    <t>Dibe na asle dibe</t>
  </si>
  <si>
    <t>diya dibe</t>
  </si>
  <si>
    <t>bkash paid</t>
  </si>
  <si>
    <t>Bkash dibe</t>
  </si>
  <si>
    <t xml:space="preserve">Taka zesun bhai </t>
  </si>
  <si>
    <t>Bkash paid</t>
  </si>
  <si>
    <t>Not active</t>
  </si>
  <si>
    <t>Bkash Paid</t>
  </si>
  <si>
    <t>3 month por por dibe</t>
  </si>
  <si>
    <t>want to Pay next class</t>
  </si>
  <si>
    <t>injured</t>
  </si>
  <si>
    <t>Adission Date</t>
  </si>
  <si>
    <t>Packeage</t>
  </si>
  <si>
    <t>Monthly fee</t>
  </si>
  <si>
    <t>Contact no</t>
  </si>
  <si>
    <t>Date of Admission</t>
  </si>
  <si>
    <t>Package</t>
  </si>
  <si>
    <t>Taka</t>
  </si>
  <si>
    <t>Samaun Shahriar Alif</t>
  </si>
  <si>
    <t>Fahad Mohammed</t>
  </si>
  <si>
    <t>left</t>
  </si>
  <si>
    <t>Ebadul Bin Hoaque (Rafi)</t>
  </si>
  <si>
    <t xml:space="preserve">     </t>
  </si>
  <si>
    <t>Sadman Sakib Fahim</t>
  </si>
  <si>
    <t>Mohammed Shamir Abdin</t>
  </si>
  <si>
    <t>Daily</t>
  </si>
  <si>
    <t>Md.Imran Hossain</t>
  </si>
  <si>
    <t>Mehedi Hasan Purno</t>
  </si>
  <si>
    <t>Jubayer</t>
  </si>
  <si>
    <t>Md.Tanvir Hossain</t>
  </si>
  <si>
    <t>Md.Mozammel Haque</t>
  </si>
  <si>
    <t>Khandaker Rejaul Shabab(Rozen)</t>
  </si>
  <si>
    <t>26.06.2022</t>
  </si>
  <si>
    <t>Khondoker Suzaul Shabab(Shozan)</t>
  </si>
  <si>
    <t>Ayon Ahmed</t>
  </si>
  <si>
    <t>Hossain Ahmed Tanzil Diganto</t>
  </si>
  <si>
    <t>Ishak Al Ayman</t>
  </si>
  <si>
    <t>Monir Hossain</t>
  </si>
  <si>
    <t>Mirza Imtiaz Ahmed</t>
  </si>
  <si>
    <t>Subir Nandi Das</t>
  </si>
  <si>
    <t>Md.Ashfaquzzoha ( Ashfaq)</t>
  </si>
  <si>
    <t>Ayan</t>
  </si>
  <si>
    <t>Md Sabbir Khan</t>
  </si>
  <si>
    <t>Rayhan Kabir</t>
  </si>
  <si>
    <t>Ahnaf Akif Ishmum</t>
  </si>
  <si>
    <t>A.K Binol</t>
  </si>
  <si>
    <t>Saidul Islam</t>
  </si>
  <si>
    <t>Anir Ban Neogi</t>
  </si>
  <si>
    <t>Mutasim Tahmid</t>
  </si>
  <si>
    <t>Md.Israfil Omi</t>
  </si>
  <si>
    <t>Fazly Noor</t>
  </si>
  <si>
    <t>Shawkoat Ali</t>
  </si>
  <si>
    <t>Istiaq ahmed</t>
  </si>
  <si>
    <t>Musabbir I Nazib</t>
  </si>
  <si>
    <t>Talha</t>
  </si>
  <si>
    <t>Zayed Nayeem</t>
  </si>
  <si>
    <t>Md. Yamin Sarker</t>
  </si>
  <si>
    <t>Anirban</t>
  </si>
  <si>
    <t>Fahim reza</t>
  </si>
  <si>
    <t>Sabbir khan</t>
  </si>
  <si>
    <t>Saiful islam bhuiyan</t>
  </si>
  <si>
    <t>Saiful islam sagor</t>
  </si>
  <si>
    <t>Sharar Siddik</t>
  </si>
  <si>
    <t>Moshraf Hossain</t>
  </si>
  <si>
    <t>Riyad uz zaman</t>
  </si>
  <si>
    <t>Ragheeb faatih Moazzer</t>
  </si>
  <si>
    <t>Sifat Ullah Bhuiyan</t>
  </si>
  <si>
    <t>Ariful islam</t>
  </si>
  <si>
    <t>Irhan Rahman Himel</t>
  </si>
  <si>
    <t>Imran Hossain Samrat</t>
  </si>
  <si>
    <t>Md Sakib Mahdi</t>
  </si>
  <si>
    <t>MD.Mustafizur Rahman</t>
  </si>
  <si>
    <t>Shamim Rahman</t>
  </si>
  <si>
    <t>MD.Mahmudul Hasan</t>
  </si>
  <si>
    <t>Md.Salaudiin ahmed</t>
  </si>
  <si>
    <t>ID SL/NO</t>
  </si>
  <si>
    <t>Package amount</t>
  </si>
  <si>
    <t>Samaun Shahrin Alif</t>
  </si>
  <si>
    <t>Youhan Tahmid</t>
  </si>
  <si>
    <t xml:space="preserve">Yanan Tanzim </t>
  </si>
  <si>
    <t>Ref;Discount</t>
  </si>
  <si>
    <t>june</t>
  </si>
  <si>
    <t>nil</t>
  </si>
  <si>
    <t>Ref old Member</t>
  </si>
  <si>
    <t>Safayet Hossain</t>
  </si>
  <si>
    <t>Nil</t>
  </si>
  <si>
    <t>Al-Mahade Hassan Apon</t>
  </si>
  <si>
    <t>Arafat noor</t>
  </si>
  <si>
    <t xml:space="preserve">Shahriar aziz </t>
  </si>
  <si>
    <t xml:space="preserve">Sahil </t>
  </si>
  <si>
    <t xml:space="preserve">Sadman Sakib </t>
  </si>
  <si>
    <t xml:space="preserve">Monthly </t>
  </si>
  <si>
    <t xml:space="preserve">Nil </t>
  </si>
  <si>
    <t xml:space="preserve">Ref Old Member </t>
  </si>
  <si>
    <t xml:space="preserve">Rohat Ali Rajib </t>
  </si>
  <si>
    <t>Sayed Hossain Mohammad Mashrur</t>
  </si>
  <si>
    <t xml:space="preserve">Tahmid Chowdhury </t>
  </si>
  <si>
    <t>4.5 Month</t>
  </si>
  <si>
    <t>MD.Rocky Miah</t>
  </si>
  <si>
    <t>4.5 month</t>
  </si>
  <si>
    <t>Abrar Sharif</t>
  </si>
  <si>
    <t>Due-1500</t>
  </si>
  <si>
    <t>Soni</t>
  </si>
  <si>
    <t>Tareq Aziz Imran</t>
  </si>
  <si>
    <t>Towsif Islam</t>
  </si>
  <si>
    <t xml:space="preserve">Seikh sabbir Ahmed </t>
  </si>
  <si>
    <t>Fazlay noor</t>
  </si>
  <si>
    <t>Yamin Sarker</t>
  </si>
  <si>
    <t>monthly</t>
  </si>
  <si>
    <t>Shabib Zaman</t>
  </si>
  <si>
    <t>Due-2000</t>
  </si>
  <si>
    <t>Al Emrun Gorjon</t>
  </si>
  <si>
    <t xml:space="preserve">Shahriar Siddik </t>
  </si>
  <si>
    <t>Shadman Haque</t>
  </si>
  <si>
    <t xml:space="preserve">zakir Hossain </t>
  </si>
  <si>
    <t>3 monthly</t>
  </si>
  <si>
    <t>Majba udiin</t>
  </si>
  <si>
    <t xml:space="preserve">Tawhid uddin </t>
  </si>
  <si>
    <t>aug</t>
  </si>
  <si>
    <t>Manuar Rahman Mukraam</t>
  </si>
  <si>
    <t xml:space="preserve">Mufat Uddin Shithil </t>
  </si>
  <si>
    <t>A.K.M Zarif Hasan</t>
  </si>
  <si>
    <t xml:space="preserve">Tanvir Ahmed </t>
  </si>
  <si>
    <t xml:space="preserve">Riad Hossain </t>
  </si>
  <si>
    <t>Md Sabbir Ahmed</t>
  </si>
  <si>
    <t xml:space="preserve">September </t>
  </si>
  <si>
    <t>Sabbir ahmed rasel</t>
  </si>
  <si>
    <t xml:space="preserve">Jahid Patoary </t>
  </si>
  <si>
    <t>Abid Hassan Sakal</t>
  </si>
  <si>
    <t>Nadia Zaman</t>
  </si>
  <si>
    <t xml:space="preserve">Siam </t>
  </si>
  <si>
    <t xml:space="preserve">Md. Zamiur Rahman </t>
  </si>
  <si>
    <t>Aklima Akter</t>
  </si>
  <si>
    <t>Abdul Ahad</t>
  </si>
  <si>
    <t>Abdullah Mehenaj</t>
  </si>
  <si>
    <t>Walid Hasan</t>
  </si>
  <si>
    <t>Hasnat Islam Niloy</t>
  </si>
  <si>
    <t>Susmita Surja</t>
  </si>
  <si>
    <t>SK. Zafor Sadek Chowdhury</t>
  </si>
  <si>
    <t>Dhrupad Rupobarto</t>
  </si>
  <si>
    <t>Tanjim ur Rahman</t>
  </si>
  <si>
    <t>Abid Hasan</t>
  </si>
  <si>
    <t xml:space="preserve">Abu Darba </t>
  </si>
  <si>
    <t>Fahim Shahriyar</t>
  </si>
  <si>
    <t>Ramisha Faruque Siman</t>
  </si>
  <si>
    <t>Jannatul Ferdous Mizi</t>
  </si>
  <si>
    <t>Sanjida Mizi</t>
  </si>
  <si>
    <t>Fahmida Mizi</t>
  </si>
  <si>
    <t>Nabila Mizi</t>
  </si>
  <si>
    <t>Nibir Rahman</t>
  </si>
  <si>
    <t xml:space="preserve">Md. Abu Sufian </t>
  </si>
  <si>
    <t>Sayeda Faria Jamal</t>
  </si>
  <si>
    <t>Fardin Shahriar</t>
  </si>
  <si>
    <t>Md. Osman</t>
  </si>
  <si>
    <t>Momin</t>
  </si>
  <si>
    <t xml:space="preserve">Mohammad Shawon </t>
  </si>
  <si>
    <t>Md. Mezbah Uddin Tipu</t>
  </si>
  <si>
    <t>10.01.24</t>
  </si>
  <si>
    <t>Alamin Shaikh</t>
  </si>
  <si>
    <t>15.01.24</t>
  </si>
  <si>
    <t>R. S. M. Durbar</t>
  </si>
  <si>
    <t>Mst. Roksana Pervin</t>
  </si>
  <si>
    <t>Md. Noor a Alam</t>
  </si>
  <si>
    <t>MK Bin Noor Manafi</t>
  </si>
  <si>
    <t xml:space="preserve">Afrid Hossain </t>
  </si>
  <si>
    <t>Md. Rashed</t>
  </si>
  <si>
    <t>Safayet Hasan Sami</t>
  </si>
  <si>
    <t>Tasfiq Hossen Jisan</t>
  </si>
  <si>
    <t>Mijbah</t>
  </si>
  <si>
    <t>Al Farabi</t>
  </si>
  <si>
    <t>Sheikh Korban Islam</t>
  </si>
  <si>
    <t>Shahriar Abir</t>
  </si>
  <si>
    <t>Hamza Bin Morshed</t>
  </si>
  <si>
    <t xml:space="preserve">Md. Tanvir Ahmed </t>
  </si>
  <si>
    <t>S/n</t>
  </si>
  <si>
    <t>Player Name</t>
  </si>
  <si>
    <t>Admission+Fee</t>
  </si>
  <si>
    <t>Admission  fee</t>
  </si>
  <si>
    <t>Safayet Islam</t>
  </si>
  <si>
    <t xml:space="preserve">Admission fee </t>
  </si>
  <si>
    <t>Admssion 4 Month  fee</t>
  </si>
  <si>
    <t xml:space="preserve"> 4.5 monthmembership</t>
  </si>
  <si>
    <t>1500 due</t>
  </si>
  <si>
    <t>Sonu</t>
  </si>
  <si>
    <t>Admission fee+monthly fee</t>
  </si>
  <si>
    <t>June balance</t>
  </si>
  <si>
    <t>admission</t>
  </si>
  <si>
    <t>due-4000</t>
  </si>
  <si>
    <t>Monthly fee july</t>
  </si>
  <si>
    <t>Monthly fee+Admission</t>
  </si>
  <si>
    <t>Monthly june</t>
  </si>
  <si>
    <t>Ragheeb Faatih Moazzem</t>
  </si>
  <si>
    <t>June Month bkash</t>
  </si>
  <si>
    <t>Rocky Mia</t>
  </si>
  <si>
    <t>package due</t>
  </si>
  <si>
    <t>Monthly july no admi</t>
  </si>
  <si>
    <t>Al Emrun Garjon</t>
  </si>
  <si>
    <t>Admission monthly</t>
  </si>
  <si>
    <t>Arfaat noor</t>
  </si>
  <si>
    <t>Monthly fee june</t>
  </si>
  <si>
    <t>packeage due</t>
  </si>
  <si>
    <t>July fee</t>
  </si>
  <si>
    <t>Fee</t>
  </si>
  <si>
    <t>admission +Fee</t>
  </si>
  <si>
    <t>arafat noor</t>
  </si>
  <si>
    <t>Sadman Sakib</t>
  </si>
  <si>
    <t>3 month packeage</t>
  </si>
  <si>
    <t xml:space="preserve">Safayet </t>
  </si>
  <si>
    <t>august</t>
  </si>
  <si>
    <t>Withdraw For salary</t>
  </si>
  <si>
    <t>september</t>
  </si>
  <si>
    <t>BKS</t>
  </si>
  <si>
    <t>Alif</t>
  </si>
  <si>
    <t>Tanvir ahmed</t>
  </si>
  <si>
    <t>Safayet hossain</t>
  </si>
  <si>
    <t>Monowar Mukarram</t>
  </si>
  <si>
    <t>october</t>
  </si>
  <si>
    <t>Dress Fee</t>
  </si>
  <si>
    <t>Septemper</t>
  </si>
  <si>
    <t>Noveber</t>
  </si>
  <si>
    <t>Areeba Binte Hasan</t>
  </si>
  <si>
    <t>Droup</t>
  </si>
  <si>
    <t>Withdraw</t>
  </si>
  <si>
    <t>Jawata afnan Nabiha</t>
  </si>
  <si>
    <t>Aynani Tajrian Maryam</t>
  </si>
  <si>
    <t>Withdraw june salary</t>
  </si>
  <si>
    <t>PREVIOUS BALANCE</t>
  </si>
  <si>
    <t>Areeba Binte Hasan dress</t>
  </si>
  <si>
    <t>dress</t>
  </si>
  <si>
    <t>Oct</t>
  </si>
  <si>
    <t>Areeba Binte hasan</t>
  </si>
  <si>
    <t>ok</t>
  </si>
  <si>
    <t>Admission april last</t>
  </si>
  <si>
    <t>Re-admission-5000</t>
  </si>
  <si>
    <t>Height</t>
  </si>
  <si>
    <t>Weight</t>
  </si>
  <si>
    <t xml:space="preserve">Crossing </t>
  </si>
  <si>
    <t>Dribbling</t>
  </si>
  <si>
    <t>Shooting</t>
  </si>
  <si>
    <t>Tackling</t>
  </si>
  <si>
    <t>Technique</t>
  </si>
  <si>
    <t>Aggression</t>
  </si>
  <si>
    <t>Creativity</t>
  </si>
  <si>
    <t>Decision</t>
  </si>
  <si>
    <t>Leadershio</t>
  </si>
  <si>
    <t xml:space="preserve">Movement </t>
  </si>
  <si>
    <t>Positioning</t>
  </si>
  <si>
    <t>Teamwork</t>
  </si>
  <si>
    <t>Peace</t>
  </si>
  <si>
    <t>Stamina</t>
  </si>
  <si>
    <t>Strength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</si>
</sst>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d-m-yyyy"/>
    <numFmt numFmtId="166" formatCode="dd/mm/yy"/>
    <numFmt numFmtId="167" formatCode="d/m/yy"/>
    <numFmt numFmtId="168" formatCode="d/m/yyyy"/>
    <numFmt numFmtId="169" formatCode="dd/mm/yyyy"/>
    <numFmt numFmtId="170" formatCode="dd/MM/yyyy"/>
  </numFmts>
  <fonts count="5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/>
    <font>
      <sz val="11.0"/>
      <color theme="1"/>
      <name val="Times New Roman"/>
    </font>
    <font>
      <b/>
      <color theme="1"/>
      <name val="Times New Roman"/>
    </font>
    <font>
      <sz val="12.0"/>
      <color rgb="FF000000"/>
      <name val="Times New Roman"/>
    </font>
    <font>
      <color theme="1"/>
      <name val="Times New Roman"/>
    </font>
    <font>
      <sz val="13.0"/>
      <color theme="1"/>
      <name val="Times New Roman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&quot;Times New Roman&quot;"/>
    </font>
    <font>
      <sz val="11.0"/>
      <color rgb="FF202124"/>
      <name val="Times New Roman"/>
    </font>
    <font>
      <sz val="11.0"/>
      <color rgb="FF000000"/>
      <name val="Times New Roman"/>
    </font>
    <font>
      <sz val="11.0"/>
      <color rgb="FF000000"/>
      <name val="&quot;Times New Roman&quot;"/>
    </font>
    <font>
      <sz val="11.0"/>
      <color rgb="FF000000"/>
      <name val="Arial"/>
      <scheme val="minor"/>
    </font>
    <font>
      <sz val="11.0"/>
      <color rgb="FF434343"/>
      <name val="Arial"/>
      <scheme val="minor"/>
    </font>
    <font>
      <sz val="11.0"/>
      <color rgb="FF434343"/>
      <name val="Times New Roman"/>
    </font>
    <font>
      <sz val="11.0"/>
      <color rgb="FFFF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Times New Roman"/>
    </font>
    <font>
      <sz val="12.0"/>
      <color theme="1"/>
      <name val="Arial"/>
      <scheme val="minor"/>
    </font>
    <font>
      <sz val="10.0"/>
      <color theme="1"/>
      <name val="Arial"/>
    </font>
    <font>
      <b/>
      <sz val="15.0"/>
      <color rgb="FF000000"/>
      <name val="Times New Roman"/>
    </font>
    <font>
      <b/>
      <sz val="11.0"/>
      <color rgb="FF000000"/>
      <name val="Times New Roman"/>
    </font>
    <font>
      <b/>
      <sz val="16.0"/>
      <color rgb="FF000000"/>
      <name val="Times New Roman"/>
    </font>
    <font>
      <b/>
      <sz val="18.0"/>
      <color rgb="FF000000"/>
      <name val="Times New Roman"/>
    </font>
    <font>
      <b/>
      <sz val="16.0"/>
      <color rgb="FF202124"/>
      <name val="Times New Roman"/>
    </font>
    <font>
      <sz val="14.0"/>
      <color theme="1"/>
      <name val="Times New Roman"/>
    </font>
    <font>
      <b/>
      <color rgb="FF000000"/>
      <name val="Times New Roman"/>
    </font>
    <font>
      <sz val="14.0"/>
      <color rgb="FF000000"/>
      <name val="Times New Roman"/>
    </font>
    <font>
      <b/>
      <sz val="14.0"/>
      <color rgb="FF000000"/>
      <name val="Times New Roman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1.0"/>
      <color rgb="FF000000"/>
      <name val="Calibri"/>
    </font>
    <font>
      <b/>
      <sz val="12.0"/>
      <color rgb="FF000000"/>
      <name val="Times New Roman"/>
    </font>
    <font>
      <b/>
      <sz val="12.0"/>
      <color rgb="FF202124"/>
      <name val="Times New Roman"/>
    </font>
    <font>
      <sz val="12.0"/>
      <color rgb="FF202124"/>
      <name val="Times New Roman"/>
    </font>
    <font>
      <u/>
      <sz val="12.0"/>
      <color rgb="FF0000FF"/>
      <name val="Times New Roman"/>
    </font>
    <font>
      <sz val="12.0"/>
      <color rgb="FF000000"/>
      <name val="&quot;Times New Roman&quot;"/>
    </font>
    <font>
      <b/>
      <sz val="22.0"/>
      <color rgb="FF000000"/>
      <name val="Calibri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sz val="11.0"/>
      <color rgb="FF000000"/>
      <name val="Docs-Calibri"/>
    </font>
    <font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0E0E3"/>
        <bgColor rgb="FFD0E0E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6" fontId="8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3" fontId="8" numFmtId="0" xfId="0" applyFont="1"/>
    <xf borderId="0" fillId="0" fontId="8" numFmtId="0" xfId="0" applyFont="1"/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7" fontId="10" numFmtId="0" xfId="0" applyAlignment="1" applyFill="1" applyFont="1">
      <alignment horizontal="left" readingOrder="0"/>
    </xf>
    <xf borderId="0" fillId="7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3" fontId="13" numFmtId="0" xfId="0" applyAlignment="1" applyFont="1">
      <alignment horizontal="left" readingOrder="0"/>
    </xf>
    <xf borderId="0" fillId="3" fontId="5" numFmtId="0" xfId="0" applyAlignment="1" applyFont="1">
      <alignment readingOrder="0"/>
    </xf>
    <xf borderId="0" fillId="3" fontId="14" numFmtId="0" xfId="0" applyAlignment="1" applyFont="1">
      <alignment horizontal="left" readingOrder="0" shrinkToFit="0" vertical="bottom" wrapText="0"/>
    </xf>
    <xf borderId="0" fillId="3" fontId="10" numFmtId="0" xfId="0" applyAlignment="1" applyFont="1">
      <alignment readingOrder="0"/>
    </xf>
    <xf borderId="0" fillId="3" fontId="10" numFmtId="0" xfId="0" applyFont="1"/>
    <xf borderId="0" fillId="8" fontId="10" numFmtId="0" xfId="0" applyAlignment="1" applyFill="1" applyFont="1">
      <alignment readingOrder="0"/>
    </xf>
    <xf borderId="0" fillId="3" fontId="5" numFmtId="0" xfId="0" applyAlignment="1" applyFont="1">
      <alignment vertical="bottom"/>
    </xf>
    <xf borderId="0" fillId="9" fontId="10" numFmtId="0" xfId="0" applyFill="1" applyFont="1"/>
    <xf borderId="0" fillId="9" fontId="10" numFmtId="0" xfId="0" applyAlignment="1" applyFont="1">
      <alignment readingOrder="0"/>
    </xf>
    <xf borderId="0" fillId="0" fontId="10" numFmtId="14" xfId="0" applyAlignment="1" applyFont="1" applyNumberFormat="1">
      <alignment readingOrder="0"/>
    </xf>
    <xf borderId="0" fillId="10" fontId="10" numFmtId="0" xfId="0" applyFill="1" applyFont="1"/>
    <xf borderId="0" fillId="10" fontId="10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3" fontId="15" numFmtId="0" xfId="0" applyAlignment="1" applyBorder="1" applyFont="1">
      <alignment readingOrder="0" vertical="bottom"/>
    </xf>
    <xf borderId="1" fillId="3" fontId="13" numFmtId="0" xfId="0" applyAlignment="1" applyBorder="1" applyFont="1">
      <alignment horizontal="left" readingOrder="0"/>
    </xf>
    <xf borderId="1" fillId="3" fontId="14" numFmtId="0" xfId="0" applyAlignment="1" applyBorder="1" applyFont="1">
      <alignment horizontal="left" readingOrder="0" shrinkToFit="0" vertical="bottom" wrapText="0"/>
    </xf>
    <xf borderId="1" fillId="3" fontId="5" numFmtId="0" xfId="0" applyAlignment="1" applyBorder="1" applyFont="1">
      <alignment vertical="bottom"/>
    </xf>
    <xf borderId="0" fillId="11" fontId="10" numFmtId="0" xfId="0" applyFill="1" applyFont="1"/>
    <xf borderId="1" fillId="3" fontId="5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0" fillId="0" fontId="10" numFmtId="166" xfId="0" applyAlignment="1" applyFont="1" applyNumberFormat="1">
      <alignment readingOrder="0"/>
    </xf>
    <xf borderId="1" fillId="12" fontId="5" numFmtId="0" xfId="0" applyAlignment="1" applyBorder="1" applyFill="1" applyFont="1">
      <alignment readingOrder="0"/>
    </xf>
    <xf borderId="1" fillId="3" fontId="13" numFmtId="0" xfId="0" applyAlignment="1" applyBorder="1" applyFont="1">
      <alignment horizontal="left" readingOrder="0" shrinkToFit="0" wrapText="0"/>
    </xf>
    <xf borderId="1" fillId="13" fontId="5" numFmtId="0" xfId="0" applyAlignment="1" applyBorder="1" applyFill="1" applyFont="1">
      <alignment readingOrder="0"/>
    </xf>
    <xf borderId="0" fillId="0" fontId="10" numFmtId="167" xfId="0" applyAlignment="1" applyFont="1" applyNumberFormat="1">
      <alignment readingOrder="0"/>
    </xf>
    <xf borderId="1" fillId="13" fontId="5" numFmtId="0" xfId="0" applyAlignment="1" applyBorder="1" applyFont="1">
      <alignment vertical="bottom"/>
    </xf>
    <xf borderId="1" fillId="12" fontId="10" numFmtId="0" xfId="0" applyAlignment="1" applyBorder="1" applyFont="1">
      <alignment readingOrder="0"/>
    </xf>
    <xf borderId="1" fillId="12" fontId="14" numFmtId="0" xfId="0" applyAlignment="1" applyBorder="1" applyFont="1">
      <alignment horizontal="left" readingOrder="0" shrinkToFit="0" vertical="bottom" wrapText="0"/>
    </xf>
    <xf borderId="1" fillId="13" fontId="13" numFmtId="0" xfId="0" applyAlignment="1" applyBorder="1" applyFont="1">
      <alignment horizontal="left" readingOrder="0"/>
    </xf>
    <xf borderId="1" fillId="9" fontId="5" numFmtId="0" xfId="0" applyAlignment="1" applyBorder="1" applyFont="1">
      <alignment readingOrder="0"/>
    </xf>
    <xf borderId="1" fillId="11" fontId="5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0" fillId="10" fontId="10" numFmtId="167" xfId="0" applyAlignment="1" applyFont="1" applyNumberFormat="1">
      <alignment readingOrder="0"/>
    </xf>
    <xf borderId="1" fillId="10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0" fillId="10" fontId="10" numFmtId="166" xfId="0" applyAlignment="1" applyFont="1" applyNumberFormat="1">
      <alignment readingOrder="0"/>
    </xf>
    <xf borderId="2" fillId="0" fontId="5" numFmtId="0" xfId="0" applyAlignment="1" applyBorder="1" applyFont="1">
      <alignment horizontal="center" readingOrder="0"/>
    </xf>
    <xf borderId="1" fillId="0" fontId="10" numFmtId="0" xfId="0" applyBorder="1" applyFont="1"/>
    <xf borderId="1" fillId="0" fontId="10" numFmtId="14" xfId="0" applyAlignment="1" applyBorder="1" applyFont="1" applyNumberFormat="1">
      <alignment horizontal="left" readingOrder="0"/>
    </xf>
    <xf borderId="1" fillId="3" fontId="15" numFmtId="0" xfId="0" applyAlignment="1" applyBorder="1" applyFont="1">
      <alignment horizontal="left" readingOrder="0"/>
    </xf>
    <xf borderId="2" fillId="0" fontId="10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0" numFmtId="0" xfId="0" applyAlignment="1" applyFont="1">
      <alignment horizontal="center"/>
    </xf>
    <xf borderId="1" fillId="3" fontId="5" numFmtId="0" xfId="0" applyAlignment="1" applyBorder="1" applyFont="1">
      <alignment horizontal="left" readingOrder="0"/>
    </xf>
    <xf borderId="4" fillId="0" fontId="10" numFmtId="0" xfId="0" applyBorder="1" applyFont="1"/>
    <xf borderId="1" fillId="0" fontId="10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vertical="bottom"/>
    </xf>
    <xf borderId="1" fillId="0" fontId="16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6" numFmtId="0" xfId="0" applyBorder="1" applyFont="1"/>
    <xf borderId="0" fillId="0" fontId="16" numFmtId="0" xfId="0" applyFont="1"/>
    <xf borderId="1" fillId="3" fontId="10" numFmtId="0" xfId="0" applyBorder="1" applyFont="1"/>
    <xf borderId="1" fillId="3" fontId="17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1" fillId="3" fontId="17" numFmtId="0" xfId="0" applyBorder="1" applyFont="1"/>
    <xf borderId="1" fillId="0" fontId="19" numFmtId="0" xfId="0" applyBorder="1" applyFont="1"/>
    <xf borderId="0" fillId="0" fontId="19" numFmtId="0" xfId="0" applyFont="1"/>
    <xf borderId="1" fillId="8" fontId="10" numFmtId="0" xfId="0" applyAlignment="1" applyBorder="1" applyFont="1">
      <alignment readingOrder="0"/>
    </xf>
    <xf borderId="1" fillId="12" fontId="10" numFmtId="0" xfId="0" applyBorder="1" applyFont="1"/>
    <xf borderId="1" fillId="7" fontId="10" numFmtId="0" xfId="0" applyAlignment="1" applyBorder="1" applyFont="1">
      <alignment readingOrder="0"/>
    </xf>
    <xf borderId="1" fillId="14" fontId="10" numFmtId="0" xfId="0" applyAlignment="1" applyBorder="1" applyFill="1" applyFont="1">
      <alignment readingOrder="0"/>
    </xf>
    <xf borderId="1" fillId="14" fontId="10" numFmtId="0" xfId="0" applyBorder="1" applyFont="1"/>
    <xf borderId="1" fillId="0" fontId="20" numFmtId="0" xfId="0" applyAlignment="1" applyBorder="1" applyFont="1">
      <alignment readingOrder="0"/>
    </xf>
    <xf borderId="1" fillId="3" fontId="20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1" fillId="0" fontId="10" numFmtId="3" xfId="0" applyAlignment="1" applyBorder="1" applyFont="1" applyNumberFormat="1">
      <alignment readingOrder="0"/>
    </xf>
    <xf borderId="1" fillId="7" fontId="10" numFmtId="3" xfId="0" applyAlignment="1" applyBorder="1" applyFont="1" applyNumberFormat="1">
      <alignment readingOrder="0"/>
    </xf>
    <xf borderId="1" fillId="10" fontId="10" numFmtId="3" xfId="0" applyAlignment="1" applyBorder="1" applyFont="1" applyNumberFormat="1">
      <alignment readingOrder="0"/>
    </xf>
    <xf borderId="1" fillId="10" fontId="10" numFmtId="0" xfId="0" applyAlignment="1" applyBorder="1" applyFont="1">
      <alignment readingOrder="0"/>
    </xf>
    <xf borderId="1" fillId="10" fontId="10" numFmtId="0" xfId="0" applyBorder="1" applyFont="1"/>
    <xf borderId="1" fillId="0" fontId="10" numFmtId="14" xfId="0" applyAlignment="1" applyBorder="1" applyFont="1" applyNumberFormat="1">
      <alignment readingOrder="0"/>
    </xf>
    <xf borderId="0" fillId="10" fontId="10" numFmtId="14" xfId="0" applyAlignment="1" applyFont="1" applyNumberFormat="1">
      <alignment readingOrder="0"/>
    </xf>
    <xf borderId="0" fillId="0" fontId="21" numFmtId="0" xfId="0" applyAlignment="1" applyFont="1">
      <alignment shrinkToFit="0" vertical="bottom" wrapText="0"/>
    </xf>
    <xf borderId="1" fillId="0" fontId="21" numFmtId="168" xfId="0" applyAlignment="1" applyBorder="1" applyFont="1" applyNumberFormat="1">
      <alignment horizontal="right" readingOrder="0"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horizontal="right"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5" fillId="0" fontId="21" numFmtId="168" xfId="0" applyAlignment="1" applyBorder="1" applyFont="1" applyNumberFormat="1">
      <alignment horizontal="right" readingOrder="0" shrinkToFit="0" vertical="bottom" wrapText="0"/>
    </xf>
    <xf borderId="6" fillId="0" fontId="21" numFmtId="0" xfId="0" applyAlignment="1" applyBorder="1" applyFont="1">
      <alignment readingOrder="0" shrinkToFit="0" vertical="bottom" wrapText="0"/>
    </xf>
    <xf borderId="6" fillId="0" fontId="21" numFmtId="0" xfId="0" applyAlignment="1" applyBorder="1" applyFont="1">
      <alignment horizontal="right" readingOrder="0" shrinkToFit="0" vertical="bottom" wrapText="0"/>
    </xf>
    <xf borderId="6" fillId="0" fontId="21" numFmtId="0" xfId="0" applyAlignment="1" applyBorder="1" applyFont="1">
      <alignment shrinkToFit="0" vertical="bottom" wrapText="0"/>
    </xf>
    <xf borderId="6" fillId="5" fontId="21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6" fillId="5" fontId="15" numFmtId="0" xfId="0" applyAlignment="1" applyBorder="1" applyFont="1">
      <alignment readingOrder="0" vertical="bottom"/>
    </xf>
    <xf borderId="5" fillId="0" fontId="21" numFmtId="168" xfId="0" applyAlignment="1" applyBorder="1" applyFont="1" applyNumberFormat="1">
      <alignment readingOrder="0" shrinkToFit="0" vertical="bottom" wrapText="0"/>
    </xf>
    <xf borderId="1" fillId="5" fontId="5" numFmtId="0" xfId="0" applyAlignment="1" applyBorder="1" applyFont="1">
      <alignment readingOrder="0"/>
    </xf>
    <xf borderId="6" fillId="0" fontId="15" numFmtId="0" xfId="0" applyAlignment="1" applyBorder="1" applyFont="1">
      <alignment vertical="bottom"/>
    </xf>
    <xf borderId="1" fillId="0" fontId="10" numFmtId="168" xfId="0" applyAlignment="1" applyBorder="1" applyFont="1" applyNumberFormat="1">
      <alignment readingOrder="0"/>
    </xf>
    <xf borderId="1" fillId="0" fontId="15" numFmtId="0" xfId="0" applyAlignment="1" applyBorder="1" applyFont="1">
      <alignment horizontal="left" readingOrder="0" vertical="bottom"/>
    </xf>
    <xf borderId="1" fillId="0" fontId="10" numFmtId="167" xfId="0" applyAlignment="1" applyBorder="1" applyFont="1" applyNumberFormat="1">
      <alignment readingOrder="0"/>
    </xf>
    <xf borderId="1" fillId="5" fontId="5" numFmtId="0" xfId="0" applyAlignment="1" applyBorder="1" applyFont="1">
      <alignment horizontal="left" readingOrder="0"/>
    </xf>
    <xf borderId="1" fillId="5" fontId="15" numFmtId="0" xfId="0" applyAlignment="1" applyBorder="1" applyFont="1">
      <alignment horizontal="left" readingOrder="0" vertical="bottom"/>
    </xf>
    <xf borderId="1" fillId="0" fontId="20" numFmtId="0" xfId="0" applyAlignment="1" applyBorder="1" applyFont="1">
      <alignment vertical="bottom"/>
    </xf>
    <xf borderId="1" fillId="0" fontId="21" numFmtId="0" xfId="0" applyAlignment="1" applyBorder="1" applyFon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6" fillId="12" fontId="21" numFmtId="0" xfId="0" applyAlignment="1" applyBorder="1" applyFont="1">
      <alignment shrinkToFit="0" vertical="bottom" wrapText="0"/>
    </xf>
    <xf borderId="1" fillId="0" fontId="10" numFmtId="169" xfId="0" applyAlignment="1" applyBorder="1" applyFont="1" applyNumberFormat="1">
      <alignment readingOrder="0"/>
    </xf>
    <xf borderId="1" fillId="0" fontId="10" numFmtId="0" xfId="0" applyAlignment="1" applyBorder="1" applyFont="1">
      <alignment horizontal="right" readingOrder="0"/>
    </xf>
    <xf borderId="1" fillId="5" fontId="5" numFmtId="0" xfId="0" applyAlignment="1" applyBorder="1" applyFont="1">
      <alignment vertical="bottom"/>
    </xf>
    <xf borderId="1" fillId="15" fontId="10" numFmtId="168" xfId="0" applyAlignment="1" applyBorder="1" applyFill="1" applyFont="1" applyNumberFormat="1">
      <alignment readingOrder="0"/>
    </xf>
    <xf borderId="1" fillId="13" fontId="10" numFmtId="0" xfId="0" applyBorder="1" applyFont="1"/>
    <xf borderId="1" fillId="3" fontId="22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left"/>
    </xf>
    <xf borderId="0" fillId="0" fontId="10" numFmtId="0" xfId="0" applyAlignment="1" applyFont="1">
      <alignment horizontal="left"/>
    </xf>
    <xf borderId="1" fillId="5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 vertical="bottom"/>
    </xf>
    <xf borderId="6" fillId="3" fontId="14" numFmtId="0" xfId="0" applyAlignment="1" applyBorder="1" applyFont="1">
      <alignment horizontal="left" readingOrder="0" vertical="bottom"/>
    </xf>
    <xf borderId="1" fillId="0" fontId="11" numFmtId="168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11" numFmtId="170" xfId="0" applyAlignment="1" applyBorder="1" applyFont="1" applyNumberFormat="1">
      <alignment readingOrder="0" vertical="bottom"/>
    </xf>
    <xf borderId="1" fillId="0" fontId="11" numFmtId="0" xfId="0" applyAlignment="1" applyBorder="1" applyFont="1">
      <alignment vertical="bottom"/>
    </xf>
    <xf borderId="1" fillId="0" fontId="10" numFmtId="170" xfId="0" applyAlignment="1" applyBorder="1" applyFont="1" applyNumberFormat="1">
      <alignment readingOrder="0"/>
    </xf>
    <xf borderId="1" fillId="0" fontId="11" numFmtId="0" xfId="0" applyAlignment="1" applyBorder="1" applyFont="1">
      <alignment horizontal="right" readingOrder="0" vertical="bottom"/>
    </xf>
    <xf borderId="1" fillId="3" fontId="14" numFmtId="0" xfId="0" applyAlignment="1" applyBorder="1" applyFont="1">
      <alignment horizontal="left" readingOrder="0" vertical="bottom"/>
    </xf>
    <xf borderId="0" fillId="13" fontId="10" numFmtId="0" xfId="0" applyFont="1"/>
    <xf borderId="0" fillId="0" fontId="11" numFmtId="0" xfId="0" applyAlignment="1" applyFont="1">
      <alignment horizontal="right" readingOrder="0" vertical="bottom"/>
    </xf>
    <xf borderId="1" fillId="5" fontId="22" numFmtId="0" xfId="0" applyAlignment="1" applyBorder="1" applyFont="1">
      <alignment horizontal="left" readingOrder="0" shrinkToFit="0" wrapText="1"/>
    </xf>
    <xf borderId="1" fillId="5" fontId="10" numFmtId="168" xfId="0" applyAlignment="1" applyBorder="1" applyFont="1" applyNumberFormat="1">
      <alignment readingOrder="0"/>
    </xf>
    <xf borderId="1" fillId="5" fontId="10" numFmtId="0" xfId="0" applyBorder="1" applyFont="1"/>
    <xf borderId="0" fillId="5" fontId="10" numFmtId="0" xfId="0" applyAlignment="1" applyFont="1">
      <alignment readingOrder="0"/>
    </xf>
    <xf borderId="0" fillId="5" fontId="10" numFmtId="0" xfId="0" applyFont="1"/>
    <xf borderId="1" fillId="3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vertical="bottom"/>
    </xf>
    <xf borderId="1" fillId="0" fontId="11" numFmtId="168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23" numFmtId="0" xfId="0" applyAlignment="1" applyFont="1">
      <alignment readingOrder="0"/>
    </xf>
    <xf borderId="1" fillId="5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3" fontId="23" numFmtId="0" xfId="0" applyAlignment="1" applyFont="1">
      <alignment readingOrder="0"/>
    </xf>
    <xf borderId="1" fillId="0" fontId="23" numFmtId="0" xfId="0" applyAlignment="1" applyBorder="1" applyFont="1">
      <alignment readingOrder="0"/>
    </xf>
    <xf borderId="1" fillId="5" fontId="23" numFmtId="0" xfId="0" applyAlignment="1" applyBorder="1" applyFont="1">
      <alignment readingOrder="0"/>
    </xf>
    <xf borderId="0" fillId="5" fontId="23" numFmtId="0" xfId="0" applyFont="1"/>
    <xf borderId="1" fillId="3" fontId="1" numFmtId="0" xfId="0" applyAlignment="1" applyBorder="1" applyFont="1">
      <alignment horizontal="left" readingOrder="0"/>
    </xf>
    <xf borderId="1" fillId="0" fontId="24" numFmtId="168" xfId="0" applyAlignment="1" applyBorder="1" applyFont="1" applyNumberFormat="1">
      <alignment horizontal="right" readingOrder="0"/>
    </xf>
    <xf borderId="1" fillId="3" fontId="25" numFmtId="0" xfId="0" applyAlignment="1" applyBorder="1" applyFont="1">
      <alignment horizontal="left" readingOrder="0" vertical="bottom"/>
    </xf>
    <xf borderId="1" fillId="0" fontId="24" numFmtId="0" xfId="0" applyAlignment="1" applyBorder="1" applyFont="1">
      <alignment horizontal="right" readingOrder="0"/>
    </xf>
    <xf borderId="1" fillId="0" fontId="24" numFmtId="0" xfId="0" applyAlignment="1" applyBorder="1" applyFont="1">
      <alignment horizontal="left"/>
    </xf>
    <xf borderId="1" fillId="3" fontId="1" numFmtId="0" xfId="0" applyAlignment="1" applyBorder="1" applyFont="1">
      <alignment readingOrder="0"/>
    </xf>
    <xf borderId="1" fillId="0" fontId="23" numFmtId="0" xfId="0" applyBorder="1" applyFont="1"/>
    <xf borderId="1" fillId="10" fontId="26" numFmtId="0" xfId="0" applyAlignment="1" applyBorder="1" applyFont="1">
      <alignment readingOrder="0"/>
    </xf>
    <xf borderId="1" fillId="3" fontId="23" numFmtId="0" xfId="0" applyAlignment="1" applyBorder="1" applyFont="1">
      <alignment readingOrder="0"/>
    </xf>
    <xf borderId="1" fillId="7" fontId="26" numFmtId="0" xfId="0" applyAlignment="1" applyBorder="1" applyFont="1">
      <alignment readingOrder="0"/>
    </xf>
    <xf borderId="0" fillId="2" fontId="23" numFmtId="0" xfId="0" applyAlignment="1" applyFont="1">
      <alignment readingOrder="0"/>
    </xf>
    <xf borderId="1" fillId="0" fontId="26" numFmtId="0" xfId="0" applyAlignment="1" applyBorder="1" applyFont="1">
      <alignment readingOrder="0"/>
    </xf>
    <xf borderId="1" fillId="0" fontId="24" numFmtId="0" xfId="0" applyAlignment="1" applyBorder="1" applyFont="1">
      <alignment readingOrder="0"/>
    </xf>
    <xf borderId="1" fillId="2" fontId="26" numFmtId="0" xfId="0" applyAlignment="1" applyBorder="1" applyFont="1">
      <alignment readingOrder="0"/>
    </xf>
    <xf borderId="1" fillId="10" fontId="23" numFmtId="0" xfId="0" applyAlignment="1" applyBorder="1" applyFont="1">
      <alignment readingOrder="0"/>
    </xf>
    <xf borderId="1" fillId="3" fontId="10" numFmtId="168" xfId="0" applyAlignment="1" applyBorder="1" applyFont="1" applyNumberFormat="1">
      <alignment readingOrder="0"/>
    </xf>
    <xf borderId="1" fillId="2" fontId="10" numFmtId="0" xfId="0" applyAlignment="1" applyBorder="1" applyFont="1">
      <alignment readingOrder="0"/>
    </xf>
    <xf borderId="1" fillId="13" fontId="10" numFmtId="168" xfId="0" applyAlignment="1" applyBorder="1" applyFont="1" applyNumberFormat="1">
      <alignment readingOrder="0"/>
    </xf>
    <xf borderId="1" fillId="13" fontId="1" numFmtId="0" xfId="0" applyAlignment="1" applyBorder="1" applyFont="1">
      <alignment readingOrder="0"/>
    </xf>
    <xf borderId="1" fillId="13" fontId="10" numFmtId="0" xfId="0" applyAlignment="1" applyBorder="1" applyFont="1">
      <alignment readingOrder="0"/>
    </xf>
    <xf borderId="0" fillId="13" fontId="23" numFmtId="0" xfId="0" applyFont="1"/>
    <xf borderId="0" fillId="0" fontId="27" numFmtId="0" xfId="0" applyAlignment="1" applyFont="1">
      <alignment readingOrder="0" vertical="bottom"/>
    </xf>
    <xf borderId="0" fillId="2" fontId="10" numFmtId="0" xfId="0" applyAlignment="1" applyFont="1">
      <alignment readingOrder="0"/>
    </xf>
    <xf borderId="0" fillId="16" fontId="10" numFmtId="0" xfId="0" applyAlignment="1" applyFill="1" applyFont="1">
      <alignment readingOrder="0"/>
    </xf>
    <xf borderId="1" fillId="16" fontId="10" numFmtId="0" xfId="0" applyAlignment="1" applyBorder="1" applyFont="1">
      <alignment readingOrder="0"/>
    </xf>
    <xf borderId="1" fillId="7" fontId="10" numFmtId="168" xfId="0" applyAlignment="1" applyBorder="1" applyFont="1" applyNumberFormat="1">
      <alignment readingOrder="0"/>
    </xf>
    <xf borderId="1" fillId="7" fontId="23" numFmtId="0" xfId="0" applyAlignment="1" applyBorder="1" applyFont="1">
      <alignment readingOrder="0"/>
    </xf>
    <xf borderId="1" fillId="7" fontId="10" numFmtId="0" xfId="0" applyBorder="1" applyFont="1"/>
    <xf borderId="0" fillId="7" fontId="10" numFmtId="0" xfId="0" applyFont="1"/>
    <xf borderId="1" fillId="7" fontId="1" numFmtId="0" xfId="0" applyAlignment="1" applyBorder="1" applyFont="1">
      <alignment readingOrder="0"/>
    </xf>
    <xf borderId="0" fillId="7" fontId="8" numFmtId="0" xfId="0" applyAlignment="1" applyFont="1">
      <alignment horizontal="left" vertical="bottom"/>
    </xf>
    <xf borderId="0" fillId="7" fontId="8" numFmtId="0" xfId="0" applyAlignment="1" applyFont="1">
      <alignment horizontal="right" shrinkToFit="0" vertical="bottom" wrapText="1"/>
    </xf>
    <xf borderId="0" fillId="3" fontId="8" numFmtId="0" xfId="0" applyAlignment="1" applyFont="1">
      <alignment horizontal="left" vertical="bottom"/>
    </xf>
    <xf borderId="0" fillId="3" fontId="8" numFmtId="0" xfId="0" applyAlignment="1" applyFont="1">
      <alignment horizontal="right" vertical="bottom"/>
    </xf>
    <xf borderId="1" fillId="5" fontId="7" numFmtId="0" xfId="0" applyAlignment="1" applyBorder="1" applyFont="1">
      <alignment horizontal="left" readingOrder="0" vertical="bottom"/>
    </xf>
    <xf borderId="0" fillId="7" fontId="23" numFmtId="0" xfId="0" applyFont="1"/>
    <xf borderId="1" fillId="4" fontId="10" numFmtId="168" xfId="0" applyAlignment="1" applyBorder="1" applyFont="1" applyNumberFormat="1">
      <alignment readingOrder="0"/>
    </xf>
    <xf borderId="1" fillId="4" fontId="1" numFmtId="0" xfId="0" applyAlignment="1" applyBorder="1" applyFont="1">
      <alignment readingOrder="0"/>
    </xf>
    <xf borderId="1" fillId="4" fontId="10" numFmtId="0" xfId="0" applyBorder="1" applyFont="1"/>
    <xf borderId="1" fillId="4" fontId="10" numFmtId="0" xfId="0" applyAlignment="1" applyBorder="1" applyFont="1">
      <alignment readingOrder="0"/>
    </xf>
    <xf borderId="0" fillId="4" fontId="10" numFmtId="0" xfId="0" applyAlignment="1" applyFont="1">
      <alignment readingOrder="0"/>
    </xf>
    <xf borderId="0" fillId="4" fontId="10" numFmtId="0" xfId="0" applyFont="1"/>
    <xf borderId="1" fillId="4" fontId="7" numFmtId="0" xfId="0" applyAlignment="1" applyBorder="1" applyFont="1">
      <alignment horizontal="left" readingOrder="0"/>
    </xf>
    <xf borderId="1" fillId="7" fontId="9" numFmtId="0" xfId="0" applyAlignment="1" applyBorder="1" applyFont="1">
      <alignment horizontal="left" readingOrder="0"/>
    </xf>
    <xf borderId="0" fillId="7" fontId="11" numFmtId="0" xfId="0" applyAlignment="1" applyFont="1">
      <alignment readingOrder="0" vertical="bottom"/>
    </xf>
    <xf borderId="1" fillId="8" fontId="10" numFmtId="168" xfId="0" applyAlignment="1" applyBorder="1" applyFont="1" applyNumberFormat="1">
      <alignment readingOrder="0"/>
    </xf>
    <xf borderId="1" fillId="8" fontId="1" numFmtId="0" xfId="0" applyAlignment="1" applyBorder="1" applyFont="1">
      <alignment readingOrder="0"/>
    </xf>
    <xf borderId="1" fillId="8" fontId="10" numFmtId="0" xfId="0" applyBorder="1" applyFont="1"/>
    <xf borderId="1" fillId="0" fontId="9" numFmtId="0" xfId="0" applyAlignment="1" applyBorder="1" applyFont="1">
      <alignment horizontal="left" readingOrder="0"/>
    </xf>
    <xf borderId="0" fillId="17" fontId="23" numFmtId="0" xfId="0" applyFill="1" applyFont="1"/>
    <xf borderId="1" fillId="0" fontId="9" numFmtId="0" xfId="0" applyAlignment="1" applyBorder="1" applyFont="1">
      <alignment readingOrder="0"/>
    </xf>
    <xf borderId="0" fillId="17" fontId="10" numFmtId="0" xfId="0" applyFont="1"/>
    <xf borderId="0" fillId="17" fontId="23" numFmtId="0" xfId="0" applyAlignment="1" applyFont="1">
      <alignment readingOrder="0"/>
    </xf>
    <xf borderId="0" fillId="17" fontId="10" numFmtId="0" xfId="0" applyAlignment="1" applyFont="1">
      <alignment readingOrder="0"/>
    </xf>
    <xf borderId="1" fillId="10" fontId="1" numFmtId="0" xfId="0" applyAlignment="1" applyBorder="1" applyFont="1">
      <alignment readingOrder="0"/>
    </xf>
    <xf borderId="7" fillId="9" fontId="10" numFmtId="168" xfId="0" applyAlignment="1" applyBorder="1" applyFont="1" applyNumberFormat="1">
      <alignment readingOrder="0"/>
    </xf>
    <xf borderId="7" fillId="9" fontId="10" numFmtId="0" xfId="0" applyAlignment="1" applyBorder="1" applyFont="1">
      <alignment readingOrder="0"/>
    </xf>
    <xf borderId="7" fillId="9" fontId="10" numFmtId="0" xfId="0" applyBorder="1" applyFont="1"/>
    <xf borderId="0" fillId="3" fontId="11" numFmtId="0" xfId="0" applyAlignment="1" applyFont="1">
      <alignment readingOrder="0" vertical="bottom"/>
    </xf>
    <xf borderId="5" fillId="0" fontId="10" numFmtId="168" xfId="0" applyAlignment="1" applyBorder="1" applyFont="1" applyNumberFormat="1">
      <alignment readingOrder="0"/>
    </xf>
    <xf borderId="5" fillId="0" fontId="10" numFmtId="0" xfId="0" applyAlignment="1" applyBorder="1" applyFont="1">
      <alignment readingOrder="0"/>
    </xf>
    <xf borderId="5" fillId="0" fontId="10" numFmtId="0" xfId="0" applyBorder="1" applyFont="1"/>
    <xf borderId="5" fillId="5" fontId="10" numFmtId="168" xfId="0" applyAlignment="1" applyBorder="1" applyFont="1" applyNumberFormat="1">
      <alignment readingOrder="0"/>
    </xf>
    <xf borderId="1" fillId="5" fontId="1" numFmtId="0" xfId="0" applyAlignment="1" applyBorder="1" applyFont="1">
      <alignment vertical="bottom"/>
    </xf>
    <xf borderId="0" fillId="7" fontId="10" numFmtId="14" xfId="0" applyAlignment="1" applyFont="1" applyNumberFormat="1">
      <alignment readingOrder="0"/>
    </xf>
    <xf borderId="0" fillId="0" fontId="10" numFmtId="168" xfId="0" applyAlignment="1" applyFont="1" applyNumberFormat="1">
      <alignment readingOrder="0"/>
    </xf>
    <xf borderId="6" fillId="5" fontId="7" numFmtId="0" xfId="0" applyAlignment="1" applyBorder="1" applyFont="1">
      <alignment horizontal="left" readingOrder="0" vertical="bottom"/>
    </xf>
    <xf borderId="1" fillId="5" fontId="11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vertical="bottom"/>
    </xf>
    <xf borderId="2" fillId="3" fontId="28" numFmtId="0" xfId="0" applyAlignment="1" applyBorder="1" applyFont="1">
      <alignment horizontal="center" readingOrder="0" vertical="bottom"/>
    </xf>
    <xf borderId="0" fillId="0" fontId="5" numFmtId="0" xfId="0" applyFont="1"/>
    <xf borderId="2" fillId="0" fontId="29" numFmtId="0" xfId="0" applyAlignment="1" applyBorder="1" applyFont="1">
      <alignment readingOrder="0"/>
    </xf>
    <xf borderId="5" fillId="3" fontId="30" numFmtId="0" xfId="0" applyAlignment="1" applyBorder="1" applyFont="1">
      <alignment horizontal="center" readingOrder="0"/>
    </xf>
    <xf borderId="6" fillId="3" fontId="31" numFmtId="0" xfId="0" applyAlignment="1" applyBorder="1" applyFont="1">
      <alignment horizontal="center" readingOrder="0"/>
    </xf>
    <xf borderId="6" fillId="0" fontId="31" numFmtId="0" xfId="0" applyAlignment="1" applyBorder="1" applyFont="1">
      <alignment horizontal="center" readingOrder="0"/>
    </xf>
    <xf borderId="5" fillId="3" fontId="32" numFmtId="0" xfId="0" applyAlignment="1" applyBorder="1" applyFont="1">
      <alignment horizontal="center" readingOrder="0" vertical="bottom"/>
    </xf>
    <xf borderId="1" fillId="5" fontId="33" numFmtId="0" xfId="0" applyAlignment="1" applyBorder="1" applyFont="1">
      <alignment horizontal="center" vertical="bottom"/>
    </xf>
    <xf borderId="6" fillId="0" fontId="34" numFmtId="0" xfId="0" applyAlignment="1" applyBorder="1" applyFont="1">
      <alignment vertical="bottom"/>
    </xf>
    <xf borderId="6" fillId="5" fontId="35" numFmtId="0" xfId="0" applyAlignment="1" applyBorder="1" applyFont="1">
      <alignment horizontal="center" readingOrder="0" vertical="bottom"/>
    </xf>
    <xf borderId="1" fillId="5" fontId="33" numFmtId="0" xfId="0" applyAlignment="1" applyBorder="1" applyFont="1">
      <alignment horizontal="center" readingOrder="0"/>
    </xf>
    <xf borderId="1" fillId="3" fontId="33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/>
    </xf>
    <xf borderId="6" fillId="3" fontId="36" numFmtId="0" xfId="0" applyAlignment="1" applyBorder="1" applyFont="1">
      <alignment horizontal="left" readingOrder="0" shrinkToFit="0" wrapText="1"/>
    </xf>
    <xf borderId="1" fillId="3" fontId="36" numFmtId="0" xfId="0" applyAlignment="1" applyBorder="1" applyFont="1">
      <alignment horizontal="left" readingOrder="0" shrinkToFit="0" wrapText="1"/>
    </xf>
    <xf borderId="1" fillId="0" fontId="35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/>
    </xf>
    <xf borderId="1" fillId="3" fontId="37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/>
    </xf>
    <xf borderId="2" fillId="3" fontId="36" numFmtId="0" xfId="0" applyAlignment="1" applyBorder="1" applyFont="1">
      <alignment horizontal="left" readingOrder="0" shrinkToFit="0" wrapText="1"/>
    </xf>
    <xf borderId="0" fillId="3" fontId="5" numFmtId="0" xfId="0" applyAlignment="1" applyFont="1">
      <alignment horizontal="center"/>
    </xf>
    <xf borderId="0" fillId="0" fontId="39" numFmtId="0" xfId="0" applyAlignment="1" applyFont="1">
      <alignment vertical="bottom"/>
    </xf>
    <xf borderId="0" fillId="0" fontId="40" numFmtId="0" xfId="0" applyAlignment="1" applyFont="1">
      <alignment horizontal="center" vertical="bottom"/>
    </xf>
    <xf borderId="0" fillId="0" fontId="39" numFmtId="14" xfId="0" applyAlignment="1" applyFont="1" applyNumberFormat="1">
      <alignment horizontal="right" vertical="bottom"/>
    </xf>
    <xf borderId="0" fillId="0" fontId="39" numFmtId="0" xfId="0" applyAlignment="1" applyFont="1">
      <alignment horizontal="right" vertical="bottom"/>
    </xf>
    <xf borderId="1" fillId="9" fontId="23" numFmtId="0" xfId="0" applyAlignment="1" applyBorder="1" applyFont="1">
      <alignment horizontal="center"/>
    </xf>
    <xf borderId="1" fillId="9" fontId="23" numFmtId="0" xfId="0" applyAlignment="1" applyBorder="1" applyFont="1">
      <alignment horizontal="left" readingOrder="0"/>
    </xf>
    <xf borderId="1" fillId="9" fontId="23" numFmtId="0" xfId="0" applyAlignment="1" applyBorder="1" applyFont="1">
      <alignment horizontal="center" readingOrder="0"/>
    </xf>
    <xf borderId="0" fillId="9" fontId="23" numFmtId="0" xfId="0" applyAlignment="1" applyFont="1">
      <alignment horizontal="center"/>
    </xf>
    <xf borderId="0" fillId="3" fontId="23" numFmtId="0" xfId="0" applyAlignment="1" applyFont="1">
      <alignment horizontal="center"/>
    </xf>
    <xf borderId="1" fillId="0" fontId="41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23" numFmtId="0" xfId="0" applyAlignment="1" applyFont="1">
      <alignment horizontal="center"/>
    </xf>
    <xf borderId="1" fillId="0" fontId="10" numFmtId="167" xfId="0" applyAlignment="1" applyBorder="1" applyFont="1" applyNumberFormat="1">
      <alignment horizontal="center" readingOrder="0"/>
    </xf>
    <xf borderId="1" fillId="0" fontId="10" numFmtId="168" xfId="0" applyAlignment="1" applyBorder="1" applyFont="1" applyNumberFormat="1">
      <alignment horizontal="center" readingOrder="0"/>
    </xf>
    <xf borderId="1" fillId="0" fontId="10" numFmtId="3" xfId="0" applyAlignment="1" applyBorder="1" applyFont="1" applyNumberFormat="1">
      <alignment horizontal="center" readingOrder="0"/>
    </xf>
    <xf borderId="1" fillId="5" fontId="10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center" readingOrder="0"/>
    </xf>
    <xf borderId="1" fillId="0" fontId="23" numFmtId="170" xfId="0" applyAlignment="1" applyBorder="1" applyFont="1" applyNumberFormat="1">
      <alignment horizontal="center" readingOrder="0"/>
    </xf>
    <xf borderId="1" fillId="3" fontId="22" numFmtId="0" xfId="0" applyAlignment="1" applyBorder="1" applyFont="1">
      <alignment horizontal="center" readingOrder="0"/>
    </xf>
    <xf borderId="1" fillId="3" fontId="22" numFmtId="167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left" readingOrder="0"/>
    </xf>
    <xf borderId="1" fillId="0" fontId="23" numFmtId="168" xfId="0" applyAlignment="1" applyBorder="1" applyFont="1" applyNumberFormat="1">
      <alignment horizontal="center" readingOrder="0"/>
    </xf>
    <xf borderId="1" fillId="0" fontId="23" numFmtId="167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center"/>
    </xf>
    <xf borderId="1" fillId="18" fontId="23" numFmtId="0" xfId="0" applyAlignment="1" applyBorder="1" applyFill="1" applyFont="1">
      <alignment horizontal="left" readingOrder="0"/>
    </xf>
    <xf borderId="1" fillId="0" fontId="23" numFmtId="0" xfId="0" applyAlignment="1" applyBorder="1" applyFont="1">
      <alignment horizontal="left"/>
    </xf>
    <xf borderId="0" fillId="0" fontId="23" numFmtId="0" xfId="0" applyAlignment="1" applyFont="1">
      <alignment horizontal="left"/>
    </xf>
    <xf borderId="1" fillId="3" fontId="1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Font="1"/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1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center"/>
    </xf>
    <xf borderId="14" fillId="0" fontId="4" numFmtId="0" xfId="0" applyBorder="1" applyFont="1"/>
    <xf borderId="6" fillId="0" fontId="2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 readingOrder="0" shrinkToFit="0" wrapText="0"/>
    </xf>
    <xf borderId="1" fillId="0" fontId="42" numFmtId="0" xfId="0" applyAlignment="1" applyBorder="1" applyFont="1">
      <alignment horizontal="center" readingOrder="0" shrinkToFit="0" wrapText="1"/>
    </xf>
    <xf borderId="1" fillId="0" fontId="43" numFmtId="0" xfId="0" applyAlignment="1" applyBorder="1" applyFont="1">
      <alignment horizontal="center" readingOrder="0" shrinkToFit="0" wrapText="1"/>
    </xf>
    <xf borderId="1" fillId="0" fontId="43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1" fillId="5" fontId="44" numFmtId="0" xfId="0" applyAlignment="1" applyBorder="1" applyFont="1">
      <alignment horizontal="left" readingOrder="0" shrinkToFit="0" wrapText="0"/>
    </xf>
    <xf borderId="1" fillId="4" fontId="44" numFmtId="0" xfId="0" applyAlignment="1" applyBorder="1" applyFont="1">
      <alignment horizontal="center" readingOrder="0" shrinkToFit="0" wrapText="0"/>
    </xf>
    <xf borderId="1" fillId="0" fontId="44" numFmtId="0" xfId="0" applyAlignment="1" applyBorder="1" applyFont="1">
      <alignment horizontal="center" readingOrder="0"/>
    </xf>
    <xf borderId="1" fillId="0" fontId="44" numFmtId="0" xfId="0" applyAlignment="1" applyBorder="1" applyFont="1">
      <alignment horizontal="center"/>
    </xf>
    <xf borderId="1" fillId="0" fontId="44" numFmtId="0" xfId="0" applyAlignment="1" applyBorder="1" applyFont="1">
      <alignment horizontal="center" readingOrder="0" shrinkToFit="0" vertical="bottom" wrapText="0"/>
    </xf>
    <xf borderId="1" fillId="0" fontId="45" numFmtId="0" xfId="0" applyAlignment="1" applyBorder="1" applyFont="1">
      <alignment horizontal="center"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Border="1" applyFont="1"/>
    <xf borderId="1" fillId="5" fontId="44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19" fontId="7" numFmtId="0" xfId="0" applyAlignment="1" applyBorder="1" applyFill="1" applyFont="1">
      <alignment horizontal="left" readingOrder="0" shrinkToFit="0" vertical="bottom" wrapText="0"/>
    </xf>
    <xf borderId="1" fillId="19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5" fontId="7" numFmtId="0" xfId="0" applyAlignment="1" applyBorder="1" applyFont="1">
      <alignment readingOrder="0" vertical="bottom"/>
    </xf>
    <xf borderId="1" fillId="4" fontId="7" numFmtId="0" xfId="0" applyAlignment="1" applyBorder="1" applyFon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1" fillId="19" fontId="1" numFmtId="0" xfId="0" applyAlignment="1" applyBorder="1" applyFont="1">
      <alignment readingOrder="0"/>
    </xf>
    <xf borderId="1" fillId="0" fontId="1" numFmtId="169" xfId="0" applyAlignment="1" applyBorder="1" applyFont="1" applyNumberFormat="1">
      <alignment horizontal="center" readingOrder="0"/>
    </xf>
    <xf borderId="1" fillId="0" fontId="1" numFmtId="14" xfId="0" applyAlignment="1" applyBorder="1" applyFont="1" applyNumberFormat="1">
      <alignment horizontal="center" readingOrder="0"/>
    </xf>
    <xf quotePrefix="1" borderId="1" fillId="0" fontId="1" numFmtId="0" xfId="0" applyAlignment="1" applyBorder="1" applyFont="1">
      <alignment readingOrder="0"/>
    </xf>
    <xf borderId="1" fillId="19" fontId="7" numFmtId="0" xfId="0" applyAlignment="1" applyBorder="1" applyFont="1">
      <alignment horizontal="center" readingOrder="0" shrinkToFit="0" vertical="bottom" wrapText="0"/>
    </xf>
    <xf borderId="1" fillId="19" fontId="1" numFmtId="0" xfId="0" applyAlignment="1" applyBorder="1" applyFont="1">
      <alignment horizontal="center" readingOrder="0"/>
    </xf>
    <xf borderId="1" fillId="19" fontId="1" numFmtId="0" xfId="0" applyAlignment="1" applyBorder="1" applyFont="1">
      <alignment horizontal="center"/>
    </xf>
    <xf borderId="1" fillId="19" fontId="1" numFmtId="14" xfId="0" applyAlignment="1" applyBorder="1" applyFont="1" applyNumberFormat="1">
      <alignment horizontal="center" readingOrder="0"/>
    </xf>
    <xf borderId="1" fillId="19" fontId="1" numFmtId="0" xfId="0" applyBorder="1" applyFont="1"/>
    <xf borderId="1" fillId="0" fontId="1" numFmtId="3" xfId="0" applyAlignment="1" applyBorder="1" applyFont="1" applyNumberFormat="1">
      <alignment horizontal="center" readingOrder="0"/>
    </xf>
    <xf borderId="0" fillId="0" fontId="23" numFmtId="0" xfId="0" applyAlignment="1" applyFont="1">
      <alignment horizontal="center" readingOrder="0"/>
    </xf>
    <xf borderId="0" fillId="3" fontId="46" numFmtId="0" xfId="0" applyAlignment="1" applyFont="1">
      <alignment horizontal="center" readingOrder="0"/>
    </xf>
    <xf borderId="1" fillId="19" fontId="7" numFmtId="0" xfId="0" applyAlignment="1" applyBorder="1" applyFont="1">
      <alignment horizontal="center" readingOrder="0"/>
    </xf>
    <xf borderId="1" fillId="19" fontId="7" numFmtId="0" xfId="0" applyAlignment="1" applyBorder="1" applyFont="1">
      <alignment readingOrder="0"/>
    </xf>
    <xf borderId="1" fillId="19" fontId="7" numFmtId="0" xfId="0" applyAlignment="1" applyBorder="1" applyFont="1">
      <alignment horizontal="center"/>
    </xf>
    <xf borderId="1" fillId="19" fontId="7" numFmtId="0" xfId="0" applyBorder="1" applyFont="1"/>
    <xf borderId="1" fillId="3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1" fillId="3" fontId="7" numFmtId="0" xfId="0" applyAlignment="1" applyBorder="1" applyFont="1">
      <alignment horizontal="center" readingOrder="0" shrinkToFit="0" vertical="bottom" wrapText="0"/>
    </xf>
    <xf borderId="1" fillId="19" fontId="44" numFmtId="0" xfId="0" applyAlignment="1" applyBorder="1" applyFont="1">
      <alignment horizontal="left" readingOrder="0" shrinkToFit="0" wrapText="0"/>
    </xf>
    <xf borderId="1" fillId="19" fontId="44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left" readingOrder="0" shrinkToFit="0" vertical="bottom" wrapText="0"/>
    </xf>
    <xf borderId="1" fillId="3" fontId="1" numFmtId="0" xfId="0" applyBorder="1" applyFont="1"/>
    <xf borderId="1" fillId="3" fontId="1" numFmtId="0" xfId="0" applyAlignment="1" applyBorder="1" applyFont="1">
      <alignment vertical="bottom"/>
    </xf>
    <xf borderId="1" fillId="19" fontId="7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/>
    </xf>
    <xf borderId="1" fillId="15" fontId="1" numFmtId="0" xfId="0" applyAlignment="1" applyBorder="1" applyFont="1">
      <alignment readingOrder="0"/>
    </xf>
    <xf borderId="1" fillId="15" fontId="1" numFmtId="0" xfId="0" applyAlignment="1" applyBorder="1" applyFont="1">
      <alignment horizontal="center"/>
    </xf>
    <xf borderId="1" fillId="15" fontId="1" numFmtId="0" xfId="0" applyBorder="1" applyFont="1"/>
    <xf borderId="1" fillId="13" fontId="23" numFmtId="0" xfId="0" applyAlignment="1" applyBorder="1" applyFont="1">
      <alignment readingOrder="0"/>
    </xf>
    <xf borderId="1" fillId="13" fontId="23" numFmtId="0" xfId="0" applyBorder="1" applyFont="1"/>
    <xf borderId="0" fillId="3" fontId="23" numFmtId="0" xfId="0" applyFont="1"/>
    <xf borderId="1" fillId="0" fontId="47" numFmtId="0" xfId="0" applyAlignment="1" applyBorder="1" applyFont="1">
      <alignment horizontal="center" readingOrder="0" shrinkToFit="0" vertical="bottom" wrapText="0"/>
    </xf>
    <xf borderId="1" fillId="3" fontId="23" numFmtId="0" xfId="0" applyBorder="1" applyFont="1"/>
    <xf borderId="1" fillId="0" fontId="48" numFmtId="0" xfId="0" applyAlignment="1" applyBorder="1" applyFont="1">
      <alignment horizontal="center" readingOrder="0" shrinkToFit="0" vertical="bottom" wrapText="0"/>
    </xf>
    <xf borderId="1" fillId="4" fontId="23" numFmtId="0" xfId="0" applyAlignment="1" applyBorder="1" applyFont="1">
      <alignment readingOrder="0"/>
    </xf>
    <xf borderId="1" fillId="4" fontId="23" numFmtId="0" xfId="0" applyBorder="1" applyFont="1"/>
    <xf borderId="0" fillId="4" fontId="23" numFmtId="0" xfId="0" applyFont="1"/>
    <xf borderId="1" fillId="0" fontId="23" numFmtId="0" xfId="0" applyAlignment="1" applyBorder="1" applyFont="1">
      <alignment horizontal="right" readingOrder="0"/>
    </xf>
    <xf borderId="2" fillId="3" fontId="23" numFmtId="0" xfId="0" applyAlignment="1" applyBorder="1" applyFont="1">
      <alignment horizontal="center" readingOrder="0"/>
    </xf>
    <xf borderId="0" fillId="0" fontId="23" numFmtId="0" xfId="0" applyFont="1"/>
    <xf borderId="0" fillId="13" fontId="23" numFmtId="0" xfId="0" applyAlignment="1" applyFont="1">
      <alignment readingOrder="0"/>
    </xf>
    <xf borderId="0" fillId="13" fontId="23" numFmtId="0" xfId="0" applyAlignment="1" applyFont="1">
      <alignment horizontal="left" readingOrder="0"/>
    </xf>
    <xf borderId="1" fillId="0" fontId="23" numFmtId="170" xfId="0" applyAlignment="1" applyBorder="1" applyFont="1" applyNumberFormat="1">
      <alignment readingOrder="0"/>
    </xf>
    <xf borderId="1" fillId="0" fontId="23" numFmtId="14" xfId="0" applyAlignment="1" applyBorder="1" applyFont="1" applyNumberFormat="1">
      <alignment horizontal="left" readingOrder="0"/>
    </xf>
    <xf borderId="1" fillId="7" fontId="23" numFmtId="0" xfId="0" applyBorder="1" applyFont="1"/>
    <xf borderId="1" fillId="10" fontId="23" numFmtId="0" xfId="0" applyBorder="1" applyFont="1"/>
    <xf borderId="0" fillId="3" fontId="2" numFmtId="0" xfId="0" applyAlignment="1" applyFont="1">
      <alignment horizontal="center" readingOrder="0"/>
    </xf>
    <xf borderId="0" fillId="3" fontId="49" numFmtId="0" xfId="0" applyAlignment="1" applyFont="1">
      <alignment horizontal="center" readingOrder="0"/>
    </xf>
    <xf borderId="1" fillId="19" fontId="44" numFmtId="0" xfId="0" applyAlignment="1" applyBorder="1" applyFont="1">
      <alignment horizontal="center" readingOrder="0"/>
    </xf>
    <xf borderId="1" fillId="19" fontId="23" numFmtId="0" xfId="0" applyAlignment="1" applyBorder="1" applyFont="1">
      <alignment horizontal="center"/>
    </xf>
    <xf borderId="0" fillId="3" fontId="23" numFmtId="0" xfId="0" applyAlignment="1" applyFont="1">
      <alignment horizontal="center" readingOrder="0"/>
    </xf>
    <xf borderId="1" fillId="12" fontId="1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/>
    </xf>
    <xf borderId="1" fillId="3" fontId="1" numFmtId="0" xfId="0" applyAlignment="1" applyBorder="1" applyFont="1">
      <alignment horizontal="center" vertical="bottom"/>
    </xf>
    <xf borderId="1" fillId="14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/>
    </xf>
    <xf borderId="0" fillId="9" fontId="23" numFmtId="0" xfId="0" applyAlignment="1" applyFont="1">
      <alignment horizontal="center" readingOrder="0"/>
    </xf>
    <xf borderId="0" fillId="9" fontId="23" numFmtId="0" xfId="0" applyAlignment="1" applyFont="1">
      <alignment readingOrder="0"/>
    </xf>
    <xf borderId="0" fillId="9" fontId="23" numFmtId="0" xfId="0" applyFont="1"/>
    <xf borderId="0" fillId="0" fontId="47" numFmtId="0" xfId="0" applyAlignment="1" applyFont="1">
      <alignment horizontal="center" readingOrder="0" shrinkToFit="0" vertical="bottom" wrapText="0"/>
    </xf>
    <xf borderId="0" fillId="0" fontId="48" numFmtId="0" xfId="0" applyAlignment="1" applyFont="1">
      <alignment horizontal="center" readingOrder="0" shrinkToFit="0" vertical="bottom" wrapText="0"/>
    </xf>
    <xf borderId="0" fillId="0" fontId="50" numFmtId="0" xfId="0" applyAlignment="1" applyFont="1">
      <alignment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0" fontId="21" numFmtId="164" xfId="0" applyAlignment="1" applyFont="1" applyNumberFormat="1">
      <alignment horizontal="center" readingOrder="0" shrinkToFit="0" vertical="bottom" wrapText="0"/>
    </xf>
    <xf borderId="0" fillId="8" fontId="21" numFmtId="0" xfId="0" applyAlignment="1" applyFont="1">
      <alignment horizontal="left" readingOrder="0" shrinkToFit="0" vertical="bottom" wrapText="0"/>
    </xf>
    <xf borderId="0" fillId="8" fontId="21" numFmtId="0" xfId="0" applyAlignment="1" applyFont="1">
      <alignment horizontal="center" readingOrder="0" shrinkToFit="0" vertical="bottom" wrapText="0"/>
    </xf>
    <xf borderId="0" fillId="8" fontId="21" numFmtId="164" xfId="0" applyAlignment="1" applyFont="1" applyNumberFormat="1">
      <alignment horizontal="center" readingOrder="0" shrinkToFit="0" vertical="bottom" wrapText="0"/>
    </xf>
    <xf borderId="0" fillId="8" fontId="41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0" fontId="21" numFmtId="169" xfId="0" applyAlignment="1" applyFont="1" applyNumberFormat="1">
      <alignment horizontal="center" readingOrder="0" shrinkToFit="0" vertical="bottom" wrapText="0"/>
    </xf>
    <xf borderId="0" fillId="0" fontId="41" numFmtId="0" xfId="0" applyAlignment="1" applyFont="1">
      <alignment shrinkToFit="0" vertical="bottom" wrapText="0"/>
    </xf>
    <xf borderId="0" fillId="8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20" fontId="21" numFmtId="0" xfId="0" applyAlignment="1" applyFill="1" applyFont="1">
      <alignment horizontal="left" readingOrder="0" shrinkToFit="0" vertical="bottom" wrapText="0"/>
    </xf>
    <xf borderId="0" fillId="2" fontId="21" numFmtId="0" xfId="0" applyAlignment="1" applyFont="1">
      <alignment horizontal="left" readingOrder="0" shrinkToFit="0" vertical="bottom" wrapText="0"/>
    </xf>
    <xf borderId="0" fillId="0" fontId="23" numFmtId="0" xfId="0" applyAlignment="1" applyFont="1">
      <alignment horizontal="left" readingOrder="0"/>
    </xf>
    <xf borderId="0" fillId="0" fontId="23" numFmtId="169" xfId="0" applyAlignment="1" applyFont="1" applyNumberFormat="1">
      <alignment horizontal="center" readingOrder="0"/>
    </xf>
    <xf borderId="0" fillId="0" fontId="23" numFmtId="14" xfId="0" applyAlignment="1" applyFont="1" applyNumberFormat="1">
      <alignment horizontal="center" readingOrder="0"/>
    </xf>
    <xf borderId="0" fillId="0" fontId="39" numFmtId="0" xfId="0" applyAlignment="1" applyFont="1">
      <alignment horizontal="center" readingOrder="0" vertical="bottom"/>
    </xf>
    <xf borderId="0" fillId="2" fontId="39" numFmtId="0" xfId="0" applyAlignment="1" applyFont="1">
      <alignment horizontal="left" vertical="bottom"/>
    </xf>
    <xf borderId="0" fillId="0" fontId="39" numFmtId="14" xfId="0" applyAlignment="1" applyFont="1" applyNumberFormat="1">
      <alignment horizontal="center" vertical="bottom"/>
    </xf>
    <xf borderId="0" fillId="0" fontId="39" numFmtId="0" xfId="0" applyAlignment="1" applyFont="1">
      <alignment horizontal="center" vertical="bottom"/>
    </xf>
    <xf borderId="0" fillId="0" fontId="39" numFmtId="0" xfId="0" applyAlignment="1" applyFont="1">
      <alignment horizontal="left" vertical="bottom"/>
    </xf>
    <xf borderId="0" fillId="0" fontId="39" numFmtId="0" xfId="0" applyAlignment="1" applyFont="1">
      <alignment horizontal="left" readingOrder="0" vertical="bottom"/>
    </xf>
    <xf borderId="0" fillId="3" fontId="39" numFmtId="0" xfId="0" applyAlignment="1" applyFont="1">
      <alignment horizontal="left" readingOrder="0" vertical="bottom"/>
    </xf>
    <xf borderId="0" fillId="2" fontId="39" numFmtId="0" xfId="0" applyAlignment="1" applyFont="1">
      <alignment vertical="bottom"/>
    </xf>
    <xf borderId="0" fillId="3" fontId="39" numFmtId="0" xfId="0" applyAlignment="1" applyFont="1">
      <alignment vertical="bottom"/>
    </xf>
    <xf borderId="0" fillId="3" fontId="39" numFmtId="14" xfId="0" applyAlignment="1" applyFont="1" applyNumberFormat="1">
      <alignment horizontal="center" vertical="bottom"/>
    </xf>
    <xf borderId="0" fillId="0" fontId="39" numFmtId="14" xfId="0" applyAlignment="1" applyFont="1" applyNumberFormat="1">
      <alignment horizontal="center" readingOrder="0" vertical="bottom"/>
    </xf>
    <xf borderId="0" fillId="3" fontId="48" numFmtId="0" xfId="0" applyAlignment="1" applyFont="1">
      <alignment horizontal="center" readingOrder="0" shrinkToFit="0" vertical="bottom" wrapText="0"/>
    </xf>
    <xf borderId="0" fillId="3" fontId="48" numFmtId="0" xfId="0" applyAlignment="1" applyFont="1">
      <alignment readingOrder="0" shrinkToFit="0" vertical="bottom" wrapText="0"/>
    </xf>
    <xf borderId="0" fillId="3" fontId="21" numFmtId="0" xfId="0" applyAlignment="1" applyFont="1">
      <alignment horizontal="left" readingOrder="0" shrinkToFit="0" vertical="bottom" wrapText="0"/>
    </xf>
    <xf borderId="0" fillId="3" fontId="23" numFmtId="14" xfId="0" applyAlignment="1" applyFont="1" applyNumberFormat="1">
      <alignment horizontal="center" readingOrder="0"/>
    </xf>
    <xf borderId="0" fillId="3" fontId="51" numFmtId="0" xfId="0" applyAlignment="1" applyFont="1">
      <alignment horizontal="left" readingOrder="0"/>
    </xf>
    <xf borderId="0" fillId="3" fontId="21" numFmtId="0" xfId="0" applyAlignment="1" applyFont="1">
      <alignment horizontal="center" readingOrder="0" shrinkToFit="0" vertical="bottom" wrapText="0"/>
    </xf>
    <xf borderId="0" fillId="3" fontId="23" numFmtId="0" xfId="0" applyAlignment="1" applyFont="1">
      <alignment horizontal="left" readingOrder="0"/>
    </xf>
    <xf borderId="0" fillId="3" fontId="23" numFmtId="166" xfId="0" applyAlignment="1" applyFont="1" applyNumberFormat="1">
      <alignment horizontal="center" readingOrder="0"/>
    </xf>
    <xf borderId="0" fillId="4" fontId="23" numFmtId="0" xfId="0" applyAlignment="1" applyFont="1">
      <alignment horizontal="center" readingOrder="0"/>
    </xf>
    <xf borderId="0" fillId="3" fontId="23" numFmtId="169" xfId="0" applyAlignment="1" applyFont="1" applyNumberFormat="1">
      <alignment horizontal="center" readingOrder="0"/>
    </xf>
    <xf borderId="0" fillId="3" fontId="39" numFmtId="0" xfId="0" applyAlignment="1" applyFont="1">
      <alignment vertical="bottom"/>
    </xf>
    <xf borderId="0" fillId="19" fontId="23" numFmtId="0" xfId="0" applyAlignment="1" applyFont="1">
      <alignment horizontal="center" readingOrder="0"/>
    </xf>
    <xf borderId="0" fillId="6" fontId="23" numFmtId="0" xfId="0" applyAlignment="1" applyFont="1">
      <alignment horizontal="center" readingOrder="0"/>
    </xf>
    <xf borderId="0" fillId="13" fontId="23" numFmtId="0" xfId="0" applyAlignment="1" applyFont="1">
      <alignment horizontal="center"/>
    </xf>
    <xf borderId="0" fillId="3" fontId="23" numFmtId="167" xfId="0" applyAlignment="1" applyFont="1" applyNumberFormat="1">
      <alignment horizontal="center" readingOrder="0"/>
    </xf>
    <xf borderId="0" fillId="0" fontId="23" numFmtId="167" xfId="0" applyAlignment="1" applyFont="1" applyNumberFormat="1">
      <alignment horizontal="center" readingOrder="0"/>
    </xf>
    <xf borderId="0" fillId="0" fontId="23" numFmtId="166" xfId="0" applyAlignment="1" applyFont="1" applyNumberFormat="1">
      <alignment horizontal="center" readingOrder="0"/>
    </xf>
    <xf borderId="0" fillId="0" fontId="39" numFmtId="0" xfId="0" applyAlignment="1" applyFont="1">
      <alignment vertical="bottom"/>
    </xf>
    <xf borderId="0" fillId="11" fontId="39" numFmtId="0" xfId="0" applyAlignment="1" applyFont="1">
      <alignment horizontal="left" vertical="bottom"/>
    </xf>
    <xf borderId="0" fillId="3" fontId="23" numFmtId="0" xfId="0" applyAlignment="1" applyFont="1">
      <alignment horizontal="left"/>
    </xf>
    <xf borderId="0" fillId="3" fontId="52" numFmtId="0" xfId="0" applyAlignment="1" applyFont="1">
      <alignment horizontal="left" readingOrder="0"/>
    </xf>
    <xf borderId="0" fillId="10" fontId="23" numFmtId="0" xfId="0" applyAlignment="1" applyFont="1">
      <alignment horizontal="left" readingOrder="0"/>
    </xf>
    <xf borderId="0" fillId="10" fontId="23" numFmtId="0" xfId="0" applyAlignment="1" applyFont="1">
      <alignment readingOrder="0"/>
    </xf>
    <xf borderId="0" fillId="0" fontId="23" numFmtId="14" xfId="0" applyAlignment="1" applyFont="1" applyNumberFormat="1">
      <alignment horizontal="left" readingOrder="0"/>
    </xf>
    <xf borderId="0" fillId="10" fontId="23" numFmtId="0" xfId="0" applyAlignment="1" applyFont="1">
      <alignment horizontal="left"/>
    </xf>
    <xf borderId="0" fillId="21" fontId="23" numFmtId="0" xfId="0" applyAlignment="1" applyFill="1" applyFont="1">
      <alignment horizontal="left"/>
    </xf>
    <xf borderId="0" fillId="21" fontId="23" numFmtId="0" xfId="0" applyAlignment="1" applyFont="1">
      <alignment horizontal="left" readingOrder="0"/>
    </xf>
    <xf borderId="0" fillId="0" fontId="23" numFmtId="166" xfId="0" applyAlignment="1" applyFont="1" applyNumberFormat="1">
      <alignment horizontal="left" readingOrder="0"/>
    </xf>
    <xf borderId="0" fillId="12" fontId="23" numFmtId="166" xfId="0" applyAlignment="1" applyFont="1" applyNumberFormat="1">
      <alignment horizontal="left" readingOrder="0"/>
    </xf>
    <xf borderId="0" fillId="12" fontId="23" numFmtId="0" xfId="0" applyAlignment="1" applyFont="1">
      <alignment horizontal="left" readingOrder="0"/>
    </xf>
    <xf borderId="0" fillId="12" fontId="23" numFmtId="0" xfId="0" applyAlignment="1" applyFont="1">
      <alignment horizontal="left"/>
    </xf>
    <xf borderId="0" fillId="0" fontId="23" numFmtId="167" xfId="0" applyAlignment="1" applyFont="1" applyNumberFormat="1">
      <alignment horizontal="left" readingOrder="0"/>
    </xf>
    <xf borderId="0" fillId="8" fontId="23" numFmtId="167" xfId="0" applyAlignment="1" applyFont="1" applyNumberFormat="1">
      <alignment horizontal="left" readingOrder="0"/>
    </xf>
    <xf borderId="0" fillId="8" fontId="23" numFmtId="0" xfId="0" applyAlignment="1" applyFont="1">
      <alignment horizontal="left" readingOrder="0"/>
    </xf>
    <xf borderId="0" fillId="8" fontId="23" numFmtId="0" xfId="0" applyAlignment="1" applyFont="1">
      <alignment horizontal="left"/>
    </xf>
    <xf borderId="0" fillId="0" fontId="50" numFmtId="0" xfId="0" applyAlignment="1" applyFont="1">
      <alignment readingOrder="0" shrinkToFit="0" vertical="bottom" wrapText="0"/>
    </xf>
    <xf borderId="0" fillId="0" fontId="23" numFmtId="14" xfId="0" applyAlignment="1" applyFont="1" applyNumberFormat="1">
      <alignment readingOrder="0"/>
    </xf>
    <xf borderId="0" fillId="19" fontId="23" numFmtId="0" xfId="0" applyAlignment="1" applyFont="1">
      <alignment readingOrder="0"/>
    </xf>
    <xf borderId="0" fillId="10" fontId="23" numFmtId="0" xfId="0" applyFont="1"/>
    <xf borderId="0" fillId="11" fontId="39" numFmtId="0" xfId="0" applyAlignment="1" applyFont="1">
      <alignment horizontal="left" readingOrder="0" vertical="bottom"/>
    </xf>
    <xf borderId="0" fillId="12" fontId="23" numFmtId="0" xfId="0" applyFont="1"/>
    <xf borderId="0" fillId="8" fontId="23" numFmtId="0" xfId="0" applyAlignment="1" applyFont="1">
      <alignment readingOrder="0"/>
    </xf>
    <xf borderId="0" fillId="8" fontId="23" numFmtId="0" xfId="0" applyFont="1"/>
    <xf borderId="0" fillId="12" fontId="23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horizontal="center"/>
    </xf>
    <xf borderId="1" fillId="3" fontId="9" numFmtId="0" xfId="0" applyAlignment="1" applyBorder="1" applyFont="1">
      <alignment readingOrder="0"/>
    </xf>
    <xf borderId="1" fillId="3" fontId="23" numFmtId="0" xfId="0" applyAlignment="1" applyBorder="1" applyFont="1">
      <alignment horizontal="center" readingOrder="0"/>
    </xf>
    <xf borderId="1" fillId="0" fontId="39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nazimehan@g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3.0"/>
    <col customWidth="1" min="2" max="2" width="4.0"/>
    <col customWidth="1" min="3" max="3" width="23.5"/>
    <col customWidth="1" min="4" max="4" width="14.25"/>
    <col customWidth="1" min="5" max="5" width="13.0"/>
    <col customWidth="1" min="6" max="6" width="15.5"/>
    <col customWidth="1" min="7" max="7" width="15.38"/>
    <col customWidth="1" min="8" max="8" width="16.38"/>
    <col customWidth="1" hidden="1" min="9" max="9" width="18.0"/>
    <col customWidth="1" hidden="1" min="10" max="10" width="16.5"/>
    <col customWidth="1" hidden="1" min="11" max="11" width="17.25"/>
    <col hidden="1" min="12" max="17" width="12.63"/>
    <col customWidth="1" hidden="1" min="18" max="18" width="19.75"/>
    <col hidden="1" min="19" max="23" width="12.63"/>
    <col customWidth="1" hidden="1" min="24" max="24" width="13.75"/>
    <col customWidth="1" hidden="1" min="25" max="25" width="13.63"/>
    <col customWidth="1" hidden="1" min="26" max="26" width="11.25"/>
    <col hidden="1" min="27" max="27" width="12.63"/>
    <col customWidth="1" hidden="1" min="28" max="28" width="11.75"/>
    <col customWidth="1" hidden="1" min="29" max="29" width="9.13"/>
    <col customWidth="1" hidden="1" min="30" max="30" width="13.88"/>
    <col customWidth="1" min="31" max="31" width="17.5"/>
    <col customWidth="1" min="32" max="32" width="14.75"/>
    <col customWidth="1" min="33" max="33" width="9.5"/>
    <col customWidth="1" min="34" max="34" width="6.88"/>
    <col customWidth="1" min="35" max="35" width="9.38"/>
    <col customWidth="1" min="36" max="36" width="17.5"/>
    <col customWidth="1" min="37" max="37" width="14.75"/>
    <col customWidth="1" min="38" max="38" width="9.5"/>
    <col customWidth="1" min="39" max="39" width="6.88"/>
    <col customWidth="1" min="40" max="40" width="12.0"/>
    <col customWidth="1" min="41" max="41" width="17.5"/>
    <col customWidth="1" min="42" max="42" width="14.75"/>
    <col customWidth="1" min="43" max="43" width="9.5"/>
    <col customWidth="1" min="44" max="44" width="6.88"/>
    <col customWidth="1" min="45" max="45" width="15.13"/>
    <col customWidth="1" min="46" max="46" width="17.5"/>
    <col customWidth="1" min="47" max="47" width="14.75"/>
    <col customWidth="1" min="48" max="48" width="9.5"/>
    <col customWidth="1" min="49" max="49" width="6.88"/>
    <col customWidth="1" min="50" max="50" width="12.75"/>
    <col customWidth="1" min="51" max="51" width="17.5"/>
    <col customWidth="1" min="52" max="52" width="14.75"/>
    <col customWidth="1" min="53" max="53" width="9.5"/>
    <col customWidth="1" min="54" max="54" width="6.88"/>
    <col customWidth="1" min="55" max="55" width="14.63"/>
    <col customWidth="1" min="56" max="56" width="17.5"/>
    <col customWidth="1" min="57" max="57" width="14.75"/>
    <col customWidth="1" min="58" max="58" width="9.38"/>
    <col customWidth="1" min="59" max="59" width="6.88"/>
    <col customWidth="1" min="60" max="60" width="14.0"/>
    <col customWidth="1" min="61" max="61" width="17.5"/>
    <col customWidth="1" min="62" max="62" width="14.75"/>
    <col customWidth="1" min="63" max="63" width="9.5"/>
    <col customWidth="1" min="64" max="64" width="6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  <c r="AA1" s="3" t="s">
        <v>19</v>
      </c>
      <c r="AB1" s="3" t="s">
        <v>20</v>
      </c>
      <c r="AC1" s="3" t="s">
        <v>21</v>
      </c>
      <c r="AD1" s="5" t="s">
        <v>22</v>
      </c>
      <c r="AE1" s="6" t="s">
        <v>23</v>
      </c>
      <c r="AF1" s="7"/>
      <c r="AG1" s="7"/>
      <c r="AH1" s="8"/>
      <c r="AI1" s="6" t="s">
        <v>24</v>
      </c>
      <c r="AJ1" s="7"/>
      <c r="AK1" s="7"/>
      <c r="AL1" s="7"/>
      <c r="AM1" s="8"/>
      <c r="AN1" s="6" t="s">
        <v>25</v>
      </c>
      <c r="AO1" s="7"/>
      <c r="AP1" s="7"/>
      <c r="AQ1" s="7"/>
      <c r="AR1" s="8"/>
      <c r="AS1" s="6" t="s">
        <v>26</v>
      </c>
      <c r="AT1" s="7"/>
      <c r="AU1" s="7"/>
      <c r="AV1" s="7"/>
      <c r="AW1" s="8"/>
      <c r="AX1" s="6" t="s">
        <v>27</v>
      </c>
      <c r="AY1" s="7"/>
      <c r="AZ1" s="7"/>
      <c r="BA1" s="7"/>
      <c r="BB1" s="8"/>
      <c r="BC1" s="6" t="s">
        <v>28</v>
      </c>
      <c r="BD1" s="7"/>
      <c r="BE1" s="7"/>
      <c r="BF1" s="7"/>
      <c r="BG1" s="8"/>
      <c r="BH1" s="6" t="s">
        <v>29</v>
      </c>
      <c r="BI1" s="7"/>
      <c r="BJ1" s="7"/>
      <c r="BK1" s="7"/>
      <c r="BL1" s="8"/>
    </row>
    <row r="2">
      <c r="A2" s="9"/>
      <c r="B2" s="10"/>
      <c r="C2" s="11"/>
      <c r="D2" s="10"/>
      <c r="E2" s="10"/>
      <c r="F2" s="10"/>
      <c r="G2" s="10"/>
      <c r="H2" s="12" t="s">
        <v>30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3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31</v>
      </c>
      <c r="AK2" s="13" t="s">
        <v>32</v>
      </c>
      <c r="AL2" s="13" t="s">
        <v>33</v>
      </c>
      <c r="AM2" s="13" t="s">
        <v>34</v>
      </c>
      <c r="AN2" s="13" t="s">
        <v>35</v>
      </c>
      <c r="AO2" s="13" t="s">
        <v>31</v>
      </c>
      <c r="AP2" s="13" t="s">
        <v>32</v>
      </c>
      <c r="AQ2" s="13" t="s">
        <v>33</v>
      </c>
      <c r="AR2" s="13" t="s">
        <v>34</v>
      </c>
      <c r="AS2" s="13" t="s">
        <v>35</v>
      </c>
      <c r="AT2" s="13" t="s">
        <v>31</v>
      </c>
      <c r="AU2" s="13" t="s">
        <v>32</v>
      </c>
      <c r="AV2" s="13" t="s">
        <v>33</v>
      </c>
      <c r="AW2" s="13" t="s">
        <v>34</v>
      </c>
      <c r="AX2" s="13" t="s">
        <v>35</v>
      </c>
      <c r="AY2" s="13" t="s">
        <v>31</v>
      </c>
      <c r="AZ2" s="13" t="s">
        <v>32</v>
      </c>
      <c r="BA2" s="13" t="s">
        <v>33</v>
      </c>
      <c r="BB2" s="13" t="s">
        <v>34</v>
      </c>
      <c r="BC2" s="13" t="s">
        <v>35</v>
      </c>
      <c r="BD2" s="13" t="s">
        <v>31</v>
      </c>
      <c r="BE2" s="13" t="s">
        <v>32</v>
      </c>
      <c r="BF2" s="13" t="s">
        <v>33</v>
      </c>
      <c r="BG2" s="13" t="s">
        <v>34</v>
      </c>
      <c r="BH2" s="13" t="s">
        <v>35</v>
      </c>
      <c r="BI2" s="13" t="s">
        <v>31</v>
      </c>
      <c r="BJ2" s="13" t="s">
        <v>32</v>
      </c>
      <c r="BK2" s="13" t="s">
        <v>33</v>
      </c>
      <c r="BL2" s="13" t="s">
        <v>34</v>
      </c>
    </row>
    <row r="3">
      <c r="A3" s="14">
        <v>1.0</v>
      </c>
      <c r="B3" s="14">
        <v>5.0</v>
      </c>
      <c r="C3" s="11" t="s">
        <v>36</v>
      </c>
      <c r="D3" s="14">
        <v>1.971281111E9</v>
      </c>
      <c r="E3" s="14"/>
      <c r="F3" s="14"/>
      <c r="G3" s="14"/>
      <c r="H3" s="15" t="s">
        <v>30</v>
      </c>
      <c r="I3" s="15">
        <v>3000.0</v>
      </c>
      <c r="J3" s="15">
        <v>3000.0</v>
      </c>
      <c r="K3" s="15">
        <v>3000.0</v>
      </c>
      <c r="L3" s="15">
        <v>3000.0</v>
      </c>
      <c r="M3" s="15">
        <v>3000.0</v>
      </c>
      <c r="N3" s="15" t="s">
        <v>37</v>
      </c>
      <c r="O3" s="15" t="s">
        <v>38</v>
      </c>
      <c r="P3" s="15">
        <v>3000.0</v>
      </c>
      <c r="Q3" s="15" t="s">
        <v>38</v>
      </c>
      <c r="R3" s="15" t="s">
        <v>38</v>
      </c>
      <c r="S3" s="15">
        <v>3000.0</v>
      </c>
      <c r="T3" s="15">
        <v>3000.0</v>
      </c>
      <c r="U3" s="15">
        <v>3000.0</v>
      </c>
      <c r="V3" s="15">
        <v>3000.0</v>
      </c>
      <c r="W3" s="15">
        <v>3000.0</v>
      </c>
      <c r="X3" s="15">
        <v>3000.0</v>
      </c>
      <c r="Y3" s="15">
        <v>3000.0</v>
      </c>
      <c r="Z3" s="15">
        <v>3000.0</v>
      </c>
      <c r="AA3" s="15">
        <v>3000.0</v>
      </c>
      <c r="AB3" s="10"/>
      <c r="AC3" s="10"/>
      <c r="AD3" s="10"/>
      <c r="AE3" s="16"/>
      <c r="AF3" s="16">
        <v>3500.0</v>
      </c>
      <c r="AG3" s="17">
        <v>46178.0</v>
      </c>
      <c r="AH3" s="16" t="s">
        <v>39</v>
      </c>
      <c r="AI3" s="18">
        <f t="shared" ref="AI3:AI16" si="1">IF($H3="Inactive", 0, IF(AK3="off", 0, IF(AJ3&gt;0, 3500 - AK3, (3500 + IF(OR(AF3="off", AF3&gt;=3500), 0, 3500)) - AK3)))</f>
        <v>0</v>
      </c>
      <c r="AJ3" s="18"/>
      <c r="AK3" s="16">
        <v>3500.0</v>
      </c>
      <c r="AL3" s="17"/>
      <c r="AM3" s="18"/>
      <c r="AN3" s="18">
        <f t="shared" ref="AN3:AN16" si="2">IF($H3="Inactive", 0, IF(AP3="off", 0, IF(AO3&gt;0, 3500 - AP3, (3500 + IF(OR(AK3="off", AK3&gt;=3500), 0, 3500)) - AP3)))</f>
        <v>3500</v>
      </c>
      <c r="AO3" s="18"/>
      <c r="AP3" s="18"/>
      <c r="AQ3" s="17"/>
      <c r="AR3" s="18"/>
      <c r="AS3" s="18">
        <f t="shared" ref="AS3:AS16" si="3">IF($H3="Inactive", 0, IF(AU3="off", 0, IF(AT3&gt;0, 3500 - AU3, (3500 + IF(OR(AP3="off", AP3&gt;=3500), 0, 3500)) - AU3)))</f>
        <v>7000</v>
      </c>
      <c r="AT3" s="18"/>
      <c r="AU3" s="18"/>
      <c r="AV3" s="17"/>
      <c r="AW3" s="18"/>
      <c r="AX3" s="18">
        <f t="shared" ref="AX3:AX16" si="4">IF($H3="Inactive", 0, IF(AZ3="off", 0, IF(AY3&gt;0, 3500 - AZ3, (3500 + IF(OR(AU3="off", AU3&gt;=3500), 0, 3500)) - AZ3)))</f>
        <v>7000</v>
      </c>
      <c r="AY3" s="18"/>
      <c r="AZ3" s="18"/>
      <c r="BA3" s="17"/>
      <c r="BB3" s="18"/>
      <c r="BC3" s="18">
        <f t="shared" ref="BC3:BC16" si="5">IF($H3="Inactive", 0, IF(BE3="off", 0, IF(BD3&gt;0, 3500 - BE3, (3500 + IF(OR(AZ3="off", AZ3&gt;=3500), 0, 3500)) - BE3)))</f>
        <v>7000</v>
      </c>
      <c r="BD3" s="18"/>
      <c r="BE3" s="18"/>
      <c r="BF3" s="17"/>
      <c r="BG3" s="18"/>
      <c r="BH3" s="18">
        <f t="shared" ref="BH3:BH16" si="6">IF($H3="Inactive", 0, IF(BJ3="off", 0, IF(BI3&gt;0, 3500 - BJ3, (3500 + IF(OR(BE3="off", BE3&gt;=3500), 0, 3500)) - BJ3)))</f>
        <v>7000</v>
      </c>
      <c r="BI3" s="18"/>
      <c r="BJ3" s="18"/>
      <c r="BK3" s="17"/>
      <c r="BL3" s="18"/>
    </row>
    <row r="4">
      <c r="A4" s="16">
        <v>2.0</v>
      </c>
      <c r="B4" s="14">
        <v>9.0</v>
      </c>
      <c r="C4" s="19" t="s">
        <v>40</v>
      </c>
      <c r="D4" s="14">
        <v>1.911111111E9</v>
      </c>
      <c r="E4" s="14"/>
      <c r="F4" s="14"/>
      <c r="G4" s="14"/>
      <c r="H4" s="12" t="s">
        <v>30</v>
      </c>
      <c r="I4" s="15">
        <v>3000.0</v>
      </c>
      <c r="J4" s="15">
        <v>3000.0</v>
      </c>
      <c r="K4" s="15">
        <v>3000.0</v>
      </c>
      <c r="L4" s="15">
        <v>3000.0</v>
      </c>
      <c r="M4" s="15">
        <v>3000.0</v>
      </c>
      <c r="N4" s="15">
        <v>3000.0</v>
      </c>
      <c r="O4" s="15">
        <v>3000.0</v>
      </c>
      <c r="P4" s="15">
        <v>3000.0</v>
      </c>
      <c r="Q4" s="15">
        <v>3000.0</v>
      </c>
      <c r="R4" s="15">
        <v>3000.0</v>
      </c>
      <c r="S4" s="15">
        <v>3000.0</v>
      </c>
      <c r="T4" s="15">
        <v>3000.0</v>
      </c>
      <c r="U4" s="15">
        <v>3000.0</v>
      </c>
      <c r="V4" s="15">
        <v>3000.0</v>
      </c>
      <c r="W4" s="15">
        <v>3000.0</v>
      </c>
      <c r="X4" s="15">
        <v>3000.0</v>
      </c>
      <c r="Y4" s="15">
        <v>3000.0</v>
      </c>
      <c r="Z4" s="15">
        <v>3000.0</v>
      </c>
      <c r="AA4" s="15">
        <v>3000.0</v>
      </c>
      <c r="AB4" s="15">
        <v>3000.0</v>
      </c>
      <c r="AC4" s="15">
        <v>3000.0</v>
      </c>
      <c r="AD4" s="15">
        <v>3000.0</v>
      </c>
      <c r="AE4" s="16"/>
      <c r="AF4" s="16">
        <v>3500.0</v>
      </c>
      <c r="AG4" s="17">
        <v>46179.0</v>
      </c>
      <c r="AH4" s="16" t="s">
        <v>39</v>
      </c>
      <c r="AI4" s="18">
        <f t="shared" si="1"/>
        <v>0</v>
      </c>
      <c r="AJ4" s="16"/>
      <c r="AK4" s="16">
        <v>3500.0</v>
      </c>
      <c r="AL4" s="16"/>
      <c r="AM4" s="16"/>
      <c r="AN4" s="18">
        <f t="shared" si="2"/>
        <v>3500</v>
      </c>
      <c r="AO4" s="16"/>
      <c r="AP4" s="16"/>
      <c r="AQ4" s="16"/>
      <c r="AR4" s="16"/>
      <c r="AS4" s="18">
        <f t="shared" si="3"/>
        <v>7000</v>
      </c>
      <c r="AT4" s="16"/>
      <c r="AU4" s="16"/>
      <c r="AV4" s="16"/>
      <c r="AW4" s="16"/>
      <c r="AX4" s="18">
        <f t="shared" si="4"/>
        <v>7000</v>
      </c>
      <c r="AY4" s="16"/>
      <c r="AZ4" s="16"/>
      <c r="BA4" s="16"/>
      <c r="BB4" s="16"/>
      <c r="BC4" s="18">
        <f t="shared" si="5"/>
        <v>7000</v>
      </c>
      <c r="BD4" s="16"/>
      <c r="BE4" s="16"/>
      <c r="BF4" s="16"/>
      <c r="BG4" s="16"/>
      <c r="BH4" s="18">
        <f t="shared" si="6"/>
        <v>7000</v>
      </c>
      <c r="BI4" s="16"/>
      <c r="BJ4" s="16"/>
      <c r="BK4" s="16"/>
      <c r="BL4" s="16"/>
    </row>
    <row r="5">
      <c r="A5" s="14">
        <v>3.0</v>
      </c>
      <c r="B5" s="14">
        <v>10.0</v>
      </c>
      <c r="C5" s="19" t="s">
        <v>41</v>
      </c>
      <c r="D5" s="14">
        <v>1.811111111E9</v>
      </c>
      <c r="E5" s="14"/>
      <c r="F5" s="14"/>
      <c r="G5" s="14"/>
      <c r="H5" s="12" t="s">
        <v>30</v>
      </c>
      <c r="I5" s="15">
        <v>3000.0</v>
      </c>
      <c r="J5" s="15">
        <v>3000.0</v>
      </c>
      <c r="K5" s="15">
        <v>3000.0</v>
      </c>
      <c r="L5" s="15">
        <v>3000.0</v>
      </c>
      <c r="M5" s="15">
        <v>3000.0</v>
      </c>
      <c r="N5" s="15">
        <v>3000.0</v>
      </c>
      <c r="O5" s="15">
        <v>3000.0</v>
      </c>
      <c r="P5" s="15">
        <v>3000.0</v>
      </c>
      <c r="Q5" s="15">
        <v>3000.0</v>
      </c>
      <c r="R5" s="15">
        <v>3000.0</v>
      </c>
      <c r="S5" s="15">
        <v>3000.0</v>
      </c>
      <c r="T5" s="15">
        <v>3000.0</v>
      </c>
      <c r="U5" s="15">
        <v>3000.0</v>
      </c>
      <c r="V5" s="15">
        <v>3000.0</v>
      </c>
      <c r="W5" s="15">
        <v>3000.0</v>
      </c>
      <c r="X5" s="15">
        <v>3000.0</v>
      </c>
      <c r="Y5" s="15">
        <v>3000.0</v>
      </c>
      <c r="Z5" s="15">
        <v>3000.0</v>
      </c>
      <c r="AA5" s="15">
        <v>3000.0</v>
      </c>
      <c r="AB5" s="15">
        <v>3000.0</v>
      </c>
      <c r="AC5" s="15">
        <v>3000.0</v>
      </c>
      <c r="AD5" s="15">
        <v>3000.0</v>
      </c>
      <c r="AE5" s="16"/>
      <c r="AF5" s="16">
        <v>3500.0</v>
      </c>
      <c r="AG5" s="17">
        <v>46180.0</v>
      </c>
      <c r="AH5" s="16" t="s">
        <v>39</v>
      </c>
      <c r="AI5" s="18">
        <f t="shared" si="1"/>
        <v>0</v>
      </c>
      <c r="AJ5" s="16"/>
      <c r="AK5" s="16">
        <v>3500.0</v>
      </c>
      <c r="AL5" s="16"/>
      <c r="AM5" s="16"/>
      <c r="AN5" s="18">
        <f t="shared" si="2"/>
        <v>3500</v>
      </c>
      <c r="AO5" s="16"/>
      <c r="AP5" s="16"/>
      <c r="AQ5" s="16"/>
      <c r="AR5" s="16"/>
      <c r="AS5" s="18">
        <f t="shared" si="3"/>
        <v>7000</v>
      </c>
      <c r="AT5" s="16"/>
      <c r="AU5" s="16"/>
      <c r="AV5" s="16"/>
      <c r="AW5" s="16"/>
      <c r="AX5" s="18">
        <f t="shared" si="4"/>
        <v>7000</v>
      </c>
      <c r="AY5" s="16"/>
      <c r="AZ5" s="16"/>
      <c r="BA5" s="16"/>
      <c r="BB5" s="16"/>
      <c r="BC5" s="18">
        <f t="shared" si="5"/>
        <v>7000</v>
      </c>
      <c r="BD5" s="16"/>
      <c r="BE5" s="16"/>
      <c r="BF5" s="16"/>
      <c r="BG5" s="16"/>
      <c r="BH5" s="18">
        <f t="shared" si="6"/>
        <v>7000</v>
      </c>
      <c r="BI5" s="16"/>
      <c r="BJ5" s="16"/>
      <c r="BK5" s="16"/>
      <c r="BL5" s="16"/>
    </row>
    <row r="6">
      <c r="A6" s="16">
        <v>4.0</v>
      </c>
      <c r="B6" s="14">
        <v>11.0</v>
      </c>
      <c r="C6" s="19" t="s">
        <v>42</v>
      </c>
      <c r="D6" s="14">
        <v>1.722222222E9</v>
      </c>
      <c r="E6" s="14"/>
      <c r="F6" s="14"/>
      <c r="G6" s="14">
        <v>3500.0</v>
      </c>
      <c r="H6" s="15" t="s">
        <v>30</v>
      </c>
      <c r="I6" s="15">
        <v>3000.0</v>
      </c>
      <c r="J6" s="15">
        <v>3000.0</v>
      </c>
      <c r="K6" s="15">
        <v>3000.0</v>
      </c>
      <c r="L6" s="15">
        <v>3000.0</v>
      </c>
      <c r="M6" s="15">
        <v>3000.0</v>
      </c>
      <c r="N6" s="15" t="s">
        <v>37</v>
      </c>
      <c r="O6" s="15" t="s">
        <v>38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/>
      <c r="AF6" s="20"/>
      <c r="AG6" s="17">
        <v>46181.0</v>
      </c>
      <c r="AH6" s="16" t="s">
        <v>39</v>
      </c>
      <c r="AI6" s="18">
        <f t="shared" si="1"/>
        <v>0</v>
      </c>
      <c r="AJ6" s="16"/>
      <c r="AK6" s="16">
        <v>7000.0</v>
      </c>
      <c r="AL6" s="16"/>
      <c r="AM6" s="16"/>
      <c r="AN6" s="18">
        <f t="shared" si="2"/>
        <v>3500</v>
      </c>
      <c r="AO6" s="16"/>
      <c r="AP6" s="16"/>
      <c r="AQ6" s="16"/>
      <c r="AR6" s="16"/>
      <c r="AS6" s="18">
        <f t="shared" si="3"/>
        <v>7000</v>
      </c>
      <c r="AT6" s="16"/>
      <c r="AU6" s="16"/>
      <c r="AV6" s="16"/>
      <c r="AW6" s="16"/>
      <c r="AX6" s="18">
        <f t="shared" si="4"/>
        <v>7000</v>
      </c>
      <c r="AY6" s="16"/>
      <c r="AZ6" s="16"/>
      <c r="BA6" s="16"/>
      <c r="BB6" s="16"/>
      <c r="BC6" s="18">
        <f t="shared" si="5"/>
        <v>7000</v>
      </c>
      <c r="BD6" s="16"/>
      <c r="BE6" s="16"/>
      <c r="BF6" s="16"/>
      <c r="BG6" s="16"/>
      <c r="BH6" s="18">
        <f t="shared" si="6"/>
        <v>7000</v>
      </c>
      <c r="BI6" s="16"/>
      <c r="BJ6" s="16"/>
      <c r="BK6" s="16"/>
      <c r="BL6" s="16"/>
    </row>
    <row r="7">
      <c r="A7" s="14">
        <v>5.0</v>
      </c>
      <c r="B7" s="14">
        <v>19.0</v>
      </c>
      <c r="C7" s="19" t="s">
        <v>43</v>
      </c>
      <c r="D7" s="14">
        <v>1.915876598E9</v>
      </c>
      <c r="E7" s="14"/>
      <c r="F7" s="14"/>
      <c r="G7" s="14"/>
      <c r="H7" s="12" t="s">
        <v>30</v>
      </c>
      <c r="I7" s="15" t="s">
        <v>44</v>
      </c>
      <c r="J7" s="15">
        <v>3000.0</v>
      </c>
      <c r="K7" s="15">
        <v>3000.0</v>
      </c>
      <c r="L7" s="15">
        <v>3000.0</v>
      </c>
      <c r="M7" s="15">
        <v>3000.0</v>
      </c>
      <c r="N7" s="15">
        <v>3000.0</v>
      </c>
      <c r="O7" s="15">
        <v>3000.0</v>
      </c>
      <c r="P7" s="15">
        <v>3000.0</v>
      </c>
      <c r="Q7" s="15">
        <v>3000.0</v>
      </c>
      <c r="R7" s="15">
        <v>3000.0</v>
      </c>
      <c r="S7" s="15">
        <v>3000.0</v>
      </c>
      <c r="T7" s="15">
        <v>3000.0</v>
      </c>
      <c r="U7" s="15">
        <v>3000.0</v>
      </c>
      <c r="V7" s="15">
        <v>3000.0</v>
      </c>
      <c r="W7" s="15">
        <v>3000.0</v>
      </c>
      <c r="X7" s="15">
        <v>3000.0</v>
      </c>
      <c r="Y7" s="15">
        <v>3000.0</v>
      </c>
      <c r="Z7" s="15">
        <v>3000.0</v>
      </c>
      <c r="AA7" s="15">
        <v>3000.0</v>
      </c>
      <c r="AB7" s="15">
        <v>3000.0</v>
      </c>
      <c r="AC7" s="15">
        <v>3000.0</v>
      </c>
      <c r="AD7" s="15">
        <v>3000.0</v>
      </c>
      <c r="AE7" s="16"/>
      <c r="AF7" s="16">
        <v>3500.0</v>
      </c>
      <c r="AG7" s="17">
        <v>46182.0</v>
      </c>
      <c r="AH7" s="16" t="s">
        <v>39</v>
      </c>
      <c r="AI7" s="18">
        <f t="shared" si="1"/>
        <v>0</v>
      </c>
      <c r="AJ7" s="16"/>
      <c r="AK7" s="16">
        <v>3500.0</v>
      </c>
      <c r="AL7" s="16"/>
      <c r="AM7" s="16"/>
      <c r="AN7" s="18">
        <f t="shared" si="2"/>
        <v>3500</v>
      </c>
      <c r="AO7" s="16"/>
      <c r="AP7" s="16"/>
      <c r="AQ7" s="16"/>
      <c r="AR7" s="16"/>
      <c r="AS7" s="18">
        <f t="shared" si="3"/>
        <v>7000</v>
      </c>
      <c r="AT7" s="16"/>
      <c r="AU7" s="16"/>
      <c r="AV7" s="16"/>
      <c r="AW7" s="16"/>
      <c r="AX7" s="18">
        <f t="shared" si="4"/>
        <v>7000</v>
      </c>
      <c r="AY7" s="16"/>
      <c r="AZ7" s="16"/>
      <c r="BA7" s="16"/>
      <c r="BB7" s="16"/>
      <c r="BC7" s="18">
        <f t="shared" si="5"/>
        <v>7000</v>
      </c>
      <c r="BD7" s="16"/>
      <c r="BE7" s="16"/>
      <c r="BF7" s="16"/>
      <c r="BG7" s="16"/>
      <c r="BH7" s="18">
        <f t="shared" si="6"/>
        <v>7000</v>
      </c>
      <c r="BI7" s="16"/>
      <c r="BJ7" s="16"/>
      <c r="BK7" s="16"/>
      <c r="BL7" s="16"/>
    </row>
    <row r="8">
      <c r="A8" s="16">
        <v>6.0</v>
      </c>
      <c r="B8" s="14">
        <v>21.0</v>
      </c>
      <c r="C8" s="19" t="s">
        <v>45</v>
      </c>
      <c r="D8" s="14">
        <v>1.823654123E9</v>
      </c>
      <c r="E8" s="14"/>
      <c r="F8" s="14"/>
      <c r="G8" s="14"/>
      <c r="H8" s="12" t="s">
        <v>30</v>
      </c>
      <c r="I8" s="15" t="s">
        <v>44</v>
      </c>
      <c r="J8" s="15">
        <v>3000.0</v>
      </c>
      <c r="K8" s="15">
        <v>3000.0</v>
      </c>
      <c r="L8" s="15">
        <v>3000.0</v>
      </c>
      <c r="M8" s="15">
        <v>3000.0</v>
      </c>
      <c r="N8" s="15">
        <v>3000.0</v>
      </c>
      <c r="O8" s="15">
        <v>3000.0</v>
      </c>
      <c r="P8" s="15">
        <v>3000.0</v>
      </c>
      <c r="Q8" s="15">
        <v>3000.0</v>
      </c>
      <c r="R8" s="15">
        <v>3000.0</v>
      </c>
      <c r="S8" s="15">
        <v>3000.0</v>
      </c>
      <c r="T8" s="15">
        <v>3000.0</v>
      </c>
      <c r="U8" s="15">
        <v>3000.0</v>
      </c>
      <c r="V8" s="15">
        <v>3000.0</v>
      </c>
      <c r="W8" s="15">
        <v>3000.0</v>
      </c>
      <c r="X8" s="15">
        <v>3000.0</v>
      </c>
      <c r="Y8" s="15">
        <v>3000.0</v>
      </c>
      <c r="Z8" s="15">
        <v>3000.0</v>
      </c>
      <c r="AA8" s="15">
        <v>3000.0</v>
      </c>
      <c r="AB8" s="15">
        <v>3000.0</v>
      </c>
      <c r="AC8" s="15">
        <v>3000.0</v>
      </c>
      <c r="AD8" s="21"/>
      <c r="AE8" s="16"/>
      <c r="AF8" s="16">
        <v>3500.0</v>
      </c>
      <c r="AG8" s="17">
        <v>46183.0</v>
      </c>
      <c r="AH8" s="16" t="s">
        <v>39</v>
      </c>
      <c r="AI8" s="18">
        <f t="shared" si="1"/>
        <v>0</v>
      </c>
      <c r="AJ8" s="16"/>
      <c r="AK8" s="16">
        <v>3500.0</v>
      </c>
      <c r="AL8" s="16"/>
      <c r="AM8" s="16"/>
      <c r="AN8" s="18">
        <f t="shared" si="2"/>
        <v>3500</v>
      </c>
      <c r="AO8" s="16"/>
      <c r="AP8" s="16"/>
      <c r="AQ8" s="16"/>
      <c r="AR8" s="16"/>
      <c r="AS8" s="18">
        <f t="shared" si="3"/>
        <v>7000</v>
      </c>
      <c r="AT8" s="16"/>
      <c r="AU8" s="16"/>
      <c r="AV8" s="16"/>
      <c r="AW8" s="16"/>
      <c r="AX8" s="18">
        <f t="shared" si="4"/>
        <v>7000</v>
      </c>
      <c r="AY8" s="16"/>
      <c r="AZ8" s="16"/>
      <c r="BA8" s="16"/>
      <c r="BB8" s="16"/>
      <c r="BC8" s="18">
        <f t="shared" si="5"/>
        <v>7000</v>
      </c>
      <c r="BD8" s="16"/>
      <c r="BE8" s="16"/>
      <c r="BF8" s="16"/>
      <c r="BG8" s="16"/>
      <c r="BH8" s="18">
        <f t="shared" si="6"/>
        <v>7000</v>
      </c>
      <c r="BI8" s="16"/>
      <c r="BJ8" s="16"/>
      <c r="BK8" s="16"/>
      <c r="BL8" s="16"/>
    </row>
    <row r="9" ht="19.5" customHeight="1">
      <c r="A9" s="14">
        <v>7.0</v>
      </c>
      <c r="B9" s="14">
        <v>24.0</v>
      </c>
      <c r="C9" s="19" t="s">
        <v>46</v>
      </c>
      <c r="D9" s="14">
        <v>1.712321232E9</v>
      </c>
      <c r="E9" s="14"/>
      <c r="F9" s="14"/>
      <c r="G9" s="14"/>
      <c r="H9" s="12" t="s">
        <v>30</v>
      </c>
      <c r="I9" s="15" t="s">
        <v>47</v>
      </c>
      <c r="J9" s="15" t="s">
        <v>44</v>
      </c>
      <c r="K9" s="15">
        <v>3000.0</v>
      </c>
      <c r="L9" s="15">
        <v>3000.0</v>
      </c>
      <c r="M9" s="15">
        <v>3000.0</v>
      </c>
      <c r="N9" s="15">
        <v>3000.0</v>
      </c>
      <c r="O9" s="15">
        <v>3000.0</v>
      </c>
      <c r="P9" s="15">
        <v>3000.0</v>
      </c>
      <c r="Q9" s="15" t="s">
        <v>38</v>
      </c>
      <c r="R9" s="15">
        <v>3000.0</v>
      </c>
      <c r="S9" s="15">
        <v>3000.0</v>
      </c>
      <c r="T9" s="15">
        <v>3000.0</v>
      </c>
      <c r="U9" s="15">
        <v>3000.0</v>
      </c>
      <c r="V9" s="15">
        <v>3000.0</v>
      </c>
      <c r="W9" s="15">
        <v>3000.0</v>
      </c>
      <c r="X9" s="15">
        <v>3000.0</v>
      </c>
      <c r="Y9" s="15">
        <v>3000.0</v>
      </c>
      <c r="Z9" s="15">
        <v>3000.0</v>
      </c>
      <c r="AA9" s="15">
        <v>3000.0</v>
      </c>
      <c r="AB9" s="15">
        <v>3000.0</v>
      </c>
      <c r="AC9" s="15">
        <v>3000.0</v>
      </c>
      <c r="AD9" s="15">
        <v>3000.0</v>
      </c>
      <c r="AE9" s="16"/>
      <c r="AF9" s="16">
        <v>3500.0</v>
      </c>
      <c r="AG9" s="17">
        <v>46184.0</v>
      </c>
      <c r="AH9" s="16" t="s">
        <v>39</v>
      </c>
      <c r="AI9" s="18">
        <f t="shared" si="1"/>
        <v>0</v>
      </c>
      <c r="AJ9" s="18"/>
      <c r="AK9" s="16">
        <v>3500.0</v>
      </c>
      <c r="AL9" s="18"/>
      <c r="AM9" s="18"/>
      <c r="AN9" s="18">
        <f t="shared" si="2"/>
        <v>3500</v>
      </c>
      <c r="AO9" s="18"/>
      <c r="AP9" s="18"/>
      <c r="AQ9" s="18"/>
      <c r="AR9" s="18"/>
      <c r="AS9" s="18">
        <f t="shared" si="3"/>
        <v>7000</v>
      </c>
      <c r="AT9" s="18"/>
      <c r="AU9" s="18"/>
      <c r="AV9" s="18"/>
      <c r="AW9" s="18"/>
      <c r="AX9" s="18">
        <f t="shared" si="4"/>
        <v>7000</v>
      </c>
      <c r="AY9" s="18"/>
      <c r="AZ9" s="18"/>
      <c r="BA9" s="18"/>
      <c r="BB9" s="18"/>
      <c r="BC9" s="18">
        <f t="shared" si="5"/>
        <v>7000</v>
      </c>
      <c r="BD9" s="18"/>
      <c r="BE9" s="18"/>
      <c r="BF9" s="18"/>
      <c r="BG9" s="18"/>
      <c r="BH9" s="18">
        <f t="shared" si="6"/>
        <v>7000</v>
      </c>
      <c r="BI9" s="18"/>
      <c r="BJ9" s="18"/>
      <c r="BK9" s="18"/>
      <c r="BL9" s="18"/>
    </row>
    <row r="10">
      <c r="A10" s="16">
        <v>8.0</v>
      </c>
      <c r="B10" s="14">
        <v>34.0</v>
      </c>
      <c r="C10" s="19" t="s">
        <v>48</v>
      </c>
      <c r="D10" s="14">
        <v>1.733333333E9</v>
      </c>
      <c r="E10" s="14"/>
      <c r="F10" s="14"/>
      <c r="G10" s="14"/>
      <c r="H10" s="12" t="s">
        <v>30</v>
      </c>
      <c r="I10" s="15" t="s">
        <v>47</v>
      </c>
      <c r="J10" s="15" t="s">
        <v>47</v>
      </c>
      <c r="K10" s="15" t="s">
        <v>44</v>
      </c>
      <c r="L10" s="15">
        <v>3000.0</v>
      </c>
      <c r="M10" s="15">
        <v>3000.0</v>
      </c>
      <c r="N10" s="15">
        <v>3000.0</v>
      </c>
      <c r="O10" s="15">
        <v>3000.0</v>
      </c>
      <c r="P10" s="15">
        <v>3000.0</v>
      </c>
      <c r="Q10" s="15">
        <v>3000.0</v>
      </c>
      <c r="R10" s="15">
        <v>3000.0</v>
      </c>
      <c r="S10" s="15">
        <v>3000.0</v>
      </c>
      <c r="T10" s="15">
        <v>3000.0</v>
      </c>
      <c r="U10" s="15">
        <v>3000.0</v>
      </c>
      <c r="V10" s="15">
        <v>3000.0</v>
      </c>
      <c r="W10" s="15">
        <v>3000.0</v>
      </c>
      <c r="X10" s="15">
        <v>3000.0</v>
      </c>
      <c r="Y10" s="15">
        <v>3000.0</v>
      </c>
      <c r="Z10" s="15">
        <v>3000.0</v>
      </c>
      <c r="AA10" s="15">
        <v>3000.0</v>
      </c>
      <c r="AB10" s="15">
        <v>3000.0</v>
      </c>
      <c r="AC10" s="15">
        <v>3000.0</v>
      </c>
      <c r="AD10" s="21">
        <v>3000.0</v>
      </c>
      <c r="AE10" s="16"/>
      <c r="AF10" s="16">
        <v>3500.0</v>
      </c>
      <c r="AG10" s="17">
        <v>46185.0</v>
      </c>
      <c r="AH10" s="16" t="s">
        <v>39</v>
      </c>
      <c r="AI10" s="18">
        <f t="shared" si="1"/>
        <v>0</v>
      </c>
      <c r="AJ10" s="18"/>
      <c r="AK10" s="16">
        <v>3500.0</v>
      </c>
      <c r="AL10" s="18"/>
      <c r="AM10" s="18"/>
      <c r="AN10" s="18">
        <f t="shared" si="2"/>
        <v>3500</v>
      </c>
      <c r="AO10" s="18"/>
      <c r="AP10" s="18"/>
      <c r="AQ10" s="18"/>
      <c r="AR10" s="18"/>
      <c r="AS10" s="18">
        <f t="shared" si="3"/>
        <v>7000</v>
      </c>
      <c r="AT10" s="18"/>
      <c r="AU10" s="18"/>
      <c r="AV10" s="18"/>
      <c r="AW10" s="18"/>
      <c r="AX10" s="18">
        <f t="shared" si="4"/>
        <v>7000</v>
      </c>
      <c r="AY10" s="18"/>
      <c r="AZ10" s="18"/>
      <c r="BA10" s="18"/>
      <c r="BB10" s="18"/>
      <c r="BC10" s="18">
        <f t="shared" si="5"/>
        <v>7000</v>
      </c>
      <c r="BD10" s="18"/>
      <c r="BE10" s="18"/>
      <c r="BF10" s="18"/>
      <c r="BG10" s="18"/>
      <c r="BH10" s="18">
        <f t="shared" si="6"/>
        <v>7000</v>
      </c>
      <c r="BI10" s="18"/>
      <c r="BJ10" s="18"/>
      <c r="BK10" s="18"/>
      <c r="BL10" s="18"/>
    </row>
    <row r="11">
      <c r="A11" s="14">
        <v>9.0</v>
      </c>
      <c r="B11" s="14">
        <v>38.0</v>
      </c>
      <c r="C11" s="19" t="s">
        <v>49</v>
      </c>
      <c r="D11" s="14">
        <v>1.511111111E9</v>
      </c>
      <c r="E11" s="14"/>
      <c r="F11" s="14"/>
      <c r="G11" s="14"/>
      <c r="H11" s="12" t="s">
        <v>30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21"/>
      <c r="AE11" s="16"/>
      <c r="AF11" s="16"/>
      <c r="AG11" s="17">
        <v>46186.0</v>
      </c>
      <c r="AH11" s="16" t="s">
        <v>39</v>
      </c>
      <c r="AI11" s="18">
        <f t="shared" si="1"/>
        <v>0</v>
      </c>
      <c r="AJ11" s="18"/>
      <c r="AK11" s="16">
        <v>7000.0</v>
      </c>
      <c r="AL11" s="18"/>
      <c r="AM11" s="18"/>
      <c r="AN11" s="18">
        <f t="shared" si="2"/>
        <v>3500</v>
      </c>
      <c r="AO11" s="18"/>
      <c r="AP11" s="18"/>
      <c r="AQ11" s="18"/>
      <c r="AR11" s="18"/>
      <c r="AS11" s="18">
        <f t="shared" si="3"/>
        <v>7000</v>
      </c>
      <c r="AT11" s="18"/>
      <c r="AU11" s="18"/>
      <c r="AV11" s="18"/>
      <c r="AW11" s="18"/>
      <c r="AX11" s="18">
        <f t="shared" si="4"/>
        <v>7000</v>
      </c>
      <c r="AY11" s="18"/>
      <c r="AZ11" s="18"/>
      <c r="BA11" s="18"/>
      <c r="BB11" s="18"/>
      <c r="BC11" s="18">
        <f t="shared" si="5"/>
        <v>7000</v>
      </c>
      <c r="BD11" s="18"/>
      <c r="BE11" s="18"/>
      <c r="BF11" s="18"/>
      <c r="BG11" s="18"/>
      <c r="BH11" s="18">
        <f t="shared" si="6"/>
        <v>7000</v>
      </c>
      <c r="BI11" s="18"/>
      <c r="BJ11" s="18"/>
      <c r="BK11" s="18"/>
      <c r="BL11" s="18"/>
    </row>
    <row r="12">
      <c r="A12" s="16">
        <v>10.0</v>
      </c>
      <c r="B12" s="14">
        <v>39.0</v>
      </c>
      <c r="C12" s="19" t="s">
        <v>50</v>
      </c>
      <c r="D12" s="14">
        <v>1.736963696E9</v>
      </c>
      <c r="E12" s="14"/>
      <c r="F12" s="14"/>
      <c r="G12" s="14"/>
      <c r="H12" s="12" t="s">
        <v>30</v>
      </c>
      <c r="I12" s="10"/>
      <c r="J12" s="10"/>
      <c r="K12" s="10"/>
      <c r="L12" s="10"/>
      <c r="M12" s="10"/>
      <c r="N12" s="15" t="s">
        <v>44</v>
      </c>
      <c r="O12" s="15">
        <v>3000.0</v>
      </c>
      <c r="P12" s="15">
        <v>3000.0</v>
      </c>
      <c r="Q12" s="15">
        <v>3000.0</v>
      </c>
      <c r="R12" s="15" t="s">
        <v>38</v>
      </c>
      <c r="S12" s="15">
        <v>3000.0</v>
      </c>
      <c r="T12" s="15">
        <v>3000.0</v>
      </c>
      <c r="U12" s="15">
        <v>3000.0</v>
      </c>
      <c r="V12" s="15">
        <v>3000.0</v>
      </c>
      <c r="W12" s="15">
        <v>3000.0</v>
      </c>
      <c r="X12" s="15">
        <v>3000.0</v>
      </c>
      <c r="Y12" s="15">
        <v>3000.0</v>
      </c>
      <c r="Z12" s="15">
        <v>3000.0</v>
      </c>
      <c r="AA12" s="15">
        <v>3000.0</v>
      </c>
      <c r="AB12" s="15">
        <v>3000.0</v>
      </c>
      <c r="AC12" s="15">
        <v>3000.0</v>
      </c>
      <c r="AD12" s="15">
        <v>3000.0</v>
      </c>
      <c r="AE12" s="16"/>
      <c r="AF12" s="16">
        <v>3500.0</v>
      </c>
      <c r="AG12" s="17">
        <v>46187.0</v>
      </c>
      <c r="AH12" s="16" t="s">
        <v>39</v>
      </c>
      <c r="AI12" s="18">
        <f t="shared" si="1"/>
        <v>0</v>
      </c>
      <c r="AJ12" s="16"/>
      <c r="AK12" s="16">
        <v>3500.0</v>
      </c>
      <c r="AL12" s="16"/>
      <c r="AM12" s="16"/>
      <c r="AN12" s="18">
        <f t="shared" si="2"/>
        <v>3500</v>
      </c>
      <c r="AO12" s="16"/>
      <c r="AP12" s="16"/>
      <c r="AQ12" s="16"/>
      <c r="AR12" s="16"/>
      <c r="AS12" s="18">
        <f t="shared" si="3"/>
        <v>7000</v>
      </c>
      <c r="AT12" s="16"/>
      <c r="AU12" s="16"/>
      <c r="AV12" s="16"/>
      <c r="AW12" s="16"/>
      <c r="AX12" s="18">
        <f t="shared" si="4"/>
        <v>7000</v>
      </c>
      <c r="AY12" s="16"/>
      <c r="AZ12" s="16"/>
      <c r="BA12" s="16"/>
      <c r="BB12" s="16"/>
      <c r="BC12" s="18">
        <f t="shared" si="5"/>
        <v>7000</v>
      </c>
      <c r="BD12" s="16"/>
      <c r="BE12" s="16"/>
      <c r="BF12" s="16"/>
      <c r="BG12" s="16"/>
      <c r="BH12" s="18">
        <f t="shared" si="6"/>
        <v>7000</v>
      </c>
      <c r="BI12" s="16"/>
      <c r="BJ12" s="16"/>
      <c r="BK12" s="16"/>
      <c r="BL12" s="16"/>
    </row>
    <row r="13">
      <c r="A13" s="14">
        <v>11.0</v>
      </c>
      <c r="B13" s="14">
        <v>49.0</v>
      </c>
      <c r="C13" s="19" t="s">
        <v>51</v>
      </c>
      <c r="D13" s="14">
        <v>1.736963696E9</v>
      </c>
      <c r="E13" s="14"/>
      <c r="F13" s="14"/>
      <c r="G13" s="14"/>
      <c r="H13" s="12" t="s">
        <v>30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5" t="s">
        <v>44</v>
      </c>
      <c r="U13" s="15">
        <v>3000.0</v>
      </c>
      <c r="V13" s="15">
        <v>3000.0</v>
      </c>
      <c r="W13" s="15">
        <v>3000.0</v>
      </c>
      <c r="X13" s="15">
        <v>3000.0</v>
      </c>
      <c r="Y13" s="15">
        <v>3000.0</v>
      </c>
      <c r="Z13" s="15">
        <v>3000.0</v>
      </c>
      <c r="AA13" s="15">
        <v>3000.0</v>
      </c>
      <c r="AB13" s="15">
        <v>3000.0</v>
      </c>
      <c r="AC13" s="15">
        <v>3000.0</v>
      </c>
      <c r="AD13" s="21">
        <v>3000.0</v>
      </c>
      <c r="AE13" s="16"/>
      <c r="AF13" s="20"/>
      <c r="AG13" s="17">
        <v>46188.0</v>
      </c>
      <c r="AH13" s="16" t="s">
        <v>39</v>
      </c>
      <c r="AI13" s="18">
        <f t="shared" si="1"/>
        <v>0</v>
      </c>
      <c r="AJ13" s="16"/>
      <c r="AK13" s="16">
        <v>7000.0</v>
      </c>
      <c r="AL13" s="16"/>
      <c r="AM13" s="16"/>
      <c r="AN13" s="18">
        <f t="shared" si="2"/>
        <v>3500</v>
      </c>
      <c r="AO13" s="16"/>
      <c r="AP13" s="16"/>
      <c r="AQ13" s="16"/>
      <c r="AR13" s="16"/>
      <c r="AS13" s="18">
        <f t="shared" si="3"/>
        <v>7000</v>
      </c>
      <c r="AT13" s="16"/>
      <c r="AU13" s="16"/>
      <c r="AV13" s="16"/>
      <c r="AW13" s="16"/>
      <c r="AX13" s="18">
        <f t="shared" si="4"/>
        <v>7000</v>
      </c>
      <c r="AY13" s="16"/>
      <c r="AZ13" s="16"/>
      <c r="BA13" s="16"/>
      <c r="BB13" s="16"/>
      <c r="BC13" s="18">
        <f t="shared" si="5"/>
        <v>7000</v>
      </c>
      <c r="BD13" s="16"/>
      <c r="BE13" s="16"/>
      <c r="BF13" s="16"/>
      <c r="BG13" s="16"/>
      <c r="BH13" s="18">
        <f t="shared" si="6"/>
        <v>7000</v>
      </c>
      <c r="BI13" s="16"/>
      <c r="BJ13" s="16"/>
      <c r="BK13" s="16"/>
      <c r="BL13" s="16"/>
    </row>
    <row r="14">
      <c r="A14" s="16">
        <v>12.0</v>
      </c>
      <c r="B14" s="14">
        <v>57.0</v>
      </c>
      <c r="C14" s="19" t="s">
        <v>52</v>
      </c>
      <c r="D14" s="14">
        <v>1.736963696E9</v>
      </c>
      <c r="E14" s="14"/>
      <c r="F14" s="14"/>
      <c r="G14" s="14">
        <v>3500.0</v>
      </c>
      <c r="H14" s="15" t="s">
        <v>30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5" t="s">
        <v>44</v>
      </c>
      <c r="X14" s="15">
        <v>3000.0</v>
      </c>
      <c r="Y14" s="15">
        <v>3000.0</v>
      </c>
      <c r="Z14" s="15">
        <v>3000.0</v>
      </c>
      <c r="AA14" s="15">
        <v>3000.0</v>
      </c>
      <c r="AB14" s="15">
        <v>3000.0</v>
      </c>
      <c r="AC14" s="15">
        <v>3000.0</v>
      </c>
      <c r="AD14" s="15">
        <v>3000.0</v>
      </c>
      <c r="AE14" s="16">
        <v>7000.0</v>
      </c>
      <c r="AF14" s="16">
        <v>3500.0</v>
      </c>
      <c r="AG14" s="17">
        <v>46189.0</v>
      </c>
      <c r="AH14" s="16" t="s">
        <v>39</v>
      </c>
      <c r="AI14" s="18">
        <f t="shared" si="1"/>
        <v>0</v>
      </c>
      <c r="AJ14" s="18"/>
      <c r="AK14" s="16">
        <v>3500.0</v>
      </c>
      <c r="AL14" s="18"/>
      <c r="AM14" s="18"/>
      <c r="AN14" s="18">
        <f t="shared" si="2"/>
        <v>3500</v>
      </c>
      <c r="AO14" s="18"/>
      <c r="AP14" s="18"/>
      <c r="AQ14" s="18"/>
      <c r="AR14" s="18"/>
      <c r="AS14" s="18">
        <f t="shared" si="3"/>
        <v>7000</v>
      </c>
      <c r="AT14" s="18"/>
      <c r="AU14" s="18"/>
      <c r="AV14" s="18"/>
      <c r="AW14" s="18"/>
      <c r="AX14" s="18">
        <f t="shared" si="4"/>
        <v>7000</v>
      </c>
      <c r="AY14" s="18"/>
      <c r="AZ14" s="18"/>
      <c r="BA14" s="18"/>
      <c r="BB14" s="18"/>
      <c r="BC14" s="18">
        <f t="shared" si="5"/>
        <v>7000</v>
      </c>
      <c r="BD14" s="18"/>
      <c r="BE14" s="18"/>
      <c r="BF14" s="18"/>
      <c r="BG14" s="18"/>
      <c r="BH14" s="18">
        <f t="shared" si="6"/>
        <v>7000</v>
      </c>
      <c r="BI14" s="18"/>
      <c r="BJ14" s="18"/>
      <c r="BK14" s="18"/>
      <c r="BL14" s="18"/>
    </row>
    <row r="15">
      <c r="A15" s="14">
        <v>13.0</v>
      </c>
      <c r="B15" s="14">
        <v>61.0</v>
      </c>
      <c r="C15" s="19" t="s">
        <v>53</v>
      </c>
      <c r="D15" s="14">
        <v>1.836963696E9</v>
      </c>
      <c r="E15" s="14"/>
      <c r="F15" s="14"/>
      <c r="G15" s="14"/>
      <c r="H15" s="12" t="s">
        <v>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44</v>
      </c>
      <c r="Y15" s="15">
        <v>3000.0</v>
      </c>
      <c r="Z15" s="15">
        <v>3000.0</v>
      </c>
      <c r="AA15" s="16">
        <v>3000.0</v>
      </c>
      <c r="AB15" s="15">
        <v>3000.0</v>
      </c>
      <c r="AC15" s="15">
        <v>3000.0</v>
      </c>
      <c r="AD15" s="15">
        <v>3000.0</v>
      </c>
      <c r="AE15" s="16"/>
      <c r="AF15" s="16">
        <v>3500.0</v>
      </c>
      <c r="AG15" s="17">
        <v>46190.0</v>
      </c>
      <c r="AH15" s="16" t="s">
        <v>39</v>
      </c>
      <c r="AI15" s="18">
        <f t="shared" si="1"/>
        <v>0</v>
      </c>
      <c r="AJ15" s="16"/>
      <c r="AK15" s="16">
        <v>3500.0</v>
      </c>
      <c r="AL15" s="16"/>
      <c r="AM15" s="16"/>
      <c r="AN15" s="18">
        <f t="shared" si="2"/>
        <v>3500</v>
      </c>
      <c r="AO15" s="16"/>
      <c r="AP15" s="16"/>
      <c r="AQ15" s="16"/>
      <c r="AR15" s="16"/>
      <c r="AS15" s="18">
        <f t="shared" si="3"/>
        <v>7000</v>
      </c>
      <c r="AT15" s="16"/>
      <c r="AU15" s="16"/>
      <c r="AV15" s="16"/>
      <c r="AW15" s="16"/>
      <c r="AX15" s="18">
        <f t="shared" si="4"/>
        <v>7000</v>
      </c>
      <c r="AY15" s="16"/>
      <c r="AZ15" s="16"/>
      <c r="BA15" s="16"/>
      <c r="BB15" s="16"/>
      <c r="BC15" s="18">
        <f t="shared" si="5"/>
        <v>7000</v>
      </c>
      <c r="BD15" s="16"/>
      <c r="BE15" s="16"/>
      <c r="BF15" s="16"/>
      <c r="BG15" s="16"/>
      <c r="BH15" s="18">
        <f t="shared" si="6"/>
        <v>7000</v>
      </c>
      <c r="BI15" s="16"/>
      <c r="BJ15" s="16"/>
      <c r="BK15" s="16"/>
      <c r="BL15" s="16"/>
    </row>
    <row r="16">
      <c r="A16" s="16">
        <v>14.0</v>
      </c>
      <c r="B16" s="14">
        <v>73.0</v>
      </c>
      <c r="C16" s="19" t="s">
        <v>54</v>
      </c>
      <c r="D16" s="14">
        <v>1.636963696E9</v>
      </c>
      <c r="E16" s="14"/>
      <c r="F16" s="14"/>
      <c r="G16" s="14"/>
      <c r="H16" s="12" t="s">
        <v>30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5" t="s">
        <v>44</v>
      </c>
      <c r="AC16" s="23">
        <v>3000.0</v>
      </c>
      <c r="AD16" s="23">
        <v>3000.0</v>
      </c>
      <c r="AE16" s="16"/>
      <c r="AF16" s="16">
        <v>3500.0</v>
      </c>
      <c r="AG16" s="17">
        <v>46191.0</v>
      </c>
      <c r="AH16" s="16" t="s">
        <v>39</v>
      </c>
      <c r="AI16" s="18">
        <f t="shared" si="1"/>
        <v>0</v>
      </c>
      <c r="AJ16" s="16"/>
      <c r="AK16" s="16">
        <v>3500.0</v>
      </c>
      <c r="AL16" s="16"/>
      <c r="AM16" s="16"/>
      <c r="AN16" s="18">
        <f t="shared" si="2"/>
        <v>3500</v>
      </c>
      <c r="AO16" s="16"/>
      <c r="AP16" s="16"/>
      <c r="AQ16" s="16"/>
      <c r="AR16" s="16"/>
      <c r="AS16" s="18">
        <f t="shared" si="3"/>
        <v>7000</v>
      </c>
      <c r="AT16" s="16"/>
      <c r="AU16" s="16"/>
      <c r="AV16" s="16"/>
      <c r="AW16" s="16"/>
      <c r="AX16" s="18">
        <f t="shared" si="4"/>
        <v>7000</v>
      </c>
      <c r="AY16" s="16"/>
      <c r="AZ16" s="16"/>
      <c r="BA16" s="16"/>
      <c r="BB16" s="16"/>
      <c r="BC16" s="18">
        <f t="shared" si="5"/>
        <v>7000</v>
      </c>
      <c r="BD16" s="16"/>
      <c r="BE16" s="16"/>
      <c r="BF16" s="16"/>
      <c r="BG16" s="16"/>
      <c r="BH16" s="18">
        <f t="shared" si="6"/>
        <v>7000</v>
      </c>
      <c r="BI16" s="16"/>
      <c r="BJ16" s="16"/>
      <c r="BK16" s="16"/>
      <c r="BL16" s="16"/>
    </row>
    <row r="17">
      <c r="A17" s="14">
        <v>15.0</v>
      </c>
      <c r="B17" s="14">
        <v>74.0</v>
      </c>
      <c r="C17" s="19" t="s">
        <v>55</v>
      </c>
      <c r="D17" s="14">
        <v>1.636963696E9</v>
      </c>
      <c r="E17" s="14"/>
      <c r="F17" s="14"/>
      <c r="G17" s="14"/>
      <c r="H17" s="12" t="s">
        <v>30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15" t="s">
        <v>44</v>
      </c>
      <c r="AC17" s="23">
        <v>3000.0</v>
      </c>
      <c r="AD17" s="23">
        <v>3000.0</v>
      </c>
      <c r="AE17" s="16"/>
      <c r="AF17" s="16">
        <v>3000.0</v>
      </c>
      <c r="AG17" s="24">
        <v>46179.0</v>
      </c>
      <c r="AH17" s="16" t="s">
        <v>39</v>
      </c>
      <c r="AI17" s="18">
        <f>IF($H17="Inactive", 0, IF(AK17="off", 0, IF(AJ17&gt;0, 3000 - AK17, (3000 + IF(OR(AF17="off", AF17&gt;=3000), 0, 3000)) - AK17)))</f>
        <v>0</v>
      </c>
      <c r="AJ17" s="16"/>
      <c r="AK17" s="16">
        <v>3000.0</v>
      </c>
      <c r="AL17" s="16"/>
      <c r="AM17" s="16"/>
      <c r="AN17" s="18">
        <f>IF($H17="Inactive", 0, IF(AP17="off", 0, IF(AO17&gt;0, 3000 - AP17, (3000 + IF(OR(AK17="off", AK17&gt;=3000), 0, 3000)) - AP17)))</f>
        <v>3000</v>
      </c>
      <c r="AO17" s="16"/>
      <c r="AP17" s="16"/>
      <c r="AQ17" s="16"/>
      <c r="AR17" s="16"/>
      <c r="AS17" s="18">
        <f>IF($H17="Inactive", 0, IF(AU17="off", 0, IF(AT17&gt;0, 3000 - AU17, (3000 + IF(OR(AP17="off", AP17&gt;=3000), 0, 3000)) - AU17)))</f>
        <v>6000</v>
      </c>
      <c r="AT17" s="16"/>
      <c r="AU17" s="16"/>
      <c r="AV17" s="16"/>
      <c r="AW17" s="16"/>
      <c r="AX17" s="18">
        <f>IF($H17="Inactive", 0, IF(AZ17="off", 0, IF(AY17&gt;0, 3000 - AZ17, (3000 + IF(OR(AU17="off", AU17&gt;=3000), 0, 3000)) - AZ17)))</f>
        <v>6000</v>
      </c>
      <c r="AY17" s="16"/>
      <c r="AZ17" s="16"/>
      <c r="BA17" s="16"/>
      <c r="BB17" s="16"/>
      <c r="BC17" s="18">
        <f>IF($H17="Inactive", 0, IF(BE17="off", 0, IF(BD17&gt;0, 3000 - BE17, (3000 + IF(OR(AZ17="off", AZ17&gt;=3000), 0, 3000)) - BE17)))</f>
        <v>6000</v>
      </c>
      <c r="BD17" s="16"/>
      <c r="BE17" s="16"/>
      <c r="BF17" s="16"/>
      <c r="BG17" s="16"/>
      <c r="BH17" s="18">
        <f>IF($H17="Inactive", 0, IF(BJ17="off", 0, IF(BI17&gt;0, 3000 - BJ17, (3000 + IF(OR(BE17="off", BE17&gt;=3000), 0, 3000)) - BJ17)))</f>
        <v>6000</v>
      </c>
      <c r="BI17" s="16"/>
      <c r="BJ17" s="16"/>
      <c r="BK17" s="16"/>
      <c r="BL17" s="16"/>
    </row>
    <row r="18">
      <c r="A18" s="16">
        <v>16.0</v>
      </c>
      <c r="B18" s="14">
        <v>75.0</v>
      </c>
      <c r="C18" s="19" t="s">
        <v>56</v>
      </c>
      <c r="D18" s="14">
        <v>1.925874125E9</v>
      </c>
      <c r="E18" s="14"/>
      <c r="F18" s="14"/>
      <c r="G18" s="14"/>
      <c r="H18" s="15" t="s">
        <v>30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5" t="s">
        <v>44</v>
      </c>
      <c r="AC18" s="23">
        <v>3000.0</v>
      </c>
      <c r="AD18" s="23">
        <v>3000.0</v>
      </c>
      <c r="AE18" s="18"/>
      <c r="AF18" s="25"/>
      <c r="AG18" s="24">
        <v>46180.0</v>
      </c>
      <c r="AH18" s="16" t="s">
        <v>39</v>
      </c>
      <c r="AI18" s="18">
        <f t="shared" ref="AI18:AI44" si="7">IF($H18="Inactive", 0, IF(AK18="off", 0, IF(AJ18&gt;0, 3500 - AK18, (3500 + IF(OR(AF18="off", AF18&gt;=3500), 0, 3500)) - AK18)))</f>
        <v>0</v>
      </c>
      <c r="AJ18" s="18"/>
      <c r="AK18" s="16">
        <v>7000.0</v>
      </c>
      <c r="AL18" s="18"/>
      <c r="AM18" s="18"/>
      <c r="AN18" s="18">
        <f t="shared" ref="AN18:AN44" si="8">IF($H18="Inactive", 0, IF(AP18="off", 0, IF(AO18&gt;0, 3500 - AP18, (3500 + IF(OR(AK18="off", AK18&gt;=3500), 0, 3500)) - AP18)))</f>
        <v>3500</v>
      </c>
      <c r="AO18" s="18"/>
      <c r="AP18" s="18"/>
      <c r="AQ18" s="18"/>
      <c r="AR18" s="18"/>
      <c r="AS18" s="18">
        <f t="shared" ref="AS18:AS44" si="9">IF($H18="Inactive", 0, IF(AU18="off", 0, IF(AT18&gt;0, 3500 - AU18, (3500 + IF(OR(AP18="off", AP18&gt;=3500), 0, 3500)) - AU18)))</f>
        <v>7000</v>
      </c>
      <c r="AT18" s="18"/>
      <c r="AU18" s="18"/>
      <c r="AV18" s="18"/>
      <c r="AW18" s="18"/>
      <c r="AX18" s="18">
        <f t="shared" ref="AX18:AX44" si="10">IF($H18="Inactive", 0, IF(AZ18="off", 0, IF(AY18&gt;0, 3500 - AZ18, (3500 + IF(OR(AU18="off", AU18&gt;=3500), 0, 3500)) - AZ18)))</f>
        <v>7000</v>
      </c>
      <c r="AY18" s="18"/>
      <c r="AZ18" s="18"/>
      <c r="BA18" s="18"/>
      <c r="BB18" s="18"/>
      <c r="BC18" s="18">
        <f t="shared" ref="BC18:BC44" si="11">IF($H18="Inactive", 0, IF(BE18="off", 0, IF(BD18&gt;0, 3500 - BE18, (3500 + IF(OR(AZ18="off", AZ18&gt;=3500), 0, 3500)) - BE18)))</f>
        <v>7000</v>
      </c>
      <c r="BD18" s="18"/>
      <c r="BE18" s="18"/>
      <c r="BF18" s="18"/>
      <c r="BG18" s="18"/>
      <c r="BH18" s="18">
        <f t="shared" ref="BH18:BH44" si="12">IF($H18="Inactive", 0, IF(BJ18="off", 0, IF(BI18&gt;0, 3500 - BJ18, (3500 + IF(OR(BE18="off", BE18&gt;=3500), 0, 3500)) - BJ18)))</f>
        <v>7000</v>
      </c>
      <c r="BI18" s="18"/>
      <c r="BJ18" s="18"/>
      <c r="BK18" s="18"/>
      <c r="BL18" s="18"/>
    </row>
    <row r="19">
      <c r="A19" s="14">
        <v>17.0</v>
      </c>
      <c r="B19" s="14">
        <v>81.0</v>
      </c>
      <c r="C19" s="19" t="s">
        <v>57</v>
      </c>
      <c r="D19" s="14">
        <v>1.712222222E9</v>
      </c>
      <c r="E19" s="14"/>
      <c r="F19" s="14"/>
      <c r="G19" s="14"/>
      <c r="H19" s="12" t="s">
        <v>30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16"/>
      <c r="AF19" s="20"/>
      <c r="AG19" s="24">
        <v>46181.0</v>
      </c>
      <c r="AH19" s="16" t="s">
        <v>39</v>
      </c>
      <c r="AI19" s="18">
        <f t="shared" si="7"/>
        <v>0</v>
      </c>
      <c r="AJ19" s="16"/>
      <c r="AK19" s="16">
        <v>7000.0</v>
      </c>
      <c r="AL19" s="16"/>
      <c r="AM19" s="16"/>
      <c r="AN19" s="18">
        <f t="shared" si="8"/>
        <v>3500</v>
      </c>
      <c r="AO19" s="16"/>
      <c r="AP19" s="16"/>
      <c r="AQ19" s="16"/>
      <c r="AR19" s="16"/>
      <c r="AS19" s="18">
        <f t="shared" si="9"/>
        <v>7000</v>
      </c>
      <c r="AT19" s="16"/>
      <c r="AU19" s="16"/>
      <c r="AV19" s="16"/>
      <c r="AW19" s="16"/>
      <c r="AX19" s="18">
        <f t="shared" si="10"/>
        <v>7000</v>
      </c>
      <c r="AY19" s="16"/>
      <c r="AZ19" s="16"/>
      <c r="BA19" s="16"/>
      <c r="BB19" s="16"/>
      <c r="BC19" s="18">
        <f t="shared" si="11"/>
        <v>7000</v>
      </c>
      <c r="BD19" s="16"/>
      <c r="BE19" s="16"/>
      <c r="BF19" s="16"/>
      <c r="BG19" s="16"/>
      <c r="BH19" s="18">
        <f t="shared" si="12"/>
        <v>7000</v>
      </c>
      <c r="BI19" s="16"/>
      <c r="BJ19" s="16"/>
      <c r="BK19" s="16"/>
      <c r="BL19" s="16"/>
    </row>
    <row r="20">
      <c r="A20" s="16">
        <v>18.0</v>
      </c>
      <c r="B20" s="14">
        <v>88.0</v>
      </c>
      <c r="C20" s="19" t="s">
        <v>58</v>
      </c>
      <c r="D20" s="14">
        <v>1.922222222E9</v>
      </c>
      <c r="E20" s="14"/>
      <c r="F20" s="14"/>
      <c r="G20" s="14"/>
      <c r="H20" s="12" t="s">
        <v>30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16"/>
      <c r="AF20" s="16">
        <v>3500.0</v>
      </c>
      <c r="AG20" s="24">
        <v>46182.0</v>
      </c>
      <c r="AH20" s="16" t="s">
        <v>39</v>
      </c>
      <c r="AI20" s="18">
        <f t="shared" si="7"/>
        <v>0</v>
      </c>
      <c r="AJ20" s="16"/>
      <c r="AK20" s="16">
        <v>3500.0</v>
      </c>
      <c r="AL20" s="16"/>
      <c r="AM20" s="16"/>
      <c r="AN20" s="18">
        <f t="shared" si="8"/>
        <v>3500</v>
      </c>
      <c r="AO20" s="16"/>
      <c r="AP20" s="16"/>
      <c r="AQ20" s="16"/>
      <c r="AR20" s="16"/>
      <c r="AS20" s="18">
        <f t="shared" si="9"/>
        <v>7000</v>
      </c>
      <c r="AT20" s="16"/>
      <c r="AU20" s="16"/>
      <c r="AV20" s="16"/>
      <c r="AW20" s="16"/>
      <c r="AX20" s="18">
        <f t="shared" si="10"/>
        <v>7000</v>
      </c>
      <c r="AY20" s="16"/>
      <c r="AZ20" s="16"/>
      <c r="BA20" s="16"/>
      <c r="BB20" s="16"/>
      <c r="BC20" s="18">
        <f t="shared" si="11"/>
        <v>7000</v>
      </c>
      <c r="BD20" s="16"/>
      <c r="BE20" s="16"/>
      <c r="BF20" s="16"/>
      <c r="BG20" s="16"/>
      <c r="BH20" s="18">
        <f t="shared" si="12"/>
        <v>7000</v>
      </c>
      <c r="BI20" s="16"/>
      <c r="BJ20" s="16"/>
      <c r="BK20" s="16"/>
      <c r="BL20" s="16"/>
    </row>
    <row r="21">
      <c r="A21" s="14">
        <v>19.0</v>
      </c>
      <c r="B21" s="14">
        <v>90.0</v>
      </c>
      <c r="C21" s="16" t="s">
        <v>59</v>
      </c>
      <c r="D21" s="14">
        <v>1.833333333E9</v>
      </c>
      <c r="E21" s="14"/>
      <c r="F21" s="14"/>
      <c r="G21" s="14"/>
      <c r="H21" s="12" t="s">
        <v>30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16"/>
      <c r="AF21" s="20"/>
      <c r="AG21" s="24">
        <v>46183.0</v>
      </c>
      <c r="AH21" s="16" t="s">
        <v>39</v>
      </c>
      <c r="AI21" s="18">
        <f t="shared" si="7"/>
        <v>0</v>
      </c>
      <c r="AJ21" s="16"/>
      <c r="AK21" s="16">
        <v>7000.0</v>
      </c>
      <c r="AL21" s="16"/>
      <c r="AM21" s="16"/>
      <c r="AN21" s="18">
        <f t="shared" si="8"/>
        <v>3500</v>
      </c>
      <c r="AO21" s="16"/>
      <c r="AP21" s="16"/>
      <c r="AQ21" s="16"/>
      <c r="AR21" s="16"/>
      <c r="AS21" s="18">
        <f t="shared" si="9"/>
        <v>7000</v>
      </c>
      <c r="AT21" s="16"/>
      <c r="AU21" s="16"/>
      <c r="AV21" s="16"/>
      <c r="AW21" s="16"/>
      <c r="AX21" s="18">
        <f t="shared" si="10"/>
        <v>7000</v>
      </c>
      <c r="AY21" s="16"/>
      <c r="AZ21" s="16"/>
      <c r="BA21" s="16"/>
      <c r="BB21" s="16"/>
      <c r="BC21" s="18">
        <f t="shared" si="11"/>
        <v>7000</v>
      </c>
      <c r="BD21" s="16"/>
      <c r="BE21" s="16"/>
      <c r="BF21" s="16"/>
      <c r="BG21" s="16"/>
      <c r="BH21" s="18">
        <f t="shared" si="12"/>
        <v>7000</v>
      </c>
      <c r="BI21" s="16"/>
      <c r="BJ21" s="16"/>
      <c r="BK21" s="16"/>
      <c r="BL21" s="16"/>
    </row>
    <row r="22">
      <c r="A22" s="16">
        <v>20.0</v>
      </c>
      <c r="B22" s="14">
        <v>91.0</v>
      </c>
      <c r="C22" s="19" t="s">
        <v>60</v>
      </c>
      <c r="D22" s="14">
        <v>1.733333333E9</v>
      </c>
      <c r="E22" s="14"/>
      <c r="F22" s="14"/>
      <c r="G22" s="14"/>
      <c r="H22" s="12" t="s">
        <v>30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16"/>
      <c r="AF22" s="16">
        <v>3500.0</v>
      </c>
      <c r="AG22" s="24">
        <v>46184.0</v>
      </c>
      <c r="AH22" s="16" t="s">
        <v>39</v>
      </c>
      <c r="AI22" s="18">
        <f t="shared" si="7"/>
        <v>0</v>
      </c>
      <c r="AJ22" s="16"/>
      <c r="AK22" s="16">
        <v>3500.0</v>
      </c>
      <c r="AL22" s="16"/>
      <c r="AM22" s="16"/>
      <c r="AN22" s="18">
        <f t="shared" si="8"/>
        <v>3500</v>
      </c>
      <c r="AO22" s="16"/>
      <c r="AP22" s="16"/>
      <c r="AQ22" s="16"/>
      <c r="AR22" s="16"/>
      <c r="AS22" s="18">
        <f t="shared" si="9"/>
        <v>7000</v>
      </c>
      <c r="AT22" s="16"/>
      <c r="AU22" s="16"/>
      <c r="AV22" s="16"/>
      <c r="AW22" s="16"/>
      <c r="AX22" s="18">
        <f t="shared" si="10"/>
        <v>7000</v>
      </c>
      <c r="AY22" s="16"/>
      <c r="AZ22" s="16"/>
      <c r="BA22" s="16"/>
      <c r="BB22" s="16"/>
      <c r="BC22" s="18">
        <f t="shared" si="11"/>
        <v>7000</v>
      </c>
      <c r="BD22" s="16"/>
      <c r="BE22" s="16"/>
      <c r="BF22" s="16"/>
      <c r="BG22" s="16"/>
      <c r="BH22" s="18">
        <f t="shared" si="12"/>
        <v>7000</v>
      </c>
      <c r="BI22" s="16"/>
      <c r="BJ22" s="16"/>
      <c r="BK22" s="16"/>
      <c r="BL22" s="16"/>
    </row>
    <row r="23">
      <c r="A23" s="14">
        <v>21.0</v>
      </c>
      <c r="B23" s="14">
        <v>93.0</v>
      </c>
      <c r="C23" s="16" t="s">
        <v>61</v>
      </c>
      <c r="D23" s="14">
        <v>1.733333333E9</v>
      </c>
      <c r="E23" s="14"/>
      <c r="F23" s="14"/>
      <c r="G23" s="14">
        <v>3000.0</v>
      </c>
      <c r="H23" s="12" t="s">
        <v>30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16"/>
      <c r="AF23" s="16">
        <v>3500.0</v>
      </c>
      <c r="AG23" s="24">
        <v>46185.0</v>
      </c>
      <c r="AH23" s="16" t="s">
        <v>39</v>
      </c>
      <c r="AI23" s="18">
        <f t="shared" si="7"/>
        <v>0</v>
      </c>
      <c r="AJ23" s="16"/>
      <c r="AK23" s="16">
        <v>3500.0</v>
      </c>
      <c r="AL23" s="16"/>
      <c r="AM23" s="16"/>
      <c r="AN23" s="18">
        <f t="shared" si="8"/>
        <v>3500</v>
      </c>
      <c r="AO23" s="16"/>
      <c r="AP23" s="16"/>
      <c r="AQ23" s="16"/>
      <c r="AR23" s="16"/>
      <c r="AS23" s="18">
        <f t="shared" si="9"/>
        <v>7000</v>
      </c>
      <c r="AT23" s="16"/>
      <c r="AU23" s="16"/>
      <c r="AV23" s="16"/>
      <c r="AW23" s="16"/>
      <c r="AX23" s="18">
        <f t="shared" si="10"/>
        <v>7000</v>
      </c>
      <c r="AY23" s="16"/>
      <c r="AZ23" s="16"/>
      <c r="BA23" s="16"/>
      <c r="BB23" s="16"/>
      <c r="BC23" s="18">
        <f t="shared" si="11"/>
        <v>7000</v>
      </c>
      <c r="BD23" s="16"/>
      <c r="BE23" s="16"/>
      <c r="BF23" s="16"/>
      <c r="BG23" s="16"/>
      <c r="BH23" s="18">
        <f t="shared" si="12"/>
        <v>7000</v>
      </c>
      <c r="BI23" s="16"/>
      <c r="BJ23" s="16"/>
      <c r="BK23" s="16"/>
      <c r="BL23" s="16"/>
    </row>
    <row r="24">
      <c r="A24" s="16">
        <v>22.0</v>
      </c>
      <c r="B24" s="14">
        <v>96.0</v>
      </c>
      <c r="C24" s="19" t="s">
        <v>62</v>
      </c>
      <c r="D24" s="14">
        <v>1.733333333E9</v>
      </c>
      <c r="E24" s="14"/>
      <c r="F24" s="14"/>
      <c r="G24" s="14"/>
      <c r="H24" s="12" t="s">
        <v>30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16"/>
      <c r="AF24" s="16">
        <v>3500.0</v>
      </c>
      <c r="AG24" s="24">
        <v>46186.0</v>
      </c>
      <c r="AH24" s="16" t="s">
        <v>39</v>
      </c>
      <c r="AI24" s="18">
        <f t="shared" si="7"/>
        <v>0</v>
      </c>
      <c r="AJ24" s="16"/>
      <c r="AK24" s="16">
        <v>3500.0</v>
      </c>
      <c r="AL24" s="16"/>
      <c r="AM24" s="16"/>
      <c r="AN24" s="18">
        <f t="shared" si="8"/>
        <v>3500</v>
      </c>
      <c r="AO24" s="16"/>
      <c r="AP24" s="16"/>
      <c r="AQ24" s="16"/>
      <c r="AR24" s="16"/>
      <c r="AS24" s="18">
        <f t="shared" si="9"/>
        <v>7000</v>
      </c>
      <c r="AT24" s="16"/>
      <c r="AU24" s="16"/>
      <c r="AV24" s="16"/>
      <c r="AW24" s="16"/>
      <c r="AX24" s="18">
        <f t="shared" si="10"/>
        <v>7000</v>
      </c>
      <c r="AY24" s="16"/>
      <c r="AZ24" s="16"/>
      <c r="BA24" s="16"/>
      <c r="BB24" s="16"/>
      <c r="BC24" s="18">
        <f t="shared" si="11"/>
        <v>7000</v>
      </c>
      <c r="BD24" s="16"/>
      <c r="BE24" s="16"/>
      <c r="BF24" s="16"/>
      <c r="BG24" s="16"/>
      <c r="BH24" s="18">
        <f t="shared" si="12"/>
        <v>7000</v>
      </c>
      <c r="BI24" s="16"/>
      <c r="BJ24" s="16"/>
      <c r="BK24" s="16"/>
      <c r="BL24" s="16"/>
    </row>
    <row r="25">
      <c r="A25" s="14">
        <v>23.0</v>
      </c>
      <c r="B25" s="14">
        <v>98.0</v>
      </c>
      <c r="C25" s="19" t="s">
        <v>63</v>
      </c>
      <c r="D25" s="14">
        <v>1.733333333E9</v>
      </c>
      <c r="E25" s="14"/>
      <c r="F25" s="14"/>
      <c r="G25" s="14"/>
      <c r="H25" s="12" t="s">
        <v>30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16"/>
      <c r="AF25" s="16">
        <v>3500.0</v>
      </c>
      <c r="AG25" s="24">
        <v>46187.0</v>
      </c>
      <c r="AH25" s="16" t="s">
        <v>39</v>
      </c>
      <c r="AI25" s="18">
        <f t="shared" si="7"/>
        <v>0</v>
      </c>
      <c r="AJ25" s="16"/>
      <c r="AK25" s="16">
        <v>3500.0</v>
      </c>
      <c r="AL25" s="16"/>
      <c r="AM25" s="16"/>
      <c r="AN25" s="18">
        <f t="shared" si="8"/>
        <v>3500</v>
      </c>
      <c r="AO25" s="16"/>
      <c r="AP25" s="16"/>
      <c r="AQ25" s="16"/>
      <c r="AR25" s="16"/>
      <c r="AS25" s="18">
        <f t="shared" si="9"/>
        <v>7000</v>
      </c>
      <c r="AT25" s="16"/>
      <c r="AU25" s="16"/>
      <c r="AV25" s="16"/>
      <c r="AW25" s="16"/>
      <c r="AX25" s="18">
        <f t="shared" si="10"/>
        <v>7000</v>
      </c>
      <c r="AY25" s="16"/>
      <c r="AZ25" s="16"/>
      <c r="BA25" s="16"/>
      <c r="BB25" s="16"/>
      <c r="BC25" s="18">
        <f t="shared" si="11"/>
        <v>7000</v>
      </c>
      <c r="BD25" s="16"/>
      <c r="BE25" s="16"/>
      <c r="BF25" s="16"/>
      <c r="BG25" s="16"/>
      <c r="BH25" s="18">
        <f t="shared" si="12"/>
        <v>7000</v>
      </c>
      <c r="BI25" s="16"/>
      <c r="BJ25" s="16"/>
      <c r="BK25" s="16"/>
      <c r="BL25" s="16"/>
    </row>
    <row r="26">
      <c r="A26" s="16">
        <v>24.0</v>
      </c>
      <c r="B26" s="14">
        <v>99.0</v>
      </c>
      <c r="C26" s="26" t="s">
        <v>64</v>
      </c>
      <c r="D26" s="14">
        <v>1.733333333E9</v>
      </c>
      <c r="E26" s="14"/>
      <c r="F26" s="14"/>
      <c r="G26" s="14">
        <v>3500.0</v>
      </c>
      <c r="H26" s="27" t="s">
        <v>30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18"/>
      <c r="AF26" s="25"/>
      <c r="AG26" s="24">
        <v>46188.0</v>
      </c>
      <c r="AH26" s="16" t="s">
        <v>39</v>
      </c>
      <c r="AI26" s="18">
        <f t="shared" si="7"/>
        <v>0</v>
      </c>
      <c r="AJ26" s="18"/>
      <c r="AK26" s="16">
        <v>7000.0</v>
      </c>
      <c r="AL26" s="18"/>
      <c r="AM26" s="18"/>
      <c r="AN26" s="18">
        <f t="shared" si="8"/>
        <v>3500</v>
      </c>
      <c r="AO26" s="18"/>
      <c r="AP26" s="18"/>
      <c r="AQ26" s="18"/>
      <c r="AR26" s="18"/>
      <c r="AS26" s="18">
        <f t="shared" si="9"/>
        <v>7000</v>
      </c>
      <c r="AT26" s="18"/>
      <c r="AU26" s="18"/>
      <c r="AV26" s="18"/>
      <c r="AW26" s="18"/>
      <c r="AX26" s="18">
        <f t="shared" si="10"/>
        <v>7000</v>
      </c>
      <c r="AY26" s="18"/>
      <c r="AZ26" s="18"/>
      <c r="BA26" s="18"/>
      <c r="BB26" s="18"/>
      <c r="BC26" s="18">
        <f t="shared" si="11"/>
        <v>7000</v>
      </c>
      <c r="BD26" s="18"/>
      <c r="BE26" s="18"/>
      <c r="BF26" s="18"/>
      <c r="BG26" s="18"/>
      <c r="BH26" s="18">
        <f t="shared" si="12"/>
        <v>7000</v>
      </c>
      <c r="BI26" s="18"/>
      <c r="BJ26" s="18"/>
      <c r="BK26" s="18"/>
      <c r="BL26" s="18"/>
    </row>
    <row r="27">
      <c r="A27" s="14">
        <v>25.0</v>
      </c>
      <c r="B27" s="14">
        <v>100.0</v>
      </c>
      <c r="C27" s="26" t="s">
        <v>65</v>
      </c>
      <c r="D27" s="14">
        <v>1.733333333E9</v>
      </c>
      <c r="E27" s="14"/>
      <c r="F27" s="14"/>
      <c r="G27" s="14">
        <v>3500.0</v>
      </c>
      <c r="H27" s="27" t="s">
        <v>30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18"/>
      <c r="AF27" s="25"/>
      <c r="AG27" s="24">
        <v>46189.0</v>
      </c>
      <c r="AH27" s="16" t="s">
        <v>39</v>
      </c>
      <c r="AI27" s="18">
        <f t="shared" si="7"/>
        <v>0</v>
      </c>
      <c r="AJ27" s="18"/>
      <c r="AK27" s="16">
        <v>7000.0</v>
      </c>
      <c r="AL27" s="18"/>
      <c r="AM27" s="18"/>
      <c r="AN27" s="18">
        <f t="shared" si="8"/>
        <v>3500</v>
      </c>
      <c r="AO27" s="18"/>
      <c r="AP27" s="18"/>
      <c r="AQ27" s="18"/>
      <c r="AR27" s="18"/>
      <c r="AS27" s="18">
        <f t="shared" si="9"/>
        <v>7000</v>
      </c>
      <c r="AT27" s="18"/>
      <c r="AU27" s="18"/>
      <c r="AV27" s="18"/>
      <c r="AW27" s="18"/>
      <c r="AX27" s="18">
        <f t="shared" si="10"/>
        <v>7000</v>
      </c>
      <c r="AY27" s="18"/>
      <c r="AZ27" s="18"/>
      <c r="BA27" s="18"/>
      <c r="BB27" s="18"/>
      <c r="BC27" s="18">
        <f t="shared" si="11"/>
        <v>7000</v>
      </c>
      <c r="BD27" s="18"/>
      <c r="BE27" s="18"/>
      <c r="BF27" s="18"/>
      <c r="BG27" s="18"/>
      <c r="BH27" s="18">
        <f t="shared" si="12"/>
        <v>7000</v>
      </c>
      <c r="BI27" s="18"/>
      <c r="BJ27" s="18"/>
      <c r="BK27" s="18"/>
      <c r="BL27" s="18"/>
    </row>
    <row r="28">
      <c r="A28" s="16">
        <v>26.0</v>
      </c>
      <c r="B28" s="14">
        <v>101.0</v>
      </c>
      <c r="C28" s="27" t="s">
        <v>66</v>
      </c>
      <c r="D28" s="14">
        <v>1.733333333E9</v>
      </c>
      <c r="E28" s="14"/>
      <c r="F28" s="14"/>
      <c r="G28" s="14">
        <v>3500.0</v>
      </c>
      <c r="H28" s="27" t="s">
        <v>30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18"/>
      <c r="AF28" s="28"/>
      <c r="AG28" s="24">
        <v>46190.0</v>
      </c>
      <c r="AH28" s="16" t="s">
        <v>39</v>
      </c>
      <c r="AI28" s="18">
        <f t="shared" si="7"/>
        <v>0</v>
      </c>
      <c r="AJ28" s="18"/>
      <c r="AK28" s="16">
        <v>7000.0</v>
      </c>
      <c r="AL28" s="18"/>
      <c r="AM28" s="18"/>
      <c r="AN28" s="18">
        <f t="shared" si="8"/>
        <v>3500</v>
      </c>
      <c r="AO28" s="18"/>
      <c r="AP28" s="18"/>
      <c r="AQ28" s="18"/>
      <c r="AR28" s="18"/>
      <c r="AS28" s="18">
        <f t="shared" si="9"/>
        <v>7000</v>
      </c>
      <c r="AT28" s="18"/>
      <c r="AU28" s="18"/>
      <c r="AV28" s="18"/>
      <c r="AW28" s="18"/>
      <c r="AX28" s="18">
        <f t="shared" si="10"/>
        <v>7000</v>
      </c>
      <c r="AY28" s="18"/>
      <c r="AZ28" s="18"/>
      <c r="BA28" s="18"/>
      <c r="BB28" s="18"/>
      <c r="BC28" s="18">
        <f t="shared" si="11"/>
        <v>7000</v>
      </c>
      <c r="BD28" s="18"/>
      <c r="BE28" s="18"/>
      <c r="BF28" s="18"/>
      <c r="BG28" s="18"/>
      <c r="BH28" s="18">
        <f t="shared" si="12"/>
        <v>7000</v>
      </c>
      <c r="BI28" s="18"/>
      <c r="BJ28" s="18"/>
      <c r="BK28" s="18"/>
      <c r="BL28" s="18"/>
    </row>
    <row r="29">
      <c r="A29" s="14">
        <v>27.0</v>
      </c>
      <c r="B29" s="14">
        <v>102.0</v>
      </c>
      <c r="C29" s="11" t="s">
        <v>67</v>
      </c>
      <c r="D29" s="14">
        <v>1.733333333E9</v>
      </c>
      <c r="E29" s="14"/>
      <c r="F29" s="14"/>
      <c r="G29" s="14">
        <v>3500.0</v>
      </c>
      <c r="H29" s="27" t="s">
        <v>30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16"/>
      <c r="AF29" s="16">
        <v>3500.0</v>
      </c>
      <c r="AG29" s="24">
        <v>46191.0</v>
      </c>
      <c r="AH29" s="16" t="s">
        <v>39</v>
      </c>
      <c r="AI29" s="18">
        <f t="shared" si="7"/>
        <v>0</v>
      </c>
      <c r="AJ29" s="18"/>
      <c r="AK29" s="16">
        <v>3500.0</v>
      </c>
      <c r="AL29" s="18"/>
      <c r="AM29" s="18"/>
      <c r="AN29" s="18">
        <f t="shared" si="8"/>
        <v>3500</v>
      </c>
      <c r="AO29" s="18"/>
      <c r="AP29" s="18"/>
      <c r="AQ29" s="18"/>
      <c r="AR29" s="18"/>
      <c r="AS29" s="18">
        <f t="shared" si="9"/>
        <v>7000</v>
      </c>
      <c r="AT29" s="18"/>
      <c r="AU29" s="18"/>
      <c r="AV29" s="18"/>
      <c r="AW29" s="18"/>
      <c r="AX29" s="18">
        <f t="shared" si="10"/>
        <v>7000</v>
      </c>
      <c r="AY29" s="18"/>
      <c r="AZ29" s="18"/>
      <c r="BA29" s="18"/>
      <c r="BB29" s="18"/>
      <c r="BC29" s="18">
        <f t="shared" si="11"/>
        <v>7000</v>
      </c>
      <c r="BD29" s="18"/>
      <c r="BE29" s="18"/>
      <c r="BF29" s="18"/>
      <c r="BG29" s="18"/>
      <c r="BH29" s="18">
        <f t="shared" si="12"/>
        <v>7000</v>
      </c>
      <c r="BI29" s="18"/>
      <c r="BJ29" s="18"/>
      <c r="BK29" s="18"/>
      <c r="BL29" s="18"/>
    </row>
    <row r="30">
      <c r="A30" s="16">
        <v>28.0</v>
      </c>
      <c r="B30" s="14">
        <v>103.0</v>
      </c>
      <c r="C30" s="18" t="s">
        <v>68</v>
      </c>
      <c r="D30" s="14">
        <v>1.733333333E9</v>
      </c>
      <c r="E30" s="14"/>
      <c r="F30" s="14"/>
      <c r="G30" s="14">
        <v>3500.0</v>
      </c>
      <c r="H30" s="27" t="s">
        <v>30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18"/>
      <c r="AF30" s="25"/>
      <c r="AG30" s="24">
        <v>46192.0</v>
      </c>
      <c r="AH30" s="16" t="s">
        <v>39</v>
      </c>
      <c r="AI30" s="18">
        <f t="shared" si="7"/>
        <v>0</v>
      </c>
      <c r="AJ30" s="18"/>
      <c r="AK30" s="16">
        <v>7000.0</v>
      </c>
      <c r="AL30" s="18"/>
      <c r="AM30" s="18"/>
      <c r="AN30" s="18">
        <f t="shared" si="8"/>
        <v>3500</v>
      </c>
      <c r="AO30" s="18"/>
      <c r="AP30" s="18"/>
      <c r="AQ30" s="18"/>
      <c r="AR30" s="18"/>
      <c r="AS30" s="18">
        <f t="shared" si="9"/>
        <v>7000</v>
      </c>
      <c r="AT30" s="18"/>
      <c r="AU30" s="18"/>
      <c r="AV30" s="18"/>
      <c r="AW30" s="18"/>
      <c r="AX30" s="18">
        <f t="shared" si="10"/>
        <v>7000</v>
      </c>
      <c r="AY30" s="18"/>
      <c r="AZ30" s="18"/>
      <c r="BA30" s="18"/>
      <c r="BB30" s="18"/>
      <c r="BC30" s="18">
        <f t="shared" si="11"/>
        <v>7000</v>
      </c>
      <c r="BD30" s="18"/>
      <c r="BE30" s="18"/>
      <c r="BF30" s="18"/>
      <c r="BG30" s="18"/>
      <c r="BH30" s="18">
        <f t="shared" si="12"/>
        <v>7000</v>
      </c>
      <c r="BI30" s="18"/>
      <c r="BJ30" s="18"/>
      <c r="BK30" s="18"/>
      <c r="BL30" s="18"/>
    </row>
    <row r="31">
      <c r="A31" s="14">
        <v>29.0</v>
      </c>
      <c r="B31" s="14">
        <v>104.0</v>
      </c>
      <c r="C31" s="11" t="s">
        <v>69</v>
      </c>
      <c r="D31" s="14">
        <v>1.733333333E9</v>
      </c>
      <c r="E31" s="14"/>
      <c r="F31" s="14"/>
      <c r="G31" s="14">
        <v>3500.0</v>
      </c>
      <c r="H31" s="27" t="s">
        <v>30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18"/>
      <c r="AF31" s="25"/>
      <c r="AG31" s="24">
        <v>46193.0</v>
      </c>
      <c r="AH31" s="16" t="s">
        <v>39</v>
      </c>
      <c r="AI31" s="18">
        <f t="shared" si="7"/>
        <v>0</v>
      </c>
      <c r="AJ31" s="18"/>
      <c r="AK31" s="16">
        <v>7000.0</v>
      </c>
      <c r="AL31" s="18"/>
      <c r="AM31" s="18"/>
      <c r="AN31" s="18">
        <f t="shared" si="8"/>
        <v>3500</v>
      </c>
      <c r="AO31" s="18"/>
      <c r="AP31" s="18"/>
      <c r="AQ31" s="18"/>
      <c r="AR31" s="18"/>
      <c r="AS31" s="18">
        <f t="shared" si="9"/>
        <v>7000</v>
      </c>
      <c r="AT31" s="18"/>
      <c r="AU31" s="18"/>
      <c r="AV31" s="18"/>
      <c r="AW31" s="18"/>
      <c r="AX31" s="18">
        <f t="shared" si="10"/>
        <v>7000</v>
      </c>
      <c r="AY31" s="18"/>
      <c r="AZ31" s="18"/>
      <c r="BA31" s="18"/>
      <c r="BB31" s="18"/>
      <c r="BC31" s="18">
        <f t="shared" si="11"/>
        <v>7000</v>
      </c>
      <c r="BD31" s="18"/>
      <c r="BE31" s="18"/>
      <c r="BF31" s="18"/>
      <c r="BG31" s="18"/>
      <c r="BH31" s="18">
        <f t="shared" si="12"/>
        <v>7000</v>
      </c>
      <c r="BI31" s="18"/>
      <c r="BJ31" s="18"/>
      <c r="BK31" s="18"/>
      <c r="BL31" s="18"/>
    </row>
    <row r="32">
      <c r="A32" s="16">
        <v>30.0</v>
      </c>
      <c r="B32" s="14">
        <v>105.0</v>
      </c>
      <c r="C32" s="11" t="s">
        <v>70</v>
      </c>
      <c r="D32" s="14">
        <v>1.733333333E9</v>
      </c>
      <c r="E32" s="14"/>
      <c r="F32" s="14"/>
      <c r="G32" s="14">
        <v>3500.0</v>
      </c>
      <c r="H32" s="27" t="s">
        <v>30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16"/>
      <c r="AF32" s="16">
        <v>3500.0</v>
      </c>
      <c r="AG32" s="24">
        <v>46194.0</v>
      </c>
      <c r="AH32" s="16" t="s">
        <v>39</v>
      </c>
      <c r="AI32" s="18">
        <f t="shared" si="7"/>
        <v>0</v>
      </c>
      <c r="AJ32" s="18"/>
      <c r="AK32" s="16">
        <v>3500.0</v>
      </c>
      <c r="AL32" s="18"/>
      <c r="AM32" s="18"/>
      <c r="AN32" s="18">
        <f t="shared" si="8"/>
        <v>3500</v>
      </c>
      <c r="AO32" s="18"/>
      <c r="AP32" s="18"/>
      <c r="AQ32" s="18"/>
      <c r="AR32" s="18"/>
      <c r="AS32" s="18">
        <f t="shared" si="9"/>
        <v>7000</v>
      </c>
      <c r="AT32" s="18"/>
      <c r="AU32" s="18"/>
      <c r="AV32" s="18"/>
      <c r="AW32" s="18"/>
      <c r="AX32" s="18">
        <f t="shared" si="10"/>
        <v>7000</v>
      </c>
      <c r="AY32" s="18"/>
      <c r="AZ32" s="18"/>
      <c r="BA32" s="18"/>
      <c r="BB32" s="18"/>
      <c r="BC32" s="18">
        <f t="shared" si="11"/>
        <v>7000</v>
      </c>
      <c r="BD32" s="18"/>
      <c r="BE32" s="18"/>
      <c r="BF32" s="18"/>
      <c r="BG32" s="18"/>
      <c r="BH32" s="18">
        <f t="shared" si="12"/>
        <v>7000</v>
      </c>
      <c r="BI32" s="18"/>
      <c r="BJ32" s="18"/>
      <c r="BK32" s="18"/>
      <c r="BL32" s="18"/>
    </row>
    <row r="33">
      <c r="A33" s="14">
        <v>31.0</v>
      </c>
      <c r="B33" s="14">
        <v>106.0</v>
      </c>
      <c r="C33" s="11" t="s">
        <v>71</v>
      </c>
      <c r="D33" s="14">
        <v>1.733333333E9</v>
      </c>
      <c r="E33" s="14"/>
      <c r="F33" s="14"/>
      <c r="G33" s="14">
        <v>3500.0</v>
      </c>
      <c r="H33" s="27" t="s">
        <v>30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18"/>
      <c r="AF33" s="25"/>
      <c r="AG33" s="18"/>
      <c r="AH33" s="18"/>
      <c r="AI33" s="18">
        <f t="shared" si="7"/>
        <v>7000</v>
      </c>
      <c r="AJ33" s="18"/>
      <c r="AK33" s="18"/>
      <c r="AL33" s="18"/>
      <c r="AM33" s="18"/>
      <c r="AN33" s="18">
        <f t="shared" si="8"/>
        <v>7000</v>
      </c>
      <c r="AO33" s="18"/>
      <c r="AP33" s="18"/>
      <c r="AQ33" s="18"/>
      <c r="AR33" s="18"/>
      <c r="AS33" s="18">
        <f t="shared" si="9"/>
        <v>7000</v>
      </c>
      <c r="AT33" s="18"/>
      <c r="AU33" s="18"/>
      <c r="AV33" s="18"/>
      <c r="AW33" s="18"/>
      <c r="AX33" s="18">
        <f t="shared" si="10"/>
        <v>7000</v>
      </c>
      <c r="AY33" s="18"/>
      <c r="AZ33" s="18"/>
      <c r="BA33" s="18"/>
      <c r="BB33" s="18"/>
      <c r="BC33" s="18">
        <f t="shared" si="11"/>
        <v>7000</v>
      </c>
      <c r="BD33" s="18"/>
      <c r="BE33" s="18"/>
      <c r="BF33" s="18"/>
      <c r="BG33" s="18"/>
      <c r="BH33" s="18">
        <f t="shared" si="12"/>
        <v>7000</v>
      </c>
      <c r="BI33" s="18"/>
      <c r="BJ33" s="18"/>
      <c r="BK33" s="18"/>
      <c r="BL33" s="18"/>
    </row>
    <row r="34">
      <c r="A34" s="16">
        <v>32.0</v>
      </c>
      <c r="B34" s="14">
        <v>107.0</v>
      </c>
      <c r="C34" s="11" t="s">
        <v>72</v>
      </c>
      <c r="D34" s="14">
        <v>1.733333333E9</v>
      </c>
      <c r="E34" s="14"/>
      <c r="F34" s="14"/>
      <c r="G34" s="14">
        <v>3500.0</v>
      </c>
      <c r="H34" s="27" t="s">
        <v>30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18"/>
      <c r="AF34" s="28"/>
      <c r="AG34" s="18"/>
      <c r="AH34" s="18"/>
      <c r="AI34" s="18">
        <f t="shared" si="7"/>
        <v>7000</v>
      </c>
      <c r="AJ34" s="18"/>
      <c r="AK34" s="18"/>
      <c r="AL34" s="18"/>
      <c r="AM34" s="18"/>
      <c r="AN34" s="18">
        <f t="shared" si="8"/>
        <v>7000</v>
      </c>
      <c r="AO34" s="18"/>
      <c r="AP34" s="18"/>
      <c r="AQ34" s="18"/>
      <c r="AR34" s="18"/>
      <c r="AS34" s="18">
        <f t="shared" si="9"/>
        <v>7000</v>
      </c>
      <c r="AT34" s="18"/>
      <c r="AU34" s="18"/>
      <c r="AV34" s="18"/>
      <c r="AW34" s="18"/>
      <c r="AX34" s="18">
        <f t="shared" si="10"/>
        <v>7000</v>
      </c>
      <c r="AY34" s="18"/>
      <c r="AZ34" s="18"/>
      <c r="BA34" s="18"/>
      <c r="BB34" s="18"/>
      <c r="BC34" s="18">
        <f t="shared" si="11"/>
        <v>7000</v>
      </c>
      <c r="BD34" s="18"/>
      <c r="BE34" s="18"/>
      <c r="BF34" s="18"/>
      <c r="BG34" s="18"/>
      <c r="BH34" s="18">
        <f t="shared" si="12"/>
        <v>7000</v>
      </c>
      <c r="BI34" s="18"/>
      <c r="BJ34" s="18"/>
      <c r="BK34" s="18"/>
      <c r="BL34" s="18"/>
    </row>
    <row r="35">
      <c r="A35" s="14">
        <v>33.0</v>
      </c>
      <c r="B35" s="14">
        <v>108.0</v>
      </c>
      <c r="C35" s="27" t="s">
        <v>73</v>
      </c>
      <c r="D35" s="14">
        <v>1.733333333E9</v>
      </c>
      <c r="E35" s="14"/>
      <c r="F35" s="14"/>
      <c r="G35" s="14">
        <v>3500.0</v>
      </c>
      <c r="H35" s="27" t="s">
        <v>30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16"/>
      <c r="AF35" s="16" t="s">
        <v>74</v>
      </c>
      <c r="AG35" s="18"/>
      <c r="AH35" s="18"/>
      <c r="AI35" s="18">
        <f t="shared" si="7"/>
        <v>3500</v>
      </c>
      <c r="AJ35" s="18"/>
      <c r="AK35" s="18"/>
      <c r="AL35" s="18"/>
      <c r="AM35" s="18"/>
      <c r="AN35" s="18">
        <f t="shared" si="8"/>
        <v>7000</v>
      </c>
      <c r="AO35" s="18"/>
      <c r="AP35" s="18"/>
      <c r="AQ35" s="18"/>
      <c r="AR35" s="18"/>
      <c r="AS35" s="18">
        <f t="shared" si="9"/>
        <v>7000</v>
      </c>
      <c r="AT35" s="18"/>
      <c r="AU35" s="18"/>
      <c r="AV35" s="18"/>
      <c r="AW35" s="18"/>
      <c r="AX35" s="18">
        <f t="shared" si="10"/>
        <v>7000</v>
      </c>
      <c r="AY35" s="18"/>
      <c r="AZ35" s="18"/>
      <c r="BA35" s="18"/>
      <c r="BB35" s="18"/>
      <c r="BC35" s="18">
        <f t="shared" si="11"/>
        <v>7000</v>
      </c>
      <c r="BD35" s="18"/>
      <c r="BE35" s="18"/>
      <c r="BF35" s="18"/>
      <c r="BG35" s="18"/>
      <c r="BH35" s="18">
        <f t="shared" si="12"/>
        <v>7000</v>
      </c>
      <c r="BI35" s="18"/>
      <c r="BJ35" s="18"/>
      <c r="BK35" s="18"/>
      <c r="BL35" s="18"/>
    </row>
    <row r="36">
      <c r="A36" s="16">
        <v>34.0</v>
      </c>
      <c r="B36" s="14">
        <v>109.0</v>
      </c>
      <c r="C36" s="27" t="s">
        <v>75</v>
      </c>
      <c r="D36" s="14">
        <v>1.733333333E9</v>
      </c>
      <c r="E36" s="14"/>
      <c r="F36" s="14"/>
      <c r="G36" s="14"/>
      <c r="H36" s="27" t="s">
        <v>30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18"/>
      <c r="AF36" s="25"/>
      <c r="AG36" s="18"/>
      <c r="AH36" s="18"/>
      <c r="AI36" s="18">
        <f t="shared" si="7"/>
        <v>7000</v>
      </c>
      <c r="AJ36" s="18"/>
      <c r="AK36" s="18"/>
      <c r="AL36" s="18"/>
      <c r="AM36" s="18"/>
      <c r="AN36" s="18">
        <f t="shared" si="8"/>
        <v>7000</v>
      </c>
      <c r="AO36" s="18"/>
      <c r="AP36" s="18"/>
      <c r="AQ36" s="18"/>
      <c r="AR36" s="18"/>
      <c r="AS36" s="18">
        <f t="shared" si="9"/>
        <v>7000</v>
      </c>
      <c r="AT36" s="18"/>
      <c r="AU36" s="18"/>
      <c r="AV36" s="18"/>
      <c r="AW36" s="18"/>
      <c r="AX36" s="18">
        <f t="shared" si="10"/>
        <v>7000</v>
      </c>
      <c r="AY36" s="18"/>
      <c r="AZ36" s="18"/>
      <c r="BA36" s="18"/>
      <c r="BB36" s="18"/>
      <c r="BC36" s="18">
        <f t="shared" si="11"/>
        <v>7000</v>
      </c>
      <c r="BD36" s="18"/>
      <c r="BE36" s="18"/>
      <c r="BF36" s="18"/>
      <c r="BG36" s="18"/>
      <c r="BH36" s="18">
        <f t="shared" si="12"/>
        <v>7000</v>
      </c>
      <c r="BI36" s="18"/>
      <c r="BJ36" s="18"/>
      <c r="BK36" s="18"/>
      <c r="BL36" s="18"/>
    </row>
    <row r="37">
      <c r="A37" s="14">
        <v>35.0</v>
      </c>
      <c r="B37" s="14">
        <v>110.0</v>
      </c>
      <c r="C37" s="27" t="s">
        <v>76</v>
      </c>
      <c r="D37" s="14">
        <v>1.733333333E9</v>
      </c>
      <c r="E37" s="14"/>
      <c r="F37" s="14"/>
      <c r="G37" s="14">
        <v>3500.0</v>
      </c>
      <c r="H37" s="27" t="s">
        <v>30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16"/>
      <c r="AF37" s="16">
        <v>3500.0</v>
      </c>
      <c r="AG37" s="18"/>
      <c r="AH37" s="18"/>
      <c r="AI37" s="18">
        <f t="shared" si="7"/>
        <v>3500</v>
      </c>
      <c r="AJ37" s="18"/>
      <c r="AK37" s="18"/>
      <c r="AL37" s="18"/>
      <c r="AM37" s="18"/>
      <c r="AN37" s="18">
        <f t="shared" si="8"/>
        <v>7000</v>
      </c>
      <c r="AO37" s="18"/>
      <c r="AP37" s="18"/>
      <c r="AQ37" s="18"/>
      <c r="AR37" s="18"/>
      <c r="AS37" s="18">
        <f t="shared" si="9"/>
        <v>7000</v>
      </c>
      <c r="AT37" s="18"/>
      <c r="AU37" s="18"/>
      <c r="AV37" s="18"/>
      <c r="AW37" s="18"/>
      <c r="AX37" s="18">
        <f t="shared" si="10"/>
        <v>7000</v>
      </c>
      <c r="AY37" s="18"/>
      <c r="AZ37" s="18"/>
      <c r="BA37" s="18"/>
      <c r="BB37" s="18"/>
      <c r="BC37" s="18">
        <f t="shared" si="11"/>
        <v>7000</v>
      </c>
      <c r="BD37" s="18"/>
      <c r="BE37" s="18"/>
      <c r="BF37" s="18"/>
      <c r="BG37" s="18"/>
      <c r="BH37" s="18">
        <f t="shared" si="12"/>
        <v>7000</v>
      </c>
      <c r="BI37" s="18"/>
      <c r="BJ37" s="18"/>
      <c r="BK37" s="18"/>
      <c r="BL37" s="18"/>
    </row>
    <row r="38">
      <c r="A38" s="16">
        <v>36.0</v>
      </c>
      <c r="B38" s="29">
        <v>111.0</v>
      </c>
      <c r="C38" s="30" t="s">
        <v>77</v>
      </c>
      <c r="D38" s="29">
        <v>1.733333333E9</v>
      </c>
      <c r="E38" s="29"/>
      <c r="F38" s="29"/>
      <c r="G38" s="29">
        <v>3500.0</v>
      </c>
      <c r="H38" s="27" t="s">
        <v>30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6"/>
      <c r="AF38" s="20"/>
      <c r="AG38" s="18"/>
      <c r="AH38" s="18"/>
      <c r="AI38" s="18">
        <f t="shared" si="7"/>
        <v>7000</v>
      </c>
      <c r="AJ38" s="18"/>
      <c r="AK38" s="18"/>
      <c r="AL38" s="18"/>
      <c r="AM38" s="18"/>
      <c r="AN38" s="18">
        <f t="shared" si="8"/>
        <v>7000</v>
      </c>
      <c r="AO38" s="18"/>
      <c r="AP38" s="18"/>
      <c r="AQ38" s="18"/>
      <c r="AR38" s="18"/>
      <c r="AS38" s="18">
        <f t="shared" si="9"/>
        <v>7000</v>
      </c>
      <c r="AT38" s="18"/>
      <c r="AU38" s="18"/>
      <c r="AV38" s="18"/>
      <c r="AW38" s="18"/>
      <c r="AX38" s="18">
        <f t="shared" si="10"/>
        <v>7000</v>
      </c>
      <c r="AY38" s="18"/>
      <c r="AZ38" s="18"/>
      <c r="BA38" s="18"/>
      <c r="BB38" s="18"/>
      <c r="BC38" s="18">
        <f t="shared" si="11"/>
        <v>7000</v>
      </c>
      <c r="BD38" s="18"/>
      <c r="BE38" s="18"/>
      <c r="BF38" s="18"/>
      <c r="BG38" s="18"/>
      <c r="BH38" s="18">
        <f t="shared" si="12"/>
        <v>7000</v>
      </c>
      <c r="BI38" s="18"/>
      <c r="BJ38" s="18"/>
      <c r="BK38" s="18"/>
      <c r="BL38" s="18"/>
    </row>
    <row r="39">
      <c r="A39" s="14">
        <v>37.0</v>
      </c>
      <c r="B39" s="14">
        <v>112.0</v>
      </c>
      <c r="C39" s="30" t="s">
        <v>78</v>
      </c>
      <c r="D39" s="14">
        <v>1.733333333E9</v>
      </c>
      <c r="E39" s="14"/>
      <c r="F39" s="14"/>
      <c r="G39" s="14">
        <v>3500.0</v>
      </c>
      <c r="H39" s="27" t="s">
        <v>30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16"/>
      <c r="AF39" s="20"/>
      <c r="AG39" s="18"/>
      <c r="AH39" s="18"/>
      <c r="AI39" s="18">
        <f t="shared" si="7"/>
        <v>7000</v>
      </c>
      <c r="AJ39" s="18"/>
      <c r="AK39" s="18"/>
      <c r="AL39" s="18"/>
      <c r="AM39" s="18"/>
      <c r="AN39" s="18">
        <f t="shared" si="8"/>
        <v>7000</v>
      </c>
      <c r="AO39" s="18"/>
      <c r="AP39" s="18"/>
      <c r="AQ39" s="18"/>
      <c r="AR39" s="18"/>
      <c r="AS39" s="18">
        <f t="shared" si="9"/>
        <v>7000</v>
      </c>
      <c r="AT39" s="18"/>
      <c r="AU39" s="18"/>
      <c r="AV39" s="18"/>
      <c r="AW39" s="18"/>
      <c r="AX39" s="18">
        <f t="shared" si="10"/>
        <v>7000</v>
      </c>
      <c r="AY39" s="18"/>
      <c r="AZ39" s="18"/>
      <c r="BA39" s="18"/>
      <c r="BB39" s="18"/>
      <c r="BC39" s="18">
        <f t="shared" si="11"/>
        <v>7000</v>
      </c>
      <c r="BD39" s="18"/>
      <c r="BE39" s="18"/>
      <c r="BF39" s="18"/>
      <c r="BG39" s="18"/>
      <c r="BH39" s="18">
        <f t="shared" si="12"/>
        <v>7000</v>
      </c>
      <c r="BI39" s="18"/>
      <c r="BJ39" s="18"/>
      <c r="BK39" s="18"/>
      <c r="BL39" s="18"/>
    </row>
    <row r="40">
      <c r="A40" s="16">
        <v>38.0</v>
      </c>
      <c r="B40" s="14">
        <v>113.0</v>
      </c>
      <c r="C40" s="30" t="s">
        <v>79</v>
      </c>
      <c r="D40" s="14">
        <v>1.622222222E9</v>
      </c>
      <c r="E40" s="14"/>
      <c r="F40" s="14"/>
      <c r="G40" s="14">
        <v>3500.0</v>
      </c>
      <c r="H40" s="27" t="s">
        <v>30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16"/>
      <c r="AF40" s="31"/>
      <c r="AG40" s="18"/>
      <c r="AH40" s="18"/>
      <c r="AI40" s="18">
        <f t="shared" si="7"/>
        <v>7000</v>
      </c>
      <c r="AJ40" s="18"/>
      <c r="AK40" s="18"/>
      <c r="AL40" s="18"/>
      <c r="AM40" s="18"/>
      <c r="AN40" s="18">
        <f t="shared" si="8"/>
        <v>7000</v>
      </c>
      <c r="AO40" s="18"/>
      <c r="AP40" s="18"/>
      <c r="AQ40" s="18"/>
      <c r="AR40" s="18"/>
      <c r="AS40" s="18">
        <f t="shared" si="9"/>
        <v>7000</v>
      </c>
      <c r="AT40" s="18"/>
      <c r="AU40" s="18"/>
      <c r="AV40" s="18"/>
      <c r="AW40" s="18"/>
      <c r="AX40" s="18">
        <f t="shared" si="10"/>
        <v>7000</v>
      </c>
      <c r="AY40" s="18"/>
      <c r="AZ40" s="18"/>
      <c r="BA40" s="18"/>
      <c r="BB40" s="18"/>
      <c r="BC40" s="18">
        <f t="shared" si="11"/>
        <v>7000</v>
      </c>
      <c r="BD40" s="18"/>
      <c r="BE40" s="18"/>
      <c r="BF40" s="18"/>
      <c r="BG40" s="18"/>
      <c r="BH40" s="18">
        <f t="shared" si="12"/>
        <v>7000</v>
      </c>
      <c r="BI40" s="18"/>
      <c r="BJ40" s="18"/>
      <c r="BK40" s="18"/>
      <c r="BL40" s="18"/>
    </row>
    <row r="41">
      <c r="A41" s="14">
        <v>39.0</v>
      </c>
      <c r="B41" s="14">
        <v>114.0</v>
      </c>
      <c r="C41" s="19" t="s">
        <v>80</v>
      </c>
      <c r="D41" s="14">
        <v>1.733333333E9</v>
      </c>
      <c r="E41" s="14"/>
      <c r="F41" s="14"/>
      <c r="G41" s="14">
        <v>3500.0</v>
      </c>
      <c r="H41" s="27" t="s">
        <v>30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16"/>
      <c r="AF41" s="20"/>
      <c r="AG41" s="18"/>
      <c r="AH41" s="18"/>
      <c r="AI41" s="18">
        <f t="shared" si="7"/>
        <v>7000</v>
      </c>
      <c r="AJ41" s="18"/>
      <c r="AK41" s="18"/>
      <c r="AL41" s="18"/>
      <c r="AM41" s="18"/>
      <c r="AN41" s="18">
        <f t="shared" si="8"/>
        <v>7000</v>
      </c>
      <c r="AO41" s="18"/>
      <c r="AP41" s="18"/>
      <c r="AQ41" s="18"/>
      <c r="AR41" s="18"/>
      <c r="AS41" s="18">
        <f t="shared" si="9"/>
        <v>7000</v>
      </c>
      <c r="AT41" s="18"/>
      <c r="AU41" s="18"/>
      <c r="AV41" s="18"/>
      <c r="AW41" s="18"/>
      <c r="AX41" s="18">
        <f t="shared" si="10"/>
        <v>7000</v>
      </c>
      <c r="AY41" s="18"/>
      <c r="AZ41" s="18"/>
      <c r="BA41" s="18"/>
      <c r="BB41" s="18"/>
      <c r="BC41" s="18">
        <f t="shared" si="11"/>
        <v>7000</v>
      </c>
      <c r="BD41" s="18"/>
      <c r="BE41" s="18"/>
      <c r="BF41" s="18"/>
      <c r="BG41" s="18"/>
      <c r="BH41" s="18">
        <f t="shared" si="12"/>
        <v>7000</v>
      </c>
      <c r="BI41" s="18"/>
      <c r="BJ41" s="18"/>
      <c r="BK41" s="18"/>
      <c r="BL41" s="18"/>
    </row>
    <row r="42">
      <c r="A42" s="16">
        <v>40.0</v>
      </c>
      <c r="B42" s="14">
        <v>115.0</v>
      </c>
      <c r="C42" s="19" t="s">
        <v>81</v>
      </c>
      <c r="D42" s="14">
        <v>1.733333333E9</v>
      </c>
      <c r="E42" s="14"/>
      <c r="F42" s="14"/>
      <c r="G42" s="14">
        <v>3500.0</v>
      </c>
      <c r="H42" s="27" t="s">
        <v>30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18"/>
      <c r="AF42" s="25"/>
      <c r="AG42" s="18"/>
      <c r="AH42" s="18"/>
      <c r="AI42" s="18">
        <f t="shared" si="7"/>
        <v>7000</v>
      </c>
      <c r="AJ42" s="18"/>
      <c r="AK42" s="18"/>
      <c r="AL42" s="18"/>
      <c r="AM42" s="18"/>
      <c r="AN42" s="18">
        <f t="shared" si="8"/>
        <v>7000</v>
      </c>
      <c r="AO42" s="18"/>
      <c r="AP42" s="18"/>
      <c r="AQ42" s="18"/>
      <c r="AR42" s="18"/>
      <c r="AS42" s="18">
        <f t="shared" si="9"/>
        <v>7000</v>
      </c>
      <c r="AT42" s="18"/>
      <c r="AU42" s="18"/>
      <c r="AV42" s="18"/>
      <c r="AW42" s="18"/>
      <c r="AX42" s="18">
        <f t="shared" si="10"/>
        <v>7000</v>
      </c>
      <c r="AY42" s="18"/>
      <c r="AZ42" s="18"/>
      <c r="BA42" s="18"/>
      <c r="BB42" s="18"/>
      <c r="BC42" s="18">
        <f t="shared" si="11"/>
        <v>7000</v>
      </c>
      <c r="BD42" s="18"/>
      <c r="BE42" s="18"/>
      <c r="BF42" s="18"/>
      <c r="BG42" s="18"/>
      <c r="BH42" s="18">
        <f t="shared" si="12"/>
        <v>7000</v>
      </c>
      <c r="BI42" s="18"/>
      <c r="BJ42" s="18"/>
      <c r="BK42" s="18"/>
      <c r="BL42" s="18"/>
    </row>
    <row r="43">
      <c r="A43" s="14">
        <v>41.0</v>
      </c>
      <c r="B43" s="14">
        <v>116.0</v>
      </c>
      <c r="C43" s="30" t="s">
        <v>82</v>
      </c>
      <c r="D43" s="23">
        <v>1.733333333E9</v>
      </c>
      <c r="E43" s="23"/>
      <c r="F43" s="23"/>
      <c r="G43" s="23">
        <v>3500.0</v>
      </c>
      <c r="H43" s="27" t="s">
        <v>30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16">
        <v>7000.0</v>
      </c>
      <c r="AF43" s="16">
        <v>3500.0</v>
      </c>
      <c r="AG43" s="18"/>
      <c r="AH43" s="18"/>
      <c r="AI43" s="18">
        <f t="shared" si="7"/>
        <v>3500</v>
      </c>
      <c r="AJ43" s="18"/>
      <c r="AK43" s="18"/>
      <c r="AL43" s="18"/>
      <c r="AM43" s="18"/>
      <c r="AN43" s="18">
        <f t="shared" si="8"/>
        <v>7000</v>
      </c>
      <c r="AO43" s="18"/>
      <c r="AP43" s="18"/>
      <c r="AQ43" s="18"/>
      <c r="AR43" s="18"/>
      <c r="AS43" s="18">
        <f t="shared" si="9"/>
        <v>7000</v>
      </c>
      <c r="AT43" s="18"/>
      <c r="AU43" s="18"/>
      <c r="AV43" s="18"/>
      <c r="AW43" s="18"/>
      <c r="AX43" s="18">
        <f t="shared" si="10"/>
        <v>7000</v>
      </c>
      <c r="AY43" s="18"/>
      <c r="AZ43" s="18"/>
      <c r="BA43" s="18"/>
      <c r="BB43" s="18"/>
      <c r="BC43" s="18">
        <f t="shared" si="11"/>
        <v>7000</v>
      </c>
      <c r="BD43" s="18"/>
      <c r="BE43" s="18"/>
      <c r="BF43" s="18"/>
      <c r="BG43" s="18"/>
      <c r="BH43" s="18">
        <f t="shared" si="12"/>
        <v>7000</v>
      </c>
      <c r="BI43" s="18"/>
      <c r="BJ43" s="18"/>
      <c r="BK43" s="18"/>
      <c r="BL43" s="18"/>
    </row>
    <row r="44">
      <c r="A44" s="16">
        <v>42.0</v>
      </c>
      <c r="B44" s="23">
        <v>117.0</v>
      </c>
      <c r="C44" s="30" t="s">
        <v>83</v>
      </c>
      <c r="D44" s="23">
        <v>1.733333333E9</v>
      </c>
      <c r="E44" s="23"/>
      <c r="F44" s="23"/>
      <c r="G44" s="23">
        <v>3500.0</v>
      </c>
      <c r="H44" s="27" t="s">
        <v>30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16">
        <v>7000.0</v>
      </c>
      <c r="AF44" s="16">
        <v>3500.0</v>
      </c>
      <c r="AG44" s="18"/>
      <c r="AH44" s="18"/>
      <c r="AI44" s="18">
        <f t="shared" si="7"/>
        <v>3500</v>
      </c>
      <c r="AJ44" s="18"/>
      <c r="AK44" s="18"/>
      <c r="AL44" s="18"/>
      <c r="AM44" s="18"/>
      <c r="AN44" s="18">
        <f t="shared" si="8"/>
        <v>7000</v>
      </c>
      <c r="AO44" s="18"/>
      <c r="AP44" s="18"/>
      <c r="AQ44" s="18"/>
      <c r="AR44" s="18"/>
      <c r="AS44" s="18">
        <f t="shared" si="9"/>
        <v>7000</v>
      </c>
      <c r="AT44" s="18"/>
      <c r="AU44" s="18"/>
      <c r="AV44" s="18"/>
      <c r="AW44" s="18"/>
      <c r="AX44" s="18">
        <f t="shared" si="10"/>
        <v>7000</v>
      </c>
      <c r="AY44" s="18"/>
      <c r="AZ44" s="18"/>
      <c r="BA44" s="18"/>
      <c r="BB44" s="18"/>
      <c r="BC44" s="18">
        <f t="shared" si="11"/>
        <v>7000</v>
      </c>
      <c r="BD44" s="18"/>
      <c r="BE44" s="18"/>
      <c r="BF44" s="18"/>
      <c r="BG44" s="18"/>
      <c r="BH44" s="18">
        <f t="shared" si="12"/>
        <v>7000</v>
      </c>
      <c r="BI44" s="18"/>
      <c r="BJ44" s="18"/>
      <c r="BK44" s="18"/>
      <c r="BL44" s="18"/>
    </row>
    <row r="45">
      <c r="A45" s="22"/>
      <c r="B45" s="22"/>
      <c r="C45" s="22"/>
      <c r="D45" s="22"/>
      <c r="E45" s="22"/>
      <c r="F45" s="22"/>
      <c r="G45" s="22"/>
      <c r="H45" s="27" t="s">
        <v>30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</row>
    <row r="46">
      <c r="A46" s="22"/>
      <c r="B46" s="22"/>
      <c r="C46" s="22"/>
      <c r="D46" s="22"/>
      <c r="E46" s="22"/>
      <c r="F46" s="22"/>
      <c r="G46" s="22"/>
      <c r="H46" s="27" t="s">
        <v>30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</row>
    <row r="47">
      <c r="A47" s="22"/>
      <c r="B47" s="22"/>
      <c r="C47" s="22"/>
      <c r="D47" s="22"/>
      <c r="E47" s="22"/>
      <c r="F47" s="22"/>
      <c r="G47" s="22"/>
      <c r="H47" s="27" t="s">
        <v>30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</row>
    <row r="48">
      <c r="A48" s="22"/>
      <c r="B48" s="22"/>
      <c r="C48" s="22"/>
      <c r="D48" s="22"/>
      <c r="E48" s="22"/>
      <c r="F48" s="22"/>
      <c r="G48" s="22"/>
      <c r="H48" s="27" t="s">
        <v>30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</row>
    <row r="49">
      <c r="A49" s="22"/>
      <c r="B49" s="22"/>
      <c r="C49" s="22"/>
      <c r="D49" s="22"/>
      <c r="E49" s="22"/>
      <c r="F49" s="22"/>
      <c r="G49" s="22"/>
      <c r="H49" s="27" t="s">
        <v>30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</row>
    <row r="50">
      <c r="A50" s="22"/>
      <c r="B50" s="22"/>
      <c r="C50" s="22"/>
      <c r="D50" s="22"/>
      <c r="E50" s="22"/>
      <c r="F50" s="22"/>
      <c r="G50" s="22"/>
      <c r="H50" s="27" t="s">
        <v>30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</row>
    <row r="51">
      <c r="A51" s="22"/>
      <c r="B51" s="22"/>
      <c r="C51" s="22"/>
      <c r="D51" s="22"/>
      <c r="E51" s="22"/>
      <c r="F51" s="22"/>
      <c r="G51" s="22"/>
      <c r="H51" s="27" t="s">
        <v>30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</row>
    <row r="52">
      <c r="A52" s="22"/>
      <c r="B52" s="22"/>
      <c r="C52" s="22"/>
      <c r="D52" s="22"/>
      <c r="E52" s="22"/>
      <c r="F52" s="22"/>
      <c r="G52" s="22"/>
      <c r="H52" s="27" t="s">
        <v>30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</row>
    <row r="53">
      <c r="A53" s="22"/>
      <c r="B53" s="22"/>
      <c r="C53" s="22"/>
      <c r="D53" s="22"/>
      <c r="E53" s="22"/>
      <c r="F53" s="22"/>
      <c r="G53" s="22"/>
      <c r="H53" s="27" t="s">
        <v>30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</row>
    <row r="54">
      <c r="A54" s="22"/>
      <c r="B54" s="22"/>
      <c r="C54" s="22"/>
      <c r="D54" s="22"/>
      <c r="E54" s="22"/>
      <c r="F54" s="22"/>
      <c r="G54" s="22"/>
      <c r="H54" s="27" t="s">
        <v>30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</row>
    <row r="55">
      <c r="A55" s="22"/>
      <c r="B55" s="22"/>
      <c r="C55" s="22"/>
      <c r="D55" s="22"/>
      <c r="E55" s="22"/>
      <c r="F55" s="22"/>
      <c r="G55" s="22"/>
      <c r="H55" s="27" t="s">
        <v>30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</row>
    <row r="56">
      <c r="A56" s="22"/>
      <c r="B56" s="22"/>
      <c r="C56" s="22"/>
      <c r="D56" s="22"/>
      <c r="E56" s="22"/>
      <c r="F56" s="22"/>
      <c r="G56" s="22"/>
      <c r="H56" s="27" t="s">
        <v>30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6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</row>
    <row r="57">
      <c r="A57" s="22"/>
      <c r="B57" s="22"/>
      <c r="C57" s="22"/>
      <c r="D57" s="22"/>
      <c r="E57" s="22"/>
      <c r="F57" s="22"/>
      <c r="G57" s="22"/>
      <c r="H57" s="27" t="s">
        <v>30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6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</row>
    <row r="58">
      <c r="A58" s="22"/>
      <c r="B58" s="22"/>
      <c r="C58" s="22"/>
      <c r="D58" s="22"/>
      <c r="E58" s="22"/>
      <c r="F58" s="22"/>
      <c r="G58" s="22"/>
      <c r="H58" s="27" t="s">
        <v>30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18"/>
      <c r="AF58" s="18"/>
      <c r="AG58" s="18"/>
      <c r="AH58" s="18"/>
      <c r="AI58" s="18"/>
      <c r="AJ58" s="18"/>
      <c r="AK58" s="18"/>
      <c r="AL58" s="18"/>
      <c r="AM58" s="18"/>
      <c r="AN58" s="16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</row>
    <row r="59">
      <c r="A59" s="22"/>
      <c r="B59" s="22"/>
      <c r="C59" s="22"/>
      <c r="D59" s="22"/>
      <c r="E59" s="22"/>
      <c r="F59" s="22"/>
      <c r="G59" s="22"/>
      <c r="H59" s="27" t="s">
        <v>30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6"/>
      <c r="AU59" s="18"/>
      <c r="AV59" s="18"/>
      <c r="AW59" s="18"/>
      <c r="AX59" s="18"/>
      <c r="AY59" s="18"/>
      <c r="AZ59" s="16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</row>
    <row r="60">
      <c r="A60" s="22"/>
      <c r="B60" s="22"/>
      <c r="C60" s="22"/>
      <c r="D60" s="22"/>
      <c r="E60" s="22"/>
      <c r="F60" s="22"/>
      <c r="G60" s="22"/>
      <c r="H60" s="27" t="s">
        <v>30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</row>
    <row r="61">
      <c r="A61" s="22"/>
      <c r="B61" s="22"/>
      <c r="C61" s="22"/>
      <c r="D61" s="22"/>
      <c r="E61" s="22"/>
      <c r="F61" s="22"/>
      <c r="G61" s="22"/>
      <c r="H61" s="27" t="s">
        <v>30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6"/>
      <c r="AP61" s="16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</row>
    <row r="62">
      <c r="A62" s="22"/>
      <c r="B62" s="22"/>
      <c r="C62" s="22"/>
      <c r="D62" s="22"/>
      <c r="E62" s="22"/>
      <c r="F62" s="22"/>
      <c r="G62" s="22"/>
      <c r="H62" s="27" t="s">
        <v>30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</row>
    <row r="63">
      <c r="A63" s="32"/>
      <c r="B63" s="32"/>
      <c r="C63" s="32"/>
      <c r="D63" s="32"/>
      <c r="E63" s="32"/>
      <c r="F63" s="32"/>
      <c r="G63" s="32"/>
      <c r="H63" s="33" t="s">
        <v>84</v>
      </c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4">
        <f>sum(AE3:AE62)</f>
        <v>21000</v>
      </c>
      <c r="AF63" s="34">
        <f>SUM(AF3:AF62)</f>
        <v>76500</v>
      </c>
      <c r="AG63" s="34"/>
      <c r="AH63" s="34"/>
      <c r="AI63" s="34">
        <f t="shared" ref="AI63:AK63" si="13">SUM(AI$3:AI62)</f>
        <v>70000</v>
      </c>
      <c r="AJ63" s="34">
        <f t="shared" si="13"/>
        <v>0</v>
      </c>
      <c r="AK63" s="34">
        <f t="shared" si="13"/>
        <v>143000</v>
      </c>
      <c r="AL63" s="34"/>
      <c r="AM63" s="34"/>
      <c r="AN63" s="34">
        <f t="shared" ref="AN63:AP63" si="14">SUM(AN$3:AN62)</f>
        <v>188500</v>
      </c>
      <c r="AO63" s="34">
        <f t="shared" si="14"/>
        <v>0</v>
      </c>
      <c r="AP63" s="34">
        <f t="shared" si="14"/>
        <v>0</v>
      </c>
      <c r="AQ63" s="34"/>
      <c r="AR63" s="34"/>
      <c r="AS63" s="34">
        <f t="shared" ref="AS63:AU63" si="15">SUM(AS$3:AS62)</f>
        <v>293000</v>
      </c>
      <c r="AT63" s="34">
        <f t="shared" si="15"/>
        <v>0</v>
      </c>
      <c r="AU63" s="34">
        <f t="shared" si="15"/>
        <v>0</v>
      </c>
      <c r="AV63" s="34"/>
      <c r="AW63" s="34"/>
      <c r="AX63" s="34">
        <f t="shared" ref="AX63:AZ63" si="16">SUM(AX$3:AX62)</f>
        <v>293000</v>
      </c>
      <c r="AY63" s="34">
        <f t="shared" si="16"/>
        <v>0</v>
      </c>
      <c r="AZ63" s="34">
        <f t="shared" si="16"/>
        <v>0</v>
      </c>
      <c r="BA63" s="34"/>
      <c r="BB63" s="34"/>
      <c r="BC63" s="34">
        <f t="shared" ref="BC63:BE63" si="17">SUM(BC$3:BC62)</f>
        <v>293000</v>
      </c>
      <c r="BD63" s="34">
        <f t="shared" si="17"/>
        <v>0</v>
      </c>
      <c r="BE63" s="34">
        <f t="shared" si="17"/>
        <v>0</v>
      </c>
      <c r="BF63" s="34"/>
      <c r="BG63" s="34"/>
      <c r="BH63" s="34">
        <f t="shared" ref="BH63:BJ63" si="18">SUM(BH$3:BH62)</f>
        <v>293000</v>
      </c>
      <c r="BI63" s="34">
        <f t="shared" si="18"/>
        <v>0</v>
      </c>
      <c r="BJ63" s="34">
        <f t="shared" si="18"/>
        <v>0</v>
      </c>
      <c r="BK63" s="34"/>
      <c r="BL63" s="34"/>
    </row>
    <row r="64">
      <c r="A64" s="32"/>
      <c r="B64" s="32"/>
      <c r="C64" s="32"/>
      <c r="D64" s="32"/>
      <c r="E64" s="32"/>
      <c r="F64" s="32"/>
      <c r="G64" s="32"/>
      <c r="H64" s="33" t="s">
        <v>85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4"/>
      <c r="AF64" s="34"/>
      <c r="AG64" s="34"/>
      <c r="AH64" s="34"/>
      <c r="AI64" s="34">
        <f>SUM(AI$3:AI62) + SUM(AJ$3:AJ62)</f>
        <v>70000</v>
      </c>
      <c r="AJ64" s="34"/>
      <c r="AK64" s="34"/>
      <c r="AL64" s="34"/>
      <c r="AM64" s="34"/>
      <c r="AN64" s="34">
        <f>SUM(AN$3:AN62) + SUM(AO$3:AO62)</f>
        <v>188500</v>
      </c>
      <c r="AO64" s="34"/>
      <c r="AP64" s="34"/>
      <c r="AQ64" s="34"/>
      <c r="AR64" s="34"/>
      <c r="AS64" s="34">
        <f>SUM(AS$3:AS62) + SUM(AT$3:AT62)</f>
        <v>293000</v>
      </c>
      <c r="AT64" s="34"/>
      <c r="AU64" s="34"/>
      <c r="AV64" s="34"/>
      <c r="AW64" s="34"/>
      <c r="AX64" s="34">
        <f>SUM(AX$3:AX62) + SUM(AY$3:AY62)</f>
        <v>293000</v>
      </c>
      <c r="AY64" s="34"/>
      <c r="AZ64" s="34"/>
      <c r="BA64" s="34"/>
      <c r="BB64" s="34"/>
      <c r="BC64" s="34">
        <f>SUM(BC$3:BC62) + SUM(BD$3:BD62)</f>
        <v>293000</v>
      </c>
      <c r="BD64" s="34"/>
      <c r="BE64" s="34"/>
      <c r="BF64" s="34"/>
      <c r="BG64" s="34"/>
      <c r="BH64" s="34">
        <f>SUM(BH$3:BH62) + SUM(BI$3:BI62)</f>
        <v>293000</v>
      </c>
      <c r="BI64" s="34"/>
      <c r="BJ64" s="34"/>
      <c r="BK64" s="34"/>
      <c r="BL64" s="34"/>
    </row>
    <row r="65">
      <c r="A65" s="32"/>
      <c r="B65" s="32"/>
      <c r="C65" s="32"/>
      <c r="D65" s="32"/>
      <c r="E65" s="32"/>
      <c r="F65" s="32"/>
      <c r="G65" s="32"/>
      <c r="H65" s="33" t="s">
        <v>86</v>
      </c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4"/>
      <c r="AF65" s="34">
        <f>sum(AE3:AF62)</f>
        <v>97500</v>
      </c>
      <c r="AG65" s="34"/>
      <c r="AH65" s="34"/>
      <c r="AI65" s="34"/>
      <c r="AJ65" s="34"/>
      <c r="AK65" s="34">
        <f>SUM(AJ$3:AJ62) + SUM(AK$3:AK62)</f>
        <v>143000</v>
      </c>
      <c r="AL65" s="34"/>
      <c r="AM65" s="34"/>
      <c r="AN65" s="34"/>
      <c r="AO65" s="34"/>
      <c r="AP65" s="34">
        <f>SUM(AO$3:AO62) + SUM(AP$3:AP62)</f>
        <v>0</v>
      </c>
      <c r="AQ65" s="34"/>
      <c r="AR65" s="34"/>
      <c r="AS65" s="34"/>
      <c r="AT65" s="34"/>
      <c r="AU65" s="34">
        <f>SUM(AT$3:AT62) + SUM(AU$3:AU62)</f>
        <v>0</v>
      </c>
      <c r="AV65" s="34"/>
      <c r="AW65" s="34"/>
      <c r="AX65" s="34"/>
      <c r="AY65" s="34"/>
      <c r="AZ65" s="34">
        <f>SUM(AY$3:AY62) + SUM(AZ$3:AZ62)</f>
        <v>0</v>
      </c>
      <c r="BA65" s="34"/>
      <c r="BB65" s="34"/>
      <c r="BC65" s="34"/>
      <c r="BD65" s="34"/>
      <c r="BE65" s="34">
        <f>SUM(BD$3:BD62) + SUM(BE$3:BE62)</f>
        <v>0</v>
      </c>
      <c r="BF65" s="34"/>
      <c r="BG65" s="34"/>
      <c r="BH65" s="34"/>
      <c r="BI65" s="34"/>
      <c r="BJ65" s="34">
        <f>SUM(BI$3:BI62) + SUM(BJ$3:BJ62)</f>
        <v>0</v>
      </c>
      <c r="BK65" s="34"/>
      <c r="BL65" s="34"/>
    </row>
    <row r="66">
      <c r="A66" s="32"/>
      <c r="B66" s="32"/>
      <c r="C66" s="32"/>
      <c r="D66" s="32"/>
      <c r="E66" s="32"/>
      <c r="F66" s="32"/>
      <c r="G66" s="32"/>
      <c r="H66" s="33" t="s">
        <v>87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4"/>
      <c r="AF66" s="34">
        <f>AE64 - AE65</f>
        <v>0</v>
      </c>
      <c r="AG66" s="34"/>
      <c r="AH66" s="34"/>
      <c r="AI66" s="34"/>
      <c r="AJ66" s="34">
        <f>AI64 - AI65</f>
        <v>70000</v>
      </c>
      <c r="AK66" s="34"/>
      <c r="AL66" s="34"/>
      <c r="AM66" s="34"/>
      <c r="AN66" s="34"/>
      <c r="AO66" s="34">
        <f>AN64 - AN65</f>
        <v>188500</v>
      </c>
      <c r="AP66" s="34"/>
      <c r="AQ66" s="34"/>
      <c r="AR66" s="34"/>
      <c r="AS66" s="34"/>
      <c r="AT66" s="34">
        <f>AS64 - AS65</f>
        <v>293000</v>
      </c>
      <c r="AU66" s="34"/>
      <c r="AV66" s="34"/>
      <c r="AW66" s="34"/>
      <c r="AX66" s="34"/>
      <c r="AY66" s="34">
        <f>AX64 - AX65</f>
        <v>293000</v>
      </c>
      <c r="AZ66" s="34"/>
      <c r="BA66" s="34"/>
      <c r="BB66" s="34"/>
      <c r="BC66" s="34"/>
      <c r="BD66" s="34">
        <f>BC64 - BC65</f>
        <v>293000</v>
      </c>
      <c r="BE66" s="34"/>
      <c r="BF66" s="34"/>
      <c r="BG66" s="34"/>
      <c r="BH66" s="34"/>
      <c r="BI66" s="34">
        <f>BH64 - BH65</f>
        <v>293000</v>
      </c>
      <c r="BJ66" s="34"/>
      <c r="BK66" s="34"/>
      <c r="BL66" s="34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6" t="s">
        <v>88</v>
      </c>
      <c r="BI69" s="35"/>
      <c r="BJ69" s="35"/>
      <c r="BK69" s="35"/>
      <c r="BL69" s="35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  <c r="AO1011" s="38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  <c r="BA1011" s="38"/>
      <c r="BB1011" s="38"/>
      <c r="BC1011" s="38"/>
      <c r="BD1011" s="38"/>
      <c r="BE1011" s="38"/>
      <c r="BF1011" s="38"/>
      <c r="BG1011" s="38"/>
      <c r="BH1011" s="38"/>
      <c r="BI1011" s="38"/>
      <c r="BJ1011" s="38"/>
      <c r="BK1011" s="38"/>
      <c r="BL1011" s="38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/>
      <c r="AR1012" s="38"/>
      <c r="AS1012" s="38"/>
      <c r="AT1012" s="38"/>
      <c r="AU1012" s="38"/>
      <c r="AV1012" s="38"/>
      <c r="AW1012" s="38"/>
      <c r="AX1012" s="38"/>
      <c r="AY1012" s="38"/>
      <c r="AZ1012" s="38"/>
      <c r="BA1012" s="38"/>
      <c r="BB1012" s="38"/>
      <c r="BC1012" s="38"/>
      <c r="BD1012" s="38"/>
      <c r="BE1012" s="38"/>
      <c r="BF1012" s="38"/>
      <c r="BG1012" s="38"/>
      <c r="BH1012" s="38"/>
      <c r="BI1012" s="38"/>
      <c r="BJ1012" s="38"/>
      <c r="BK1012" s="38"/>
      <c r="BL1012" s="38"/>
    </row>
    <row r="1013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  <c r="AO1013" s="38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  <c r="BA1013" s="38"/>
      <c r="BB1013" s="38"/>
      <c r="BC1013" s="38"/>
      <c r="BD1013" s="38"/>
      <c r="BE1013" s="38"/>
      <c r="BF1013" s="38"/>
      <c r="BG1013" s="38"/>
      <c r="BH1013" s="38"/>
      <c r="BI1013" s="38"/>
      <c r="BJ1013" s="38"/>
      <c r="BK1013" s="38"/>
      <c r="BL1013" s="38"/>
    </row>
    <row r="1014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  <c r="AO1014" s="38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  <c r="BA1014" s="38"/>
      <c r="BB1014" s="38"/>
      <c r="BC1014" s="38"/>
      <c r="BD1014" s="38"/>
      <c r="BE1014" s="38"/>
      <c r="BF1014" s="38"/>
      <c r="BG1014" s="38"/>
      <c r="BH1014" s="38"/>
      <c r="BI1014" s="38"/>
      <c r="BJ1014" s="38"/>
      <c r="BK1014" s="38"/>
      <c r="BL1014" s="38"/>
    </row>
    <row r="1015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  <c r="BG1015" s="38"/>
      <c r="BH1015" s="38"/>
      <c r="BI1015" s="38"/>
      <c r="BJ1015" s="38"/>
      <c r="BK1015" s="38"/>
      <c r="BL1015" s="38"/>
    </row>
    <row r="1016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  <c r="BC1016" s="38"/>
      <c r="BD1016" s="38"/>
      <c r="BE1016" s="38"/>
      <c r="BF1016" s="38"/>
      <c r="BG1016" s="38"/>
      <c r="BH1016" s="38"/>
      <c r="BI1016" s="38"/>
      <c r="BJ1016" s="38"/>
      <c r="BK1016" s="38"/>
      <c r="BL1016" s="38"/>
    </row>
    <row r="1017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  <c r="BC1017" s="38"/>
      <c r="BD1017" s="38"/>
      <c r="BE1017" s="38"/>
      <c r="BF1017" s="38"/>
      <c r="BG1017" s="38"/>
      <c r="BH1017" s="38"/>
      <c r="BI1017" s="38"/>
      <c r="BJ1017" s="38"/>
      <c r="BK1017" s="38"/>
      <c r="BL1017" s="38"/>
    </row>
    <row r="101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8"/>
      <c r="BG1018" s="38"/>
      <c r="BH1018" s="38"/>
      <c r="BI1018" s="38"/>
      <c r="BJ1018" s="38"/>
      <c r="BK1018" s="38"/>
      <c r="BL1018" s="38"/>
    </row>
    <row r="1019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  <c r="BC1019" s="38"/>
      <c r="BD1019" s="38"/>
      <c r="BE1019" s="38"/>
      <c r="BF1019" s="38"/>
      <c r="BG1019" s="38"/>
      <c r="BH1019" s="38"/>
      <c r="BI1019" s="38"/>
      <c r="BJ1019" s="38"/>
      <c r="BK1019" s="38"/>
      <c r="BL1019" s="38"/>
    </row>
    <row r="1020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  <c r="AO1020" s="38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  <c r="BA1020" s="38"/>
      <c r="BB1020" s="38"/>
      <c r="BC1020" s="38"/>
      <c r="BD1020" s="38"/>
      <c r="BE1020" s="38"/>
      <c r="BF1020" s="38"/>
      <c r="BG1020" s="38"/>
      <c r="BH1020" s="38"/>
      <c r="BI1020" s="38"/>
      <c r="BJ1020" s="38"/>
      <c r="BK1020" s="38"/>
      <c r="BL1020" s="38"/>
    </row>
    <row r="1021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  <c r="BA1021" s="38"/>
      <c r="BB1021" s="38"/>
      <c r="BC1021" s="38"/>
      <c r="BD1021" s="38"/>
      <c r="BE1021" s="38"/>
      <c r="BF1021" s="38"/>
      <c r="BG1021" s="38"/>
      <c r="BH1021" s="38"/>
      <c r="BI1021" s="38"/>
      <c r="BJ1021" s="38"/>
      <c r="BK1021" s="38"/>
      <c r="BL1021" s="38"/>
    </row>
    <row r="1022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  <c r="AO1022" s="38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  <c r="BA1022" s="38"/>
      <c r="BB1022" s="38"/>
      <c r="BC1022" s="38"/>
      <c r="BD1022" s="38"/>
      <c r="BE1022" s="38"/>
      <c r="BF1022" s="38"/>
      <c r="BG1022" s="38"/>
      <c r="BH1022" s="38"/>
      <c r="BI1022" s="38"/>
      <c r="BJ1022" s="38"/>
      <c r="BK1022" s="38"/>
      <c r="BL1022" s="38"/>
    </row>
    <row r="1023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  <c r="AO1023" s="38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  <c r="BA1023" s="38"/>
      <c r="BB1023" s="38"/>
      <c r="BC1023" s="38"/>
      <c r="BD1023" s="38"/>
      <c r="BE1023" s="38"/>
      <c r="BF1023" s="38"/>
      <c r="BG1023" s="38"/>
      <c r="BH1023" s="38"/>
      <c r="BI1023" s="38"/>
      <c r="BJ1023" s="38"/>
      <c r="BK1023" s="38"/>
      <c r="BL1023" s="38"/>
    </row>
  </sheetData>
  <mergeCells count="7">
    <mergeCell ref="AE1:AH1"/>
    <mergeCell ref="AI1:AM1"/>
    <mergeCell ref="AN1:AR1"/>
    <mergeCell ref="AS1:AW1"/>
    <mergeCell ref="AX1:BB1"/>
    <mergeCell ref="BC1:BG1"/>
    <mergeCell ref="BH1:BL1"/>
  </mergeCells>
  <dataValidations>
    <dataValidation type="list" allowBlank="1" showErrorMessage="1" sqref="H2:H62">
      <formula1>"Active,Inactive,Drop"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9.13"/>
    <col customWidth="1" min="4" max="4" width="9.75"/>
    <col customWidth="1" min="5" max="5" width="11.0"/>
    <col customWidth="1" min="6" max="6" width="45.13"/>
    <col customWidth="1" min="7" max="7" width="10.25"/>
    <col customWidth="1" min="8" max="8" width="17.25"/>
    <col customWidth="1" min="9" max="9" width="8.75"/>
    <col customWidth="1" min="10" max="10" width="9.63"/>
  </cols>
  <sheetData>
    <row r="1">
      <c r="A1" s="39" t="s">
        <v>33</v>
      </c>
      <c r="B1" s="40" t="s">
        <v>89</v>
      </c>
      <c r="C1" s="39" t="s">
        <v>90</v>
      </c>
      <c r="D1" s="39" t="s">
        <v>91</v>
      </c>
      <c r="E1" s="39" t="s">
        <v>92</v>
      </c>
      <c r="F1" s="39" t="s">
        <v>93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</row>
    <row r="2">
      <c r="A2" s="39" t="s">
        <v>33</v>
      </c>
      <c r="B2" s="40" t="s">
        <v>89</v>
      </c>
      <c r="C2" s="39" t="s">
        <v>90</v>
      </c>
      <c r="D2" s="39" t="s">
        <v>91</v>
      </c>
      <c r="E2" s="39" t="s">
        <v>92</v>
      </c>
      <c r="F2" s="39" t="s">
        <v>93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</row>
    <row r="3">
      <c r="A3" s="41"/>
      <c r="B3" s="40" t="s">
        <v>94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</row>
    <row r="4">
      <c r="A4" s="42">
        <v>1.0</v>
      </c>
      <c r="B4" s="43" t="s">
        <v>95</v>
      </c>
      <c r="C4" s="41"/>
      <c r="D4" s="42">
        <v>3000.0</v>
      </c>
      <c r="E4" s="40">
        <v>3000.0</v>
      </c>
      <c r="F4" s="44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</row>
    <row r="5">
      <c r="A5" s="42">
        <v>2.0</v>
      </c>
      <c r="B5" s="44" t="s">
        <v>40</v>
      </c>
      <c r="C5" s="41"/>
      <c r="D5" s="42">
        <v>3000.0</v>
      </c>
      <c r="E5" s="41">
        <f t="shared" ref="E5:E12" si="1">E4+D5</f>
        <v>6000</v>
      </c>
      <c r="F5" s="44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</row>
    <row r="6">
      <c r="A6" s="42">
        <v>3.0</v>
      </c>
      <c r="B6" s="44" t="s">
        <v>96</v>
      </c>
      <c r="C6" s="41"/>
      <c r="D6" s="42">
        <v>3000.0</v>
      </c>
      <c r="E6" s="41">
        <f t="shared" si="1"/>
        <v>9000</v>
      </c>
      <c r="F6" s="44" t="s">
        <v>97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</row>
    <row r="7">
      <c r="A7" s="42">
        <v>4.0</v>
      </c>
      <c r="B7" s="45" t="s">
        <v>36</v>
      </c>
      <c r="C7" s="41"/>
      <c r="D7" s="42">
        <v>3000.0</v>
      </c>
      <c r="E7" s="41">
        <f t="shared" si="1"/>
        <v>12000</v>
      </c>
      <c r="F7" s="46" t="s">
        <v>98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</row>
    <row r="8">
      <c r="A8" s="42">
        <v>5.0</v>
      </c>
      <c r="B8" s="43" t="s">
        <v>99</v>
      </c>
      <c r="C8" s="41"/>
      <c r="D8" s="42">
        <v>6000.0</v>
      </c>
      <c r="E8" s="41">
        <f t="shared" si="1"/>
        <v>18000</v>
      </c>
      <c r="F8" s="44" t="s">
        <v>100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</row>
    <row r="9">
      <c r="A9" s="42">
        <v>6.0</v>
      </c>
      <c r="B9" s="43" t="s">
        <v>43</v>
      </c>
      <c r="C9" s="41"/>
      <c r="D9" s="42">
        <v>6000.0</v>
      </c>
      <c r="E9" s="41">
        <f t="shared" si="1"/>
        <v>24000</v>
      </c>
      <c r="F9" s="44" t="s">
        <v>100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</row>
    <row r="10">
      <c r="A10" s="42">
        <v>7.0</v>
      </c>
      <c r="B10" s="43" t="s">
        <v>101</v>
      </c>
      <c r="C10" s="41"/>
      <c r="D10" s="42">
        <v>6000.0</v>
      </c>
      <c r="E10" s="41">
        <f t="shared" si="1"/>
        <v>30000</v>
      </c>
      <c r="F10" s="44" t="s">
        <v>100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</row>
    <row r="11">
      <c r="A11" s="42">
        <v>8.0</v>
      </c>
      <c r="B11" s="43" t="s">
        <v>102</v>
      </c>
      <c r="C11" s="41"/>
      <c r="D11" s="42">
        <v>6000.0</v>
      </c>
      <c r="E11" s="41">
        <f t="shared" si="1"/>
        <v>36000</v>
      </c>
      <c r="F11" s="44" t="s">
        <v>100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</row>
    <row r="12">
      <c r="A12" s="42">
        <v>9.0</v>
      </c>
      <c r="B12" s="43" t="s">
        <v>45</v>
      </c>
      <c r="C12" s="41"/>
      <c r="D12" s="42">
        <v>6000.0</v>
      </c>
      <c r="E12" s="41">
        <f t="shared" si="1"/>
        <v>42000</v>
      </c>
      <c r="F12" s="44" t="s">
        <v>100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</row>
    <row r="13">
      <c r="A13" s="44"/>
      <c r="B13" s="44"/>
      <c r="C13" s="41"/>
      <c r="D13" s="44"/>
      <c r="E13" s="41"/>
      <c r="F13" s="44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</row>
    <row r="14">
      <c r="A14" s="44"/>
      <c r="B14" s="44" t="s">
        <v>103</v>
      </c>
      <c r="C14" s="42">
        <v>42000.0</v>
      </c>
      <c r="D14" s="42"/>
      <c r="E14" s="41">
        <f>E12-C14</f>
        <v>0</v>
      </c>
      <c r="F14" s="44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</row>
    <row r="15">
      <c r="A15" s="47"/>
      <c r="B15" s="48" t="s">
        <v>94</v>
      </c>
      <c r="C15" s="47"/>
      <c r="D15" s="47"/>
      <c r="E15" s="47"/>
      <c r="F15" s="47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</row>
    <row r="16">
      <c r="A16" s="47" t="s">
        <v>33</v>
      </c>
      <c r="B16" s="48" t="s">
        <v>89</v>
      </c>
      <c r="C16" s="47" t="s">
        <v>90</v>
      </c>
      <c r="D16" s="47" t="s">
        <v>91</v>
      </c>
      <c r="E16" s="47" t="s">
        <v>92</v>
      </c>
      <c r="F16" s="47" t="s">
        <v>93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</row>
    <row r="17">
      <c r="A17" s="44"/>
      <c r="B17" s="44"/>
      <c r="C17" s="41"/>
      <c r="D17" s="44"/>
      <c r="E17" s="41"/>
      <c r="F17" s="44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</row>
    <row r="18">
      <c r="A18" s="42">
        <v>5.0</v>
      </c>
      <c r="B18" s="44" t="s">
        <v>104</v>
      </c>
      <c r="C18" s="41"/>
      <c r="D18" s="42">
        <v>6000.0</v>
      </c>
      <c r="E18" s="40">
        <v>6000.0</v>
      </c>
      <c r="F18" s="46" t="s">
        <v>105</v>
      </c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</row>
    <row r="19">
      <c r="A19" s="40">
        <v>7.0</v>
      </c>
      <c r="B19" s="49" t="s">
        <v>106</v>
      </c>
      <c r="C19" s="41"/>
      <c r="D19" s="40">
        <v>3000.0</v>
      </c>
      <c r="E19" s="41">
        <f t="shared" ref="E19:E34" si="2">E18+D19</f>
        <v>9000</v>
      </c>
      <c r="F19" s="50" t="s">
        <v>107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</row>
    <row r="20">
      <c r="A20" s="42">
        <v>9.0</v>
      </c>
      <c r="B20" s="51" t="s">
        <v>108</v>
      </c>
      <c r="C20" s="41"/>
      <c r="D20" s="40">
        <v>3000.0</v>
      </c>
      <c r="E20" s="41">
        <f t="shared" si="2"/>
        <v>12000</v>
      </c>
      <c r="F20" s="40" t="s">
        <v>109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</row>
    <row r="21">
      <c r="A21" s="40">
        <v>11.0</v>
      </c>
      <c r="B21" s="49" t="s">
        <v>110</v>
      </c>
      <c r="C21" s="41"/>
      <c r="D21" s="40">
        <v>3000.0</v>
      </c>
      <c r="E21" s="41">
        <f t="shared" si="2"/>
        <v>15000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</row>
    <row r="22">
      <c r="A22" s="42">
        <v>13.0</v>
      </c>
      <c r="B22" s="49" t="s">
        <v>111</v>
      </c>
      <c r="C22" s="41"/>
      <c r="D22" s="40">
        <v>3000.0</v>
      </c>
      <c r="E22" s="41">
        <f t="shared" si="2"/>
        <v>18000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</row>
    <row r="23">
      <c r="A23" s="40">
        <v>15.0</v>
      </c>
      <c r="B23" s="52" t="s">
        <v>42</v>
      </c>
      <c r="C23" s="41"/>
      <c r="D23" s="40">
        <v>3000.0</v>
      </c>
      <c r="E23" s="41">
        <f t="shared" si="2"/>
        <v>21000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</row>
    <row r="24">
      <c r="A24" s="42">
        <v>17.0</v>
      </c>
      <c r="B24" s="52" t="s">
        <v>42</v>
      </c>
      <c r="C24" s="41"/>
      <c r="D24" s="40">
        <v>3000.0</v>
      </c>
      <c r="E24" s="41">
        <f t="shared" si="2"/>
        <v>24000</v>
      </c>
      <c r="F24" s="40" t="s">
        <v>112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</row>
    <row r="25">
      <c r="A25" s="40">
        <v>19.0</v>
      </c>
      <c r="B25" s="53" t="s">
        <v>113</v>
      </c>
      <c r="C25" s="41"/>
      <c r="D25" s="40">
        <v>3000.0</v>
      </c>
      <c r="E25" s="41">
        <f t="shared" si="2"/>
        <v>27000</v>
      </c>
      <c r="F25" s="40" t="s">
        <v>114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</row>
    <row r="26">
      <c r="A26" s="42">
        <v>21.0</v>
      </c>
      <c r="B26" s="49" t="s">
        <v>115</v>
      </c>
      <c r="C26" s="41"/>
      <c r="D26" s="40">
        <v>3000.0</v>
      </c>
      <c r="E26" s="41">
        <f t="shared" si="2"/>
        <v>30000</v>
      </c>
      <c r="F26" s="40" t="s">
        <v>114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</row>
    <row r="27">
      <c r="A27" s="40">
        <v>23.0</v>
      </c>
      <c r="B27" s="49" t="s">
        <v>46</v>
      </c>
      <c r="C27" s="41"/>
      <c r="D27" s="40">
        <v>3000.0</v>
      </c>
      <c r="E27" s="41">
        <f t="shared" si="2"/>
        <v>33000</v>
      </c>
      <c r="F27" s="40" t="s">
        <v>114</v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</row>
    <row r="28">
      <c r="A28" s="42">
        <v>25.0</v>
      </c>
      <c r="B28" s="49" t="s">
        <v>116</v>
      </c>
      <c r="C28" s="41"/>
      <c r="D28" s="40">
        <v>3000.0</v>
      </c>
      <c r="E28" s="41">
        <f t="shared" si="2"/>
        <v>36000</v>
      </c>
      <c r="F28" s="40" t="s">
        <v>114</v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</row>
    <row r="29">
      <c r="A29" s="40">
        <v>27.0</v>
      </c>
      <c r="B29" s="49" t="s">
        <v>117</v>
      </c>
      <c r="C29" s="41"/>
      <c r="D29" s="40">
        <v>3000.0</v>
      </c>
      <c r="E29" s="41">
        <f t="shared" si="2"/>
        <v>39000</v>
      </c>
      <c r="F29" s="40" t="s">
        <v>114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</row>
    <row r="30">
      <c r="A30" s="42">
        <v>29.0</v>
      </c>
      <c r="B30" s="54" t="s">
        <v>118</v>
      </c>
      <c r="C30" s="55"/>
      <c r="D30" s="54">
        <v>3000.0</v>
      </c>
      <c r="E30" s="55">
        <f t="shared" si="2"/>
        <v>42000</v>
      </c>
      <c r="F30" s="56" t="s">
        <v>114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</row>
    <row r="31">
      <c r="A31" s="40">
        <v>31.0</v>
      </c>
      <c r="B31" s="40" t="s">
        <v>119</v>
      </c>
      <c r="C31" s="41"/>
      <c r="D31" s="40">
        <v>6000.0</v>
      </c>
      <c r="E31" s="40">
        <f t="shared" si="2"/>
        <v>48000</v>
      </c>
      <c r="F31" s="40" t="s">
        <v>114</v>
      </c>
      <c r="G31" s="40" t="s">
        <v>97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</row>
    <row r="32">
      <c r="A32" s="40">
        <v>32.0</v>
      </c>
      <c r="B32" s="57" t="s">
        <v>120</v>
      </c>
      <c r="C32" s="41"/>
      <c r="D32" s="40">
        <v>3000.0</v>
      </c>
      <c r="E32" s="41">
        <f t="shared" si="2"/>
        <v>51000</v>
      </c>
      <c r="F32" s="40" t="s">
        <v>121</v>
      </c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</row>
    <row r="33">
      <c r="A33" s="40">
        <v>22.0</v>
      </c>
      <c r="B33" s="52" t="s">
        <v>95</v>
      </c>
      <c r="C33" s="41"/>
      <c r="D33" s="40">
        <v>3000.0</v>
      </c>
      <c r="E33" s="41">
        <f t="shared" si="2"/>
        <v>54000</v>
      </c>
      <c r="F33" s="40" t="s">
        <v>112</v>
      </c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</row>
    <row r="34">
      <c r="A34" s="41"/>
      <c r="B34" s="40" t="s">
        <v>122</v>
      </c>
      <c r="C34" s="41"/>
      <c r="D34" s="40">
        <v>3000.0</v>
      </c>
      <c r="E34" s="41">
        <f t="shared" si="2"/>
        <v>57000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</row>
    <row r="35">
      <c r="A35" s="58"/>
      <c r="B35" s="59"/>
      <c r="C35" s="58"/>
      <c r="D35" s="58"/>
      <c r="E35" s="58"/>
      <c r="F35" s="58"/>
      <c r="G35" s="58"/>
      <c r="H35" s="58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</row>
    <row r="36">
      <c r="A36" s="58"/>
      <c r="B36" s="59" t="s">
        <v>123</v>
      </c>
      <c r="C36" s="58"/>
      <c r="D36" s="58"/>
      <c r="E36" s="58"/>
      <c r="F36" s="58"/>
      <c r="G36" s="58"/>
      <c r="H36" s="58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</row>
    <row r="38">
      <c r="A38" s="60">
        <v>45140.0</v>
      </c>
      <c r="B38" s="49" t="s">
        <v>124</v>
      </c>
      <c r="C38" s="41"/>
      <c r="D38" s="40">
        <v>3000.0</v>
      </c>
      <c r="E38" s="40">
        <v>3000.0</v>
      </c>
      <c r="F38" s="40" t="s">
        <v>7</v>
      </c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</row>
    <row r="39">
      <c r="A39" s="60">
        <v>45141.0</v>
      </c>
      <c r="B39" s="49" t="s">
        <v>101</v>
      </c>
      <c r="C39" s="41"/>
      <c r="D39" s="40">
        <v>3000.0</v>
      </c>
      <c r="E39" s="41">
        <f t="shared" ref="E39:E45" si="3">E38+D39</f>
        <v>6000</v>
      </c>
      <c r="F39" s="40" t="s">
        <v>97</v>
      </c>
      <c r="G39" s="40" t="s">
        <v>125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</row>
    <row r="40">
      <c r="A40" s="60">
        <v>45142.0</v>
      </c>
      <c r="B40" s="49" t="s">
        <v>46</v>
      </c>
      <c r="C40" s="41"/>
      <c r="D40" s="40">
        <v>3000.0</v>
      </c>
      <c r="E40" s="41">
        <f t="shared" si="3"/>
        <v>9000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</row>
    <row r="41">
      <c r="A41" s="60">
        <v>45143.0</v>
      </c>
      <c r="B41" s="57" t="s">
        <v>36</v>
      </c>
      <c r="C41" s="41"/>
      <c r="D41" s="40">
        <v>3000.0</v>
      </c>
      <c r="E41" s="41">
        <f t="shared" si="3"/>
        <v>12000</v>
      </c>
      <c r="F41" s="40" t="s">
        <v>94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</row>
    <row r="42">
      <c r="A42" s="60">
        <v>45144.0</v>
      </c>
      <c r="B42" s="49" t="s">
        <v>126</v>
      </c>
      <c r="C42" s="41"/>
      <c r="D42" s="40">
        <v>4000.0</v>
      </c>
      <c r="E42" s="41">
        <f t="shared" si="3"/>
        <v>16000</v>
      </c>
      <c r="F42" s="41"/>
      <c r="G42" s="40" t="s">
        <v>127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>
      <c r="A43" s="60">
        <v>45145.0</v>
      </c>
      <c r="B43" s="54" t="s">
        <v>40</v>
      </c>
      <c r="C43" s="41"/>
      <c r="D43" s="40">
        <v>3000.0</v>
      </c>
      <c r="E43" s="41">
        <f t="shared" si="3"/>
        <v>19000</v>
      </c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</row>
    <row r="44">
      <c r="A44" s="60">
        <v>45146.0</v>
      </c>
      <c r="B44" s="49" t="s">
        <v>99</v>
      </c>
      <c r="C44" s="41"/>
      <c r="D44" s="40">
        <v>3000.0</v>
      </c>
      <c r="E44" s="41">
        <f t="shared" si="3"/>
        <v>22000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</row>
    <row r="45">
      <c r="A45" s="60">
        <v>45147.0</v>
      </c>
      <c r="B45" s="49" t="s">
        <v>106</v>
      </c>
      <c r="C45" s="41"/>
      <c r="D45" s="40">
        <v>3000.0</v>
      </c>
      <c r="E45" s="41">
        <f t="shared" si="3"/>
        <v>25000</v>
      </c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</row>
    <row r="46">
      <c r="A46" s="61"/>
      <c r="B46" s="62" t="s">
        <v>128</v>
      </c>
      <c r="C46" s="62">
        <v>25000.0</v>
      </c>
      <c r="D46" s="61"/>
      <c r="E46" s="61"/>
      <c r="F46" s="61"/>
      <c r="G46" s="6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</row>
    <row r="47">
      <c r="A47" s="60">
        <v>45139.0</v>
      </c>
      <c r="B47" s="49" t="s">
        <v>126</v>
      </c>
      <c r="C47" s="41"/>
      <c r="D47" s="40">
        <v>2000.0</v>
      </c>
      <c r="E47" s="40">
        <v>2000.0</v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</row>
    <row r="48">
      <c r="A48" s="60">
        <v>45142.0</v>
      </c>
      <c r="B48" s="49" t="s">
        <v>43</v>
      </c>
      <c r="C48" s="41"/>
      <c r="D48" s="40">
        <v>3000.0</v>
      </c>
      <c r="E48" s="41">
        <f t="shared" ref="E48:E51" si="4">E47+D48</f>
        <v>5000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</row>
    <row r="49">
      <c r="A49" s="60">
        <v>45145.0</v>
      </c>
      <c r="B49" s="49" t="s">
        <v>45</v>
      </c>
      <c r="C49" s="41"/>
      <c r="D49" s="40">
        <v>6000.0</v>
      </c>
      <c r="E49" s="41">
        <f t="shared" si="4"/>
        <v>11000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</row>
    <row r="50">
      <c r="A50" s="60">
        <v>45154.0</v>
      </c>
      <c r="B50" s="49" t="s">
        <v>129</v>
      </c>
      <c r="C50" s="41"/>
      <c r="D50" s="40">
        <v>6000.0</v>
      </c>
      <c r="E50" s="41">
        <f t="shared" si="4"/>
        <v>17000</v>
      </c>
      <c r="F50" s="40" t="s">
        <v>130</v>
      </c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</row>
    <row r="51">
      <c r="A51" s="60">
        <v>45154.0</v>
      </c>
      <c r="B51" s="49" t="s">
        <v>131</v>
      </c>
      <c r="C51" s="41"/>
      <c r="D51" s="40">
        <v>6000.0</v>
      </c>
      <c r="E51" s="41">
        <f t="shared" si="4"/>
        <v>23000</v>
      </c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</row>
    <row r="52">
      <c r="A52" s="61"/>
      <c r="B52" s="62" t="s">
        <v>132</v>
      </c>
      <c r="C52" s="62">
        <v>23000.0</v>
      </c>
      <c r="D52" s="61"/>
      <c r="E52" s="61"/>
      <c r="F52" s="61"/>
      <c r="G52" s="61"/>
      <c r="H52" s="41"/>
      <c r="I52" s="41"/>
      <c r="J52" s="41">
        <f>23000+53200</f>
        <v>76200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</row>
    <row r="53">
      <c r="A53" s="60">
        <v>45159.0</v>
      </c>
      <c r="B53" s="63" t="s">
        <v>133</v>
      </c>
      <c r="C53" s="41"/>
      <c r="D53" s="40">
        <v>3000.0</v>
      </c>
      <c r="E53" s="40">
        <f t="shared" ref="E53:E62" si="5">E52+D53</f>
        <v>3000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</row>
    <row r="54">
      <c r="A54" s="60">
        <v>45159.0</v>
      </c>
      <c r="B54" s="63" t="s">
        <v>134</v>
      </c>
      <c r="C54" s="41"/>
      <c r="D54" s="40">
        <v>3000.0</v>
      </c>
      <c r="E54" s="41">
        <f t="shared" si="5"/>
        <v>6000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</row>
    <row r="55">
      <c r="A55" s="60">
        <v>45160.0</v>
      </c>
      <c r="B55" s="63" t="s">
        <v>102</v>
      </c>
      <c r="C55" s="41"/>
      <c r="D55" s="40">
        <v>3000.0</v>
      </c>
      <c r="E55" s="41">
        <f t="shared" si="5"/>
        <v>9000</v>
      </c>
      <c r="F55" s="40" t="s">
        <v>97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</row>
    <row r="56">
      <c r="A56" s="60">
        <v>45160.0</v>
      </c>
      <c r="B56" s="64" t="s">
        <v>122</v>
      </c>
      <c r="C56" s="41"/>
      <c r="D56" s="40">
        <v>3000.0</v>
      </c>
      <c r="E56" s="41">
        <f t="shared" si="5"/>
        <v>12000</v>
      </c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</row>
    <row r="57">
      <c r="A57" s="60">
        <v>45160.0</v>
      </c>
      <c r="B57" s="65" t="s">
        <v>108</v>
      </c>
      <c r="C57" s="41"/>
      <c r="D57" s="40">
        <v>3000.0</v>
      </c>
      <c r="E57" s="41">
        <f t="shared" si="5"/>
        <v>15000</v>
      </c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</row>
    <row r="58">
      <c r="A58" s="60">
        <v>45160.0</v>
      </c>
      <c r="B58" s="63" t="s">
        <v>110</v>
      </c>
      <c r="C58" s="41"/>
      <c r="D58" s="40">
        <v>3000.0</v>
      </c>
      <c r="E58" s="41">
        <f t="shared" si="5"/>
        <v>18000</v>
      </c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</row>
    <row r="59">
      <c r="A59" s="60">
        <v>45163.0</v>
      </c>
      <c r="B59" s="63" t="s">
        <v>48</v>
      </c>
      <c r="C59" s="41"/>
      <c r="D59" s="40">
        <v>6000.0</v>
      </c>
      <c r="E59" s="41">
        <f t="shared" si="5"/>
        <v>24000</v>
      </c>
      <c r="F59" s="40" t="s">
        <v>135</v>
      </c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</row>
    <row r="60">
      <c r="A60" s="60">
        <v>45167.0</v>
      </c>
      <c r="B60" s="66" t="s">
        <v>136</v>
      </c>
      <c r="C60" s="41"/>
      <c r="D60" s="40">
        <v>23200.0</v>
      </c>
      <c r="E60" s="41">
        <f t="shared" si="5"/>
        <v>47200</v>
      </c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</row>
    <row r="61">
      <c r="A61" s="60">
        <v>45167.0</v>
      </c>
      <c r="B61" s="67" t="s">
        <v>120</v>
      </c>
      <c r="C61" s="41"/>
      <c r="D61" s="40">
        <v>3000.0</v>
      </c>
      <c r="E61" s="41">
        <f t="shared" si="5"/>
        <v>50200</v>
      </c>
      <c r="F61" s="41"/>
      <c r="G61" s="41"/>
      <c r="H61" s="41"/>
      <c r="I61" s="41">
        <f>53200+23000</f>
        <v>76200</v>
      </c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</row>
    <row r="62">
      <c r="A62" s="41"/>
      <c r="B62" s="66" t="s">
        <v>113</v>
      </c>
      <c r="C62" s="41"/>
      <c r="D62" s="40">
        <v>3000.0</v>
      </c>
      <c r="E62" s="41">
        <f t="shared" si="5"/>
        <v>53200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</row>
    <row r="66">
      <c r="A66" s="41"/>
      <c r="B66" s="41"/>
      <c r="C66" s="40" t="s">
        <v>137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</row>
    <row r="68">
      <c r="A68" s="60">
        <v>45173.0</v>
      </c>
      <c r="B68" s="63" t="s">
        <v>138</v>
      </c>
      <c r="C68" s="41"/>
      <c r="D68" s="40">
        <v>6000.0</v>
      </c>
      <c r="E68" s="40">
        <v>3000.0</v>
      </c>
      <c r="F68" s="40" t="s">
        <v>139</v>
      </c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</row>
    <row r="69">
      <c r="A69" s="60">
        <v>45174.0</v>
      </c>
      <c r="B69" s="63" t="s">
        <v>43</v>
      </c>
      <c r="C69" s="41"/>
      <c r="D69" s="40">
        <v>3000.0</v>
      </c>
      <c r="E69" s="41">
        <f t="shared" ref="E69:E93" si="6">E68+D69</f>
        <v>6000</v>
      </c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</row>
    <row r="70">
      <c r="A70" s="60">
        <v>45175.0</v>
      </c>
      <c r="B70" s="63" t="s">
        <v>129</v>
      </c>
      <c r="C70" s="41"/>
      <c r="D70" s="40">
        <v>3000.0</v>
      </c>
      <c r="E70" s="41">
        <f t="shared" si="6"/>
        <v>9000</v>
      </c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</row>
    <row r="71">
      <c r="A71" s="60">
        <v>45176.0</v>
      </c>
      <c r="B71" s="63" t="s">
        <v>102</v>
      </c>
      <c r="C71" s="41"/>
      <c r="D71" s="40">
        <v>3000.0</v>
      </c>
      <c r="E71" s="41">
        <f t="shared" si="6"/>
        <v>12000</v>
      </c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</row>
    <row r="72">
      <c r="A72" s="60">
        <v>45177.0</v>
      </c>
      <c r="B72" s="63" t="s">
        <v>117</v>
      </c>
      <c r="C72" s="41"/>
      <c r="D72" s="40">
        <v>3000.0</v>
      </c>
      <c r="E72" s="41">
        <f t="shared" si="6"/>
        <v>15000</v>
      </c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</row>
    <row r="73">
      <c r="A73" s="60">
        <v>45178.0</v>
      </c>
      <c r="B73" s="63" t="s">
        <v>116</v>
      </c>
      <c r="C73" s="41"/>
      <c r="D73" s="40">
        <v>3000.0</v>
      </c>
      <c r="E73" s="41">
        <f t="shared" si="6"/>
        <v>18000</v>
      </c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</row>
    <row r="74">
      <c r="A74" s="60">
        <v>45179.0</v>
      </c>
      <c r="B74" s="63" t="s">
        <v>106</v>
      </c>
      <c r="C74" s="41"/>
      <c r="D74" s="40">
        <v>3000.0</v>
      </c>
      <c r="E74" s="41">
        <f t="shared" si="6"/>
        <v>21000</v>
      </c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</row>
    <row r="75">
      <c r="A75" s="60">
        <v>45180.0</v>
      </c>
      <c r="B75" s="69" t="s">
        <v>140</v>
      </c>
      <c r="C75" s="41"/>
      <c r="D75" s="40">
        <v>9000.0</v>
      </c>
      <c r="E75" s="41">
        <f t="shared" si="6"/>
        <v>30000</v>
      </c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</row>
    <row r="76">
      <c r="A76" s="60">
        <v>45181.0</v>
      </c>
      <c r="B76" s="63" t="s">
        <v>111</v>
      </c>
      <c r="C76" s="41"/>
      <c r="D76" s="40">
        <v>3000.0</v>
      </c>
      <c r="E76" s="41">
        <f t="shared" si="6"/>
        <v>33000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</row>
    <row r="77">
      <c r="A77" s="60">
        <v>45182.0</v>
      </c>
      <c r="B77" s="70" t="s">
        <v>40</v>
      </c>
      <c r="C77" s="41"/>
      <c r="D77" s="40">
        <v>3000.0</v>
      </c>
      <c r="E77" s="41">
        <f t="shared" si="6"/>
        <v>36000</v>
      </c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</row>
    <row r="78">
      <c r="A78" s="60">
        <v>45183.0</v>
      </c>
      <c r="B78" s="63" t="s">
        <v>49</v>
      </c>
      <c r="C78" s="41"/>
      <c r="D78" s="40">
        <v>6000.0</v>
      </c>
      <c r="E78" s="41">
        <f t="shared" si="6"/>
        <v>42000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</row>
    <row r="79">
      <c r="A79" s="60">
        <v>45184.0</v>
      </c>
      <c r="B79" s="67" t="s">
        <v>36</v>
      </c>
      <c r="C79" s="41"/>
      <c r="D79" s="40">
        <v>3000.0</v>
      </c>
      <c r="E79" s="41">
        <f t="shared" si="6"/>
        <v>45000</v>
      </c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</row>
    <row r="80">
      <c r="A80" s="60">
        <v>45185.0</v>
      </c>
      <c r="B80" s="63" t="s">
        <v>101</v>
      </c>
      <c r="C80" s="41"/>
      <c r="D80" s="40">
        <v>3000.0</v>
      </c>
      <c r="E80" s="41">
        <f t="shared" si="6"/>
        <v>48000</v>
      </c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</row>
    <row r="81">
      <c r="A81" s="60">
        <v>45186.0</v>
      </c>
      <c r="B81" s="40" t="s">
        <v>141</v>
      </c>
      <c r="C81" s="41"/>
      <c r="D81" s="40">
        <v>6000.0</v>
      </c>
      <c r="E81" s="41">
        <f t="shared" si="6"/>
        <v>54000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</row>
    <row r="82">
      <c r="A82" s="60">
        <v>45187.0</v>
      </c>
      <c r="B82" s="40" t="s">
        <v>119</v>
      </c>
      <c r="C82" s="41"/>
      <c r="D82" s="40">
        <v>3000.0</v>
      </c>
      <c r="E82" s="41">
        <f t="shared" si="6"/>
        <v>57000</v>
      </c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</row>
    <row r="83">
      <c r="A83" s="71">
        <v>45198.0</v>
      </c>
      <c r="B83" s="40" t="s">
        <v>142</v>
      </c>
      <c r="C83" s="41"/>
      <c r="D83" s="40">
        <v>3000.0</v>
      </c>
      <c r="E83" s="41">
        <f t="shared" si="6"/>
        <v>60000</v>
      </c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</row>
    <row r="84">
      <c r="A84" s="71">
        <v>45198.0</v>
      </c>
      <c r="B84" s="40" t="s">
        <v>143</v>
      </c>
      <c r="C84" s="41"/>
      <c r="D84" s="40">
        <v>3000.0</v>
      </c>
      <c r="E84" s="41">
        <f t="shared" si="6"/>
        <v>63000</v>
      </c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</row>
    <row r="85">
      <c r="A85" s="71">
        <v>45198.0</v>
      </c>
      <c r="B85" s="40" t="s">
        <v>117</v>
      </c>
      <c r="C85" s="41"/>
      <c r="D85" s="40">
        <v>3000.0</v>
      </c>
      <c r="E85" s="41">
        <f t="shared" si="6"/>
        <v>66000</v>
      </c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</row>
    <row r="86">
      <c r="A86" s="71">
        <v>45188.0</v>
      </c>
      <c r="B86" s="40" t="s">
        <v>95</v>
      </c>
      <c r="C86" s="41"/>
      <c r="D86" s="40">
        <v>3000.0</v>
      </c>
      <c r="E86" s="41">
        <f t="shared" si="6"/>
        <v>69000</v>
      </c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</row>
    <row r="87">
      <c r="A87" s="71">
        <v>45188.0</v>
      </c>
      <c r="B87" s="40" t="s">
        <v>126</v>
      </c>
      <c r="C87" s="41"/>
      <c r="D87" s="40">
        <v>3000.0</v>
      </c>
      <c r="E87" s="41">
        <f t="shared" si="6"/>
        <v>72000</v>
      </c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</row>
    <row r="88">
      <c r="A88" s="71">
        <v>45188.0</v>
      </c>
      <c r="B88" s="40" t="s">
        <v>46</v>
      </c>
      <c r="C88" s="41"/>
      <c r="D88" s="40">
        <v>3000.0</v>
      </c>
      <c r="E88" s="41">
        <f t="shared" si="6"/>
        <v>75000</v>
      </c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</row>
    <row r="89">
      <c r="A89" s="71">
        <v>45188.0</v>
      </c>
      <c r="B89" s="65" t="s">
        <v>108</v>
      </c>
      <c r="C89" s="41"/>
      <c r="D89" s="40">
        <v>3000.0</v>
      </c>
      <c r="E89" s="41">
        <f t="shared" si="6"/>
        <v>78000</v>
      </c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</row>
    <row r="90">
      <c r="A90" s="71">
        <v>45188.0</v>
      </c>
      <c r="B90" s="40" t="s">
        <v>144</v>
      </c>
      <c r="C90" s="41"/>
      <c r="D90" s="40">
        <v>2000.0</v>
      </c>
      <c r="E90" s="41">
        <f t="shared" si="6"/>
        <v>80000</v>
      </c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</row>
    <row r="91">
      <c r="A91" s="71">
        <v>45188.0</v>
      </c>
      <c r="B91" s="40" t="s">
        <v>140</v>
      </c>
      <c r="C91" s="41"/>
      <c r="D91" s="40">
        <v>3000.0</v>
      </c>
      <c r="E91" s="41">
        <f t="shared" si="6"/>
        <v>83000</v>
      </c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</row>
    <row r="92">
      <c r="A92" s="71">
        <v>45188.0</v>
      </c>
      <c r="B92" s="40" t="s">
        <v>145</v>
      </c>
      <c r="C92" s="41"/>
      <c r="D92" s="40">
        <v>6000.0</v>
      </c>
      <c r="E92" s="41">
        <f t="shared" si="6"/>
        <v>89000</v>
      </c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</row>
    <row r="93">
      <c r="A93" s="71">
        <v>45191.0</v>
      </c>
      <c r="B93" s="40" t="s">
        <v>146</v>
      </c>
      <c r="C93" s="41"/>
      <c r="D93" s="40">
        <v>3000.0</v>
      </c>
      <c r="E93" s="41">
        <f t="shared" si="6"/>
        <v>92000</v>
      </c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</row>
    <row r="94">
      <c r="A94" s="61"/>
      <c r="B94" s="62" t="s">
        <v>103</v>
      </c>
      <c r="C94" s="62">
        <v>92000.0</v>
      </c>
      <c r="D94" s="61"/>
      <c r="E94" s="61">
        <f>E93-C94</f>
        <v>0</v>
      </c>
      <c r="F94" s="61"/>
      <c r="G94" s="6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</row>
    <row r="96">
      <c r="A96" s="41"/>
      <c r="B96" s="41"/>
      <c r="C96" s="40" t="s">
        <v>10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</row>
    <row r="99">
      <c r="A99" s="60">
        <v>45204.0</v>
      </c>
      <c r="B99" s="63" t="s">
        <v>43</v>
      </c>
      <c r="C99" s="41"/>
      <c r="D99" s="40">
        <v>3000.0</v>
      </c>
      <c r="E99" s="40">
        <v>3000.0</v>
      </c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</row>
    <row r="100">
      <c r="A100" s="71">
        <v>45206.0</v>
      </c>
      <c r="B100" s="72" t="s">
        <v>117</v>
      </c>
      <c r="C100" s="41"/>
      <c r="D100" s="40">
        <v>3000.0</v>
      </c>
      <c r="E100" s="41">
        <f t="shared" ref="E100:E130" si="7">E99+D100</f>
        <v>6000</v>
      </c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</row>
    <row r="101">
      <c r="A101" s="71">
        <v>45206.0</v>
      </c>
      <c r="B101" s="73" t="s">
        <v>147</v>
      </c>
      <c r="C101" s="41"/>
      <c r="D101" s="40">
        <v>3000.0</v>
      </c>
      <c r="E101" s="41">
        <f t="shared" si="7"/>
        <v>9000</v>
      </c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</row>
    <row r="102">
      <c r="A102" s="71">
        <v>45206.0</v>
      </c>
      <c r="B102" s="63" t="s">
        <v>116</v>
      </c>
      <c r="C102" s="41"/>
      <c r="D102" s="40">
        <v>3000.0</v>
      </c>
      <c r="E102" s="41">
        <f t="shared" si="7"/>
        <v>12000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</row>
    <row r="103">
      <c r="A103" s="71">
        <v>45205.0</v>
      </c>
      <c r="B103" s="74" t="s">
        <v>129</v>
      </c>
      <c r="C103" s="41"/>
      <c r="D103" s="40">
        <v>3000.0</v>
      </c>
      <c r="E103" s="41">
        <f t="shared" si="7"/>
        <v>15000</v>
      </c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</row>
    <row r="104">
      <c r="A104" s="75">
        <v>45209.0</v>
      </c>
      <c r="B104" s="63" t="s">
        <v>101</v>
      </c>
      <c r="C104" s="41"/>
      <c r="D104" s="40">
        <v>3000.0</v>
      </c>
      <c r="E104" s="41">
        <f t="shared" si="7"/>
        <v>18000</v>
      </c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</row>
    <row r="105">
      <c r="A105" s="75">
        <v>45209.0</v>
      </c>
      <c r="B105" s="63" t="s">
        <v>48</v>
      </c>
      <c r="C105" s="41"/>
      <c r="D105" s="40">
        <v>3000.0</v>
      </c>
      <c r="E105" s="41">
        <f t="shared" si="7"/>
        <v>21000</v>
      </c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</row>
    <row r="106">
      <c r="A106" s="75">
        <v>45209.0</v>
      </c>
      <c r="B106" s="76" t="s">
        <v>36</v>
      </c>
      <c r="C106" s="41"/>
      <c r="D106" s="40">
        <v>3000.0</v>
      </c>
      <c r="E106" s="41">
        <f t="shared" si="7"/>
        <v>24000</v>
      </c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</row>
    <row r="107">
      <c r="A107" s="75">
        <v>45209.0</v>
      </c>
      <c r="B107" s="74" t="s">
        <v>102</v>
      </c>
      <c r="C107" s="41"/>
      <c r="D107" s="40">
        <v>3000.0</v>
      </c>
      <c r="E107" s="41">
        <f t="shared" si="7"/>
        <v>27000</v>
      </c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</row>
    <row r="108">
      <c r="A108" s="75">
        <v>45209.0</v>
      </c>
      <c r="B108" s="74" t="s">
        <v>138</v>
      </c>
      <c r="C108" s="41"/>
      <c r="D108" s="40">
        <v>3000.0</v>
      </c>
      <c r="E108" s="41">
        <f t="shared" si="7"/>
        <v>30000</v>
      </c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</row>
    <row r="109">
      <c r="A109" s="75">
        <v>45209.0</v>
      </c>
      <c r="B109" s="77" t="s">
        <v>40</v>
      </c>
      <c r="C109" s="41"/>
      <c r="D109" s="40">
        <v>3000.0</v>
      </c>
      <c r="E109" s="41">
        <f t="shared" si="7"/>
        <v>33000</v>
      </c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</row>
    <row r="110">
      <c r="A110" s="75">
        <v>45209.0</v>
      </c>
      <c r="B110" s="78" t="s">
        <v>113</v>
      </c>
      <c r="C110" s="41"/>
      <c r="D110" s="40">
        <v>6000.0</v>
      </c>
      <c r="E110" s="41">
        <f t="shared" si="7"/>
        <v>39000</v>
      </c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</row>
    <row r="111">
      <c r="A111" s="75">
        <v>45212.0</v>
      </c>
      <c r="B111" s="74" t="s">
        <v>148</v>
      </c>
      <c r="C111" s="41"/>
      <c r="D111" s="40">
        <v>3000.0</v>
      </c>
      <c r="E111" s="41">
        <f t="shared" si="7"/>
        <v>42000</v>
      </c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</row>
    <row r="112">
      <c r="A112" s="75">
        <v>45212.0</v>
      </c>
      <c r="B112" s="74" t="s">
        <v>134</v>
      </c>
      <c r="C112" s="41"/>
      <c r="D112" s="40">
        <v>3000.0</v>
      </c>
      <c r="E112" s="41">
        <f t="shared" si="7"/>
        <v>45000</v>
      </c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</row>
    <row r="113">
      <c r="A113" s="75">
        <v>45212.0</v>
      </c>
      <c r="B113" s="72" t="s">
        <v>106</v>
      </c>
      <c r="C113" s="41"/>
      <c r="D113" s="40">
        <v>3000.0</v>
      </c>
      <c r="E113" s="41">
        <f t="shared" si="7"/>
        <v>48000</v>
      </c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</row>
    <row r="114">
      <c r="A114" s="75">
        <v>45212.0</v>
      </c>
      <c r="B114" s="74" t="s">
        <v>46</v>
      </c>
      <c r="C114" s="41"/>
      <c r="D114" s="40">
        <v>3000.0</v>
      </c>
      <c r="E114" s="41">
        <f t="shared" si="7"/>
        <v>51000</v>
      </c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</row>
    <row r="115">
      <c r="A115" s="75">
        <v>45212.0</v>
      </c>
      <c r="B115" s="79" t="s">
        <v>108</v>
      </c>
      <c r="C115" s="41"/>
      <c r="D115" s="40">
        <v>3000.0</v>
      </c>
      <c r="E115" s="41">
        <f t="shared" si="7"/>
        <v>54000</v>
      </c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</row>
    <row r="116">
      <c r="A116" s="75">
        <v>45212.0</v>
      </c>
      <c r="B116" s="80" t="s">
        <v>42</v>
      </c>
      <c r="C116" s="41"/>
      <c r="D116" s="40">
        <v>6000.0</v>
      </c>
      <c r="E116" s="41">
        <f t="shared" si="7"/>
        <v>60000</v>
      </c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</row>
    <row r="117">
      <c r="A117" s="75">
        <v>45212.0</v>
      </c>
      <c r="B117" s="81" t="s">
        <v>45</v>
      </c>
      <c r="C117" s="41"/>
      <c r="D117" s="40">
        <v>6000.0</v>
      </c>
      <c r="E117" s="41">
        <f t="shared" si="7"/>
        <v>66000</v>
      </c>
      <c r="F117" s="40" t="s">
        <v>11</v>
      </c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</row>
    <row r="118">
      <c r="A118" s="75">
        <v>45212.0</v>
      </c>
      <c r="B118" s="63" t="s">
        <v>124</v>
      </c>
      <c r="C118" s="41"/>
      <c r="D118" s="40">
        <v>3000.0</v>
      </c>
      <c r="E118" s="41">
        <f t="shared" si="7"/>
        <v>69000</v>
      </c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</row>
    <row r="119">
      <c r="A119" s="75">
        <v>45212.0</v>
      </c>
      <c r="B119" s="82" t="s">
        <v>149</v>
      </c>
      <c r="C119" s="41"/>
      <c r="D119" s="40">
        <v>3000.0</v>
      </c>
      <c r="E119" s="40">
        <f t="shared" si="7"/>
        <v>72000</v>
      </c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</row>
    <row r="120">
      <c r="A120" s="75">
        <v>45216.0</v>
      </c>
      <c r="B120" s="63" t="s">
        <v>115</v>
      </c>
      <c r="C120" s="41"/>
      <c r="D120" s="40">
        <v>6000.0</v>
      </c>
      <c r="E120" s="40">
        <f t="shared" si="7"/>
        <v>78000</v>
      </c>
      <c r="F120" s="40" t="s">
        <v>150</v>
      </c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</row>
    <row r="121">
      <c r="A121" s="75">
        <v>45217.0</v>
      </c>
      <c r="B121" s="82" t="s">
        <v>119</v>
      </c>
      <c r="C121" s="41"/>
      <c r="D121" s="40">
        <v>3000.0</v>
      </c>
      <c r="E121" s="41">
        <f t="shared" si="7"/>
        <v>81000</v>
      </c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</row>
    <row r="122">
      <c r="A122" s="75">
        <v>45218.0</v>
      </c>
      <c r="B122" s="63" t="s">
        <v>99</v>
      </c>
      <c r="C122" s="41"/>
      <c r="D122" s="40">
        <v>3000.0</v>
      </c>
      <c r="E122" s="41">
        <f t="shared" si="7"/>
        <v>84000</v>
      </c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</row>
    <row r="123">
      <c r="A123" s="75">
        <v>45219.0</v>
      </c>
      <c r="B123" s="63" t="s">
        <v>133</v>
      </c>
      <c r="C123" s="41"/>
      <c r="D123" s="40">
        <v>2000.0</v>
      </c>
      <c r="E123" s="41">
        <f t="shared" si="7"/>
        <v>86000</v>
      </c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</row>
    <row r="124">
      <c r="A124" s="75">
        <v>45220.0</v>
      </c>
      <c r="B124" s="63" t="s">
        <v>111</v>
      </c>
      <c r="C124" s="41"/>
      <c r="D124" s="40">
        <v>3000.0</v>
      </c>
      <c r="E124" s="41">
        <f t="shared" si="7"/>
        <v>89000</v>
      </c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</row>
    <row r="125">
      <c r="A125" s="75">
        <v>45220.0</v>
      </c>
      <c r="B125" s="69" t="s">
        <v>41</v>
      </c>
      <c r="C125" s="41"/>
      <c r="D125" s="40">
        <v>6000.0</v>
      </c>
      <c r="E125" s="41">
        <f t="shared" si="7"/>
        <v>95000</v>
      </c>
      <c r="F125" s="40" t="s">
        <v>151</v>
      </c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</row>
    <row r="126">
      <c r="A126" s="75">
        <v>45230.0</v>
      </c>
      <c r="B126" s="63" t="s">
        <v>102</v>
      </c>
      <c r="C126" s="41"/>
      <c r="D126" s="40">
        <v>3000.0</v>
      </c>
      <c r="E126" s="41">
        <f t="shared" si="7"/>
        <v>98000</v>
      </c>
      <c r="F126" s="40" t="s">
        <v>152</v>
      </c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</row>
    <row r="127">
      <c r="A127" s="71">
        <v>45233.0</v>
      </c>
      <c r="B127" s="63" t="s">
        <v>134</v>
      </c>
      <c r="C127" s="41"/>
      <c r="D127" s="40">
        <v>3000.0</v>
      </c>
      <c r="E127" s="41">
        <f t="shared" si="7"/>
        <v>101000</v>
      </c>
      <c r="F127" s="40" t="s">
        <v>151</v>
      </c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</row>
    <row r="128">
      <c r="A128" s="71">
        <v>45233.0</v>
      </c>
      <c r="B128" s="63" t="s">
        <v>142</v>
      </c>
      <c r="C128" s="41"/>
      <c r="D128" s="40">
        <v>3000.0</v>
      </c>
      <c r="E128" s="41">
        <f t="shared" si="7"/>
        <v>104000</v>
      </c>
      <c r="F128" s="40" t="s">
        <v>151</v>
      </c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</row>
    <row r="129">
      <c r="A129" s="71">
        <v>45233.0</v>
      </c>
      <c r="B129" s="69" t="s">
        <v>41</v>
      </c>
      <c r="C129" s="41"/>
      <c r="D129" s="40">
        <v>3000.0</v>
      </c>
      <c r="E129" s="41">
        <f t="shared" si="7"/>
        <v>107000</v>
      </c>
      <c r="F129" s="40" t="s">
        <v>152</v>
      </c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</row>
    <row r="130">
      <c r="A130" s="83">
        <v>45226.0</v>
      </c>
      <c r="B130" s="84" t="s">
        <v>141</v>
      </c>
      <c r="C130" s="61"/>
      <c r="D130" s="62">
        <v>3000.0</v>
      </c>
      <c r="E130" s="61">
        <f t="shared" si="7"/>
        <v>110000</v>
      </c>
      <c r="F130" s="62" t="s">
        <v>151</v>
      </c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</row>
    <row r="131">
      <c r="A131" s="71"/>
      <c r="B131" s="70"/>
      <c r="C131" s="41"/>
      <c r="D131" s="40"/>
      <c r="E131" s="41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</row>
    <row r="132">
      <c r="A132" s="71">
        <v>45237.0</v>
      </c>
      <c r="B132" s="70" t="s">
        <v>40</v>
      </c>
      <c r="C132" s="41"/>
      <c r="D132" s="40">
        <v>3000.0</v>
      </c>
      <c r="E132" s="40">
        <v>3000.0</v>
      </c>
      <c r="F132" s="40" t="s">
        <v>152</v>
      </c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</row>
    <row r="133">
      <c r="A133" s="71">
        <v>45237.0</v>
      </c>
      <c r="B133" s="69" t="s">
        <v>95</v>
      </c>
      <c r="C133" s="41"/>
      <c r="D133" s="40">
        <v>3000.0</v>
      </c>
      <c r="E133" s="41">
        <f t="shared" ref="E133:E159" si="8">E132+D133</f>
        <v>6000</v>
      </c>
      <c r="F133" s="40" t="s">
        <v>151</v>
      </c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</row>
    <row r="134">
      <c r="A134" s="71">
        <v>45237.0</v>
      </c>
      <c r="B134" s="63" t="s">
        <v>129</v>
      </c>
      <c r="C134" s="41"/>
      <c r="D134" s="40">
        <v>3000.0</v>
      </c>
      <c r="E134" s="41">
        <f t="shared" si="8"/>
        <v>9000</v>
      </c>
      <c r="F134" s="40" t="s">
        <v>152</v>
      </c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</row>
    <row r="135">
      <c r="A135" s="71">
        <v>45237.0</v>
      </c>
      <c r="B135" s="67" t="s">
        <v>36</v>
      </c>
      <c r="C135" s="41"/>
      <c r="D135" s="40">
        <v>3000.0</v>
      </c>
      <c r="E135" s="41">
        <f t="shared" si="8"/>
        <v>12000</v>
      </c>
      <c r="F135" s="40" t="s">
        <v>152</v>
      </c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</row>
    <row r="136">
      <c r="A136" s="71">
        <v>45237.0</v>
      </c>
      <c r="B136" s="63" t="s">
        <v>116</v>
      </c>
      <c r="C136" s="41"/>
      <c r="D136" s="40">
        <v>3000.0</v>
      </c>
      <c r="E136" s="41">
        <f t="shared" si="8"/>
        <v>15000</v>
      </c>
      <c r="F136" s="40" t="s">
        <v>152</v>
      </c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</row>
    <row r="137">
      <c r="A137" s="71">
        <v>45237.0</v>
      </c>
      <c r="B137" s="63" t="s">
        <v>117</v>
      </c>
      <c r="C137" s="41"/>
      <c r="D137" s="40">
        <v>3000.0</v>
      </c>
      <c r="E137" s="41">
        <f t="shared" si="8"/>
        <v>18000</v>
      </c>
      <c r="F137" s="40" t="s">
        <v>152</v>
      </c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</row>
    <row r="138">
      <c r="A138" s="71">
        <v>45238.0</v>
      </c>
      <c r="B138" s="63" t="s">
        <v>46</v>
      </c>
      <c r="C138" s="41"/>
      <c r="D138" s="40">
        <v>3000.0</v>
      </c>
      <c r="E138" s="41">
        <f t="shared" si="8"/>
        <v>21000</v>
      </c>
      <c r="F138" s="40" t="s">
        <v>152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</row>
    <row r="139">
      <c r="A139" s="71">
        <v>45238.0</v>
      </c>
      <c r="B139" s="63" t="s">
        <v>101</v>
      </c>
      <c r="C139" s="41"/>
      <c r="D139" s="40">
        <v>3000.0</v>
      </c>
      <c r="E139" s="41">
        <f t="shared" si="8"/>
        <v>24000</v>
      </c>
      <c r="F139" s="40" t="s">
        <v>152</v>
      </c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</row>
    <row r="140">
      <c r="A140" s="71">
        <v>45239.0</v>
      </c>
      <c r="B140" s="66" t="s">
        <v>113</v>
      </c>
      <c r="C140" s="41"/>
      <c r="D140" s="40">
        <v>3000.0</v>
      </c>
      <c r="E140" s="41">
        <f t="shared" si="8"/>
        <v>27000</v>
      </c>
      <c r="F140" s="40" t="s">
        <v>152</v>
      </c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</row>
    <row r="141">
      <c r="A141" s="71">
        <v>45240.0</v>
      </c>
      <c r="B141" s="69" t="s">
        <v>140</v>
      </c>
      <c r="C141" s="41"/>
      <c r="D141" s="40">
        <v>6000.0</v>
      </c>
      <c r="E141" s="41">
        <f t="shared" si="8"/>
        <v>33000</v>
      </c>
      <c r="F141" s="40" t="s">
        <v>153</v>
      </c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</row>
    <row r="142">
      <c r="A142" s="71">
        <v>45240.0</v>
      </c>
      <c r="B142" s="63" t="s">
        <v>106</v>
      </c>
      <c r="C142" s="41"/>
      <c r="D142" s="40">
        <v>3000.0</v>
      </c>
      <c r="E142" s="41">
        <f t="shared" si="8"/>
        <v>36000</v>
      </c>
      <c r="F142" s="40" t="s">
        <v>152</v>
      </c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</row>
    <row r="143">
      <c r="A143" s="75">
        <v>45243.0</v>
      </c>
      <c r="B143" s="63" t="s">
        <v>48</v>
      </c>
      <c r="C143" s="41"/>
      <c r="D143" s="40">
        <v>3000.0</v>
      </c>
      <c r="E143" s="41">
        <f t="shared" si="8"/>
        <v>39000</v>
      </c>
      <c r="F143" s="40" t="s">
        <v>152</v>
      </c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</row>
    <row r="144">
      <c r="A144" s="75">
        <v>45243.0</v>
      </c>
      <c r="B144" s="63" t="s">
        <v>138</v>
      </c>
      <c r="C144" s="41"/>
      <c r="D144" s="40">
        <v>3000.0</v>
      </c>
      <c r="E144" s="41">
        <f t="shared" si="8"/>
        <v>42000</v>
      </c>
      <c r="F144" s="40" t="s">
        <v>152</v>
      </c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</row>
    <row r="145">
      <c r="A145" s="75">
        <v>45243.0</v>
      </c>
      <c r="B145" s="69" t="s">
        <v>42</v>
      </c>
      <c r="C145" s="41"/>
      <c r="D145" s="40">
        <v>3000.0</v>
      </c>
      <c r="E145" s="41">
        <f t="shared" si="8"/>
        <v>45000</v>
      </c>
      <c r="F145" s="40" t="s">
        <v>152</v>
      </c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</row>
    <row r="146">
      <c r="A146" s="75">
        <v>45246.0</v>
      </c>
      <c r="B146" s="63" t="s">
        <v>148</v>
      </c>
      <c r="C146" s="41"/>
      <c r="D146" s="40">
        <v>3000.0</v>
      </c>
      <c r="E146" s="41">
        <f t="shared" si="8"/>
        <v>48000</v>
      </c>
      <c r="F146" s="40" t="s">
        <v>152</v>
      </c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</row>
    <row r="147">
      <c r="A147" s="60">
        <v>45248.0</v>
      </c>
      <c r="B147" s="85" t="s">
        <v>43</v>
      </c>
      <c r="C147" s="41"/>
      <c r="D147" s="40">
        <v>3000.0</v>
      </c>
      <c r="E147" s="41">
        <f t="shared" si="8"/>
        <v>51000</v>
      </c>
      <c r="F147" s="40" t="s">
        <v>152</v>
      </c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</row>
    <row r="148">
      <c r="A148" s="75">
        <v>45251.0</v>
      </c>
      <c r="B148" s="65" t="s">
        <v>108</v>
      </c>
      <c r="C148" s="41"/>
      <c r="D148" s="40">
        <v>3000.0</v>
      </c>
      <c r="E148" s="41">
        <f t="shared" si="8"/>
        <v>54000</v>
      </c>
      <c r="F148" s="40" t="s">
        <v>154</v>
      </c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</row>
    <row r="149">
      <c r="A149" s="75">
        <v>45260.0</v>
      </c>
      <c r="B149" s="82" t="s">
        <v>119</v>
      </c>
      <c r="C149" s="41"/>
      <c r="D149" s="40">
        <v>3000.0</v>
      </c>
      <c r="E149" s="41">
        <f t="shared" si="8"/>
        <v>57000</v>
      </c>
      <c r="F149" s="40" t="s">
        <v>154</v>
      </c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</row>
    <row r="150">
      <c r="A150" s="71">
        <v>45263.0</v>
      </c>
      <c r="B150" s="63" t="s">
        <v>134</v>
      </c>
      <c r="C150" s="41"/>
      <c r="D150" s="40">
        <v>3000.0</v>
      </c>
      <c r="E150" s="41">
        <f t="shared" si="8"/>
        <v>60000</v>
      </c>
      <c r="F150" s="40" t="s">
        <v>152</v>
      </c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</row>
    <row r="151">
      <c r="A151" s="71">
        <v>45264.0</v>
      </c>
      <c r="B151" s="63" t="s">
        <v>126</v>
      </c>
      <c r="C151" s="41"/>
      <c r="D151" s="40">
        <v>6000.0</v>
      </c>
      <c r="E151" s="41">
        <f t="shared" si="8"/>
        <v>66000</v>
      </c>
      <c r="F151" s="40" t="s">
        <v>155</v>
      </c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</row>
    <row r="152">
      <c r="A152" s="71">
        <v>45264.0</v>
      </c>
      <c r="B152" s="63" t="s">
        <v>156</v>
      </c>
      <c r="C152" s="41"/>
      <c r="D152" s="40">
        <v>6000.0</v>
      </c>
      <c r="E152" s="41">
        <f t="shared" si="8"/>
        <v>72000</v>
      </c>
      <c r="F152" s="40" t="s">
        <v>157</v>
      </c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</row>
    <row r="153">
      <c r="A153" s="71">
        <v>45264.0</v>
      </c>
      <c r="B153" s="66" t="s">
        <v>113</v>
      </c>
      <c r="C153" s="41"/>
      <c r="D153" s="40">
        <v>3000.0</v>
      </c>
      <c r="E153" s="41">
        <f t="shared" si="8"/>
        <v>75000</v>
      </c>
      <c r="F153" s="40" t="s">
        <v>158</v>
      </c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</row>
    <row r="154">
      <c r="A154" s="71">
        <v>45266.0</v>
      </c>
      <c r="B154" s="63" t="s">
        <v>129</v>
      </c>
      <c r="C154" s="41"/>
      <c r="D154" s="40">
        <v>3000.0</v>
      </c>
      <c r="E154" s="41">
        <f t="shared" si="8"/>
        <v>78000</v>
      </c>
      <c r="F154" s="40" t="s">
        <v>158</v>
      </c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</row>
    <row r="155">
      <c r="A155" s="71">
        <v>45266.0</v>
      </c>
      <c r="B155" s="82" t="s">
        <v>119</v>
      </c>
      <c r="C155" s="41"/>
      <c r="D155" s="40">
        <v>3000.0</v>
      </c>
      <c r="E155" s="41">
        <f t="shared" si="8"/>
        <v>81000</v>
      </c>
      <c r="F155" s="40" t="s">
        <v>159</v>
      </c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</row>
    <row r="156">
      <c r="A156" s="71">
        <v>45266.0</v>
      </c>
      <c r="B156" s="63" t="s">
        <v>148</v>
      </c>
      <c r="C156" s="41"/>
      <c r="D156" s="40">
        <v>3000.0</v>
      </c>
      <c r="E156" s="41">
        <f t="shared" si="8"/>
        <v>84000</v>
      </c>
      <c r="F156" s="40" t="s">
        <v>159</v>
      </c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</row>
    <row r="157">
      <c r="A157" s="71">
        <v>45266.0</v>
      </c>
      <c r="B157" s="63" t="s">
        <v>45</v>
      </c>
      <c r="C157" s="41"/>
      <c r="D157" s="40">
        <v>6000.0</v>
      </c>
      <c r="E157" s="41">
        <f t="shared" si="8"/>
        <v>90000</v>
      </c>
      <c r="F157" s="40" t="s">
        <v>160</v>
      </c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</row>
    <row r="158">
      <c r="A158" s="71">
        <v>45266.0</v>
      </c>
      <c r="B158" s="63" t="s">
        <v>102</v>
      </c>
      <c r="C158" s="41"/>
      <c r="D158" s="40">
        <v>3000.0</v>
      </c>
      <c r="E158" s="41">
        <f t="shared" si="8"/>
        <v>93000</v>
      </c>
      <c r="F158" s="40" t="s">
        <v>159</v>
      </c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</row>
    <row r="159">
      <c r="A159" s="71">
        <v>45266.0</v>
      </c>
      <c r="B159" s="84" t="s">
        <v>133</v>
      </c>
      <c r="C159" s="61"/>
      <c r="D159" s="62">
        <v>2000.0</v>
      </c>
      <c r="E159" s="61">
        <f t="shared" si="8"/>
        <v>95000</v>
      </c>
      <c r="F159" s="40" t="s">
        <v>152</v>
      </c>
      <c r="G159" s="41"/>
      <c r="H159" s="41">
        <f>(98000)-(3000*7)-3350-2400-2000</f>
        <v>69250</v>
      </c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</row>
    <row r="160">
      <c r="A160" s="71"/>
      <c r="B160" s="74" t="s">
        <v>161</v>
      </c>
      <c r="C160" s="41"/>
      <c r="D160" s="40"/>
      <c r="E160" s="41"/>
      <c r="F160" s="40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</row>
    <row r="161">
      <c r="A161" s="71">
        <v>45266.0</v>
      </c>
      <c r="B161" s="63" t="s">
        <v>106</v>
      </c>
      <c r="C161" s="41"/>
      <c r="D161" s="40">
        <v>3000.0</v>
      </c>
      <c r="E161" s="40">
        <v>3000.0</v>
      </c>
      <c r="F161" s="40" t="s">
        <v>158</v>
      </c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</row>
    <row r="162">
      <c r="A162" s="75">
        <v>45270.0</v>
      </c>
      <c r="B162" s="69" t="s">
        <v>43</v>
      </c>
      <c r="C162" s="41"/>
      <c r="D162" s="40">
        <v>3000.0</v>
      </c>
      <c r="E162" s="41">
        <f t="shared" ref="E162:E177" si="9">E161+D162</f>
        <v>6000</v>
      </c>
      <c r="F162" s="40" t="s">
        <v>158</v>
      </c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</row>
    <row r="163">
      <c r="A163" s="75">
        <v>45270.0</v>
      </c>
      <c r="B163" s="69" t="s">
        <v>46</v>
      </c>
      <c r="C163" s="41"/>
      <c r="D163" s="40">
        <v>3000.0</v>
      </c>
      <c r="E163" s="41">
        <f t="shared" si="9"/>
        <v>9000</v>
      </c>
      <c r="F163" s="40" t="s">
        <v>158</v>
      </c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</row>
    <row r="164">
      <c r="A164" s="75">
        <v>45271.0</v>
      </c>
      <c r="B164" s="69" t="s">
        <v>142</v>
      </c>
      <c r="C164" s="41"/>
      <c r="D164" s="40">
        <v>3000.0</v>
      </c>
      <c r="E164" s="41">
        <f t="shared" si="9"/>
        <v>12000</v>
      </c>
      <c r="F164" s="40" t="s">
        <v>162</v>
      </c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</row>
    <row r="165">
      <c r="A165" s="75">
        <v>45272.0</v>
      </c>
      <c r="B165" s="69" t="s">
        <v>101</v>
      </c>
      <c r="C165" s="41"/>
      <c r="D165" s="40">
        <v>3000.0</v>
      </c>
      <c r="E165" s="41">
        <f t="shared" si="9"/>
        <v>15000</v>
      </c>
      <c r="F165" s="40" t="s">
        <v>158</v>
      </c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</row>
    <row r="166">
      <c r="A166" s="75">
        <v>45272.0</v>
      </c>
      <c r="B166" s="70" t="s">
        <v>40</v>
      </c>
      <c r="C166" s="41"/>
      <c r="D166" s="40">
        <v>3000.0</v>
      </c>
      <c r="E166" s="41">
        <f t="shared" si="9"/>
        <v>18000</v>
      </c>
      <c r="F166" s="40" t="s">
        <v>158</v>
      </c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</row>
    <row r="167">
      <c r="A167" s="75">
        <v>45272.0</v>
      </c>
      <c r="B167" s="73" t="s">
        <v>147</v>
      </c>
      <c r="C167" s="41"/>
      <c r="D167" s="40">
        <v>3000.0</v>
      </c>
      <c r="E167" s="41">
        <f t="shared" si="9"/>
        <v>21000</v>
      </c>
      <c r="F167" s="40" t="s">
        <v>163</v>
      </c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</row>
    <row r="168">
      <c r="A168" s="75">
        <v>45272.0</v>
      </c>
      <c r="B168" s="69" t="s">
        <v>116</v>
      </c>
      <c r="C168" s="41"/>
      <c r="D168" s="40">
        <v>3000.0</v>
      </c>
      <c r="E168" s="41">
        <f t="shared" si="9"/>
        <v>24000</v>
      </c>
      <c r="F168" s="40" t="s">
        <v>158</v>
      </c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</row>
    <row r="169">
      <c r="A169" s="75">
        <v>45272.0</v>
      </c>
      <c r="B169" s="69" t="s">
        <v>117</v>
      </c>
      <c r="C169" s="41"/>
      <c r="D169" s="40">
        <v>3000.0</v>
      </c>
      <c r="E169" s="41">
        <f t="shared" si="9"/>
        <v>27000</v>
      </c>
      <c r="F169" s="40" t="s">
        <v>158</v>
      </c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</row>
    <row r="170">
      <c r="A170" s="75">
        <v>45273.0</v>
      </c>
      <c r="B170" s="69" t="s">
        <v>41</v>
      </c>
      <c r="C170" s="41"/>
      <c r="D170" s="40">
        <v>3000.0</v>
      </c>
      <c r="E170" s="41">
        <f t="shared" si="9"/>
        <v>30000</v>
      </c>
      <c r="F170" s="40" t="s">
        <v>158</v>
      </c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</row>
    <row r="171">
      <c r="A171" s="75">
        <v>45273.0</v>
      </c>
      <c r="B171" s="69" t="s">
        <v>48</v>
      </c>
      <c r="C171" s="41"/>
      <c r="D171" s="40">
        <v>3000.0</v>
      </c>
      <c r="E171" s="41">
        <f t="shared" si="9"/>
        <v>33000</v>
      </c>
      <c r="F171" s="40" t="s">
        <v>158</v>
      </c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</row>
    <row r="172">
      <c r="A172" s="75">
        <v>45283.0</v>
      </c>
      <c r="B172" s="69" t="s">
        <v>138</v>
      </c>
      <c r="C172" s="41"/>
      <c r="D172" s="40">
        <v>3000.0</v>
      </c>
      <c r="E172" s="41">
        <f t="shared" si="9"/>
        <v>36000</v>
      </c>
      <c r="F172" s="40" t="s">
        <v>158</v>
      </c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</row>
    <row r="173">
      <c r="A173" s="75">
        <v>45290.0</v>
      </c>
      <c r="B173" s="69" t="s">
        <v>164</v>
      </c>
      <c r="C173" s="41"/>
      <c r="D173" s="40">
        <v>3000.0</v>
      </c>
      <c r="E173" s="41">
        <f t="shared" si="9"/>
        <v>39000</v>
      </c>
      <c r="F173" s="40" t="s">
        <v>3</v>
      </c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</row>
    <row r="174">
      <c r="A174" s="71">
        <v>45296.0</v>
      </c>
      <c r="B174" s="69" t="s">
        <v>140</v>
      </c>
      <c r="C174" s="41"/>
      <c r="D174" s="40">
        <v>3000.0</v>
      </c>
      <c r="E174" s="41">
        <f t="shared" si="9"/>
        <v>42000</v>
      </c>
      <c r="F174" s="40" t="s">
        <v>165</v>
      </c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</row>
    <row r="175">
      <c r="A175" s="71">
        <v>45296.0</v>
      </c>
      <c r="B175" s="69" t="s">
        <v>134</v>
      </c>
      <c r="C175" s="41"/>
      <c r="D175" s="40">
        <v>3000.0</v>
      </c>
      <c r="E175" s="41">
        <f t="shared" si="9"/>
        <v>45000</v>
      </c>
      <c r="F175" s="40" t="s">
        <v>158</v>
      </c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</row>
    <row r="176">
      <c r="A176" s="71">
        <v>45296.0</v>
      </c>
      <c r="B176" s="70" t="s">
        <v>40</v>
      </c>
      <c r="C176" s="41"/>
      <c r="D176" s="40">
        <v>3000.0</v>
      </c>
      <c r="E176" s="41">
        <f t="shared" si="9"/>
        <v>48000</v>
      </c>
      <c r="F176" s="40" t="s">
        <v>165</v>
      </c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</row>
    <row r="177">
      <c r="A177" s="86">
        <v>45296.0</v>
      </c>
      <c r="B177" s="84" t="s">
        <v>142</v>
      </c>
      <c r="C177" s="61"/>
      <c r="D177" s="62">
        <v>3000.0</v>
      </c>
      <c r="E177" s="61">
        <f t="shared" si="9"/>
        <v>51000</v>
      </c>
      <c r="F177" s="62" t="s">
        <v>158</v>
      </c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</row>
    <row r="178">
      <c r="A178" s="87" t="s">
        <v>166</v>
      </c>
      <c r="B178" s="7"/>
      <c r="C178" s="7"/>
      <c r="D178" s="7"/>
      <c r="E178" s="7"/>
      <c r="F178" s="8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</row>
    <row r="179">
      <c r="A179" s="71">
        <v>45300.0</v>
      </c>
      <c r="B179" s="63" t="s">
        <v>102</v>
      </c>
      <c r="C179" s="41"/>
      <c r="D179" s="40">
        <v>3000.0</v>
      </c>
      <c r="E179" s="40">
        <v>3000.0</v>
      </c>
      <c r="F179" s="40" t="s">
        <v>167</v>
      </c>
      <c r="G179" s="41"/>
      <c r="H179" s="41">
        <f>E179+D186+D190+D192+D194+D196+D197</f>
        <v>30000</v>
      </c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</row>
    <row r="180">
      <c r="A180" s="71">
        <v>45300.0</v>
      </c>
      <c r="B180" s="63" t="s">
        <v>129</v>
      </c>
      <c r="C180" s="41"/>
      <c r="D180" s="40">
        <v>3000.0</v>
      </c>
      <c r="E180" s="40">
        <f t="shared" ref="E180:E198" si="10">E179+D180</f>
        <v>6000</v>
      </c>
      <c r="F180" s="40" t="s">
        <v>165</v>
      </c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</row>
    <row r="181">
      <c r="A181" s="71">
        <v>45300.0</v>
      </c>
      <c r="B181" s="63" t="s">
        <v>148</v>
      </c>
      <c r="C181" s="41"/>
      <c r="D181" s="40">
        <v>3000.0</v>
      </c>
      <c r="E181" s="40">
        <f t="shared" si="10"/>
        <v>9000</v>
      </c>
      <c r="F181" s="40" t="s">
        <v>165</v>
      </c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</row>
    <row r="182">
      <c r="A182" s="71">
        <v>45300.0</v>
      </c>
      <c r="B182" s="63" t="s">
        <v>46</v>
      </c>
      <c r="C182" s="41"/>
      <c r="D182" s="40">
        <v>3000.0</v>
      </c>
      <c r="E182" s="40">
        <f t="shared" si="10"/>
        <v>12000</v>
      </c>
      <c r="F182" s="40" t="s">
        <v>165</v>
      </c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</row>
    <row r="183">
      <c r="A183" s="71">
        <v>45300.0</v>
      </c>
      <c r="B183" s="63" t="s">
        <v>156</v>
      </c>
      <c r="C183" s="41"/>
      <c r="D183" s="40">
        <v>3000.0</v>
      </c>
      <c r="E183" s="40">
        <f t="shared" si="10"/>
        <v>15000</v>
      </c>
      <c r="F183" s="40" t="s">
        <v>165</v>
      </c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</row>
    <row r="184">
      <c r="A184" s="71">
        <v>45300.0</v>
      </c>
      <c r="B184" s="63" t="s">
        <v>117</v>
      </c>
      <c r="C184" s="41"/>
      <c r="D184" s="40">
        <v>3000.0</v>
      </c>
      <c r="E184" s="40">
        <f t="shared" si="10"/>
        <v>18000</v>
      </c>
      <c r="F184" s="40" t="s">
        <v>165</v>
      </c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</row>
    <row r="185">
      <c r="A185" s="71">
        <v>45300.0</v>
      </c>
      <c r="B185" s="63" t="s">
        <v>116</v>
      </c>
      <c r="C185" s="41"/>
      <c r="D185" s="40">
        <v>3000.0</v>
      </c>
      <c r="E185" s="40">
        <f t="shared" si="10"/>
        <v>21000</v>
      </c>
      <c r="F185" s="40" t="s">
        <v>165</v>
      </c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</row>
    <row r="186">
      <c r="A186" s="75">
        <v>45302.0</v>
      </c>
      <c r="B186" s="63" t="s">
        <v>168</v>
      </c>
      <c r="C186" s="41"/>
      <c r="D186" s="40">
        <v>6000.0</v>
      </c>
      <c r="E186" s="40">
        <f t="shared" si="10"/>
        <v>27000</v>
      </c>
      <c r="F186" s="40" t="s">
        <v>169</v>
      </c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</row>
    <row r="187">
      <c r="A187" s="75">
        <v>45303.0</v>
      </c>
      <c r="B187" s="63" t="s">
        <v>106</v>
      </c>
      <c r="C187" s="41"/>
      <c r="D187" s="40">
        <v>3000.0</v>
      </c>
      <c r="E187" s="40">
        <f t="shared" si="10"/>
        <v>30000</v>
      </c>
      <c r="F187" s="40" t="s">
        <v>165</v>
      </c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</row>
    <row r="188">
      <c r="A188" s="75">
        <v>45303.0</v>
      </c>
      <c r="B188" s="63" t="s">
        <v>43</v>
      </c>
      <c r="C188" s="41"/>
      <c r="D188" s="40">
        <v>3000.0</v>
      </c>
      <c r="E188" s="40">
        <f t="shared" si="10"/>
        <v>33000</v>
      </c>
      <c r="F188" s="40" t="s">
        <v>165</v>
      </c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</row>
    <row r="189">
      <c r="A189" s="75">
        <v>45303.0</v>
      </c>
      <c r="B189" s="65" t="s">
        <v>108</v>
      </c>
      <c r="C189" s="41"/>
      <c r="D189" s="40">
        <v>3000.0</v>
      </c>
      <c r="E189" s="40">
        <f t="shared" si="10"/>
        <v>36000</v>
      </c>
      <c r="F189" s="40" t="s">
        <v>165</v>
      </c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</row>
    <row r="190">
      <c r="A190" s="71">
        <v>45292.0</v>
      </c>
      <c r="B190" s="63" t="s">
        <v>48</v>
      </c>
      <c r="C190" s="41"/>
      <c r="D190" s="40">
        <v>3000.0</v>
      </c>
      <c r="E190" s="40">
        <f t="shared" si="10"/>
        <v>39000</v>
      </c>
      <c r="F190" s="40" t="s">
        <v>167</v>
      </c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</row>
    <row r="191">
      <c r="A191" s="71">
        <v>45307.0</v>
      </c>
      <c r="B191" s="63" t="s">
        <v>101</v>
      </c>
      <c r="C191" s="41"/>
      <c r="D191" s="40">
        <v>3000.0</v>
      </c>
      <c r="E191" s="40">
        <f t="shared" si="10"/>
        <v>42000</v>
      </c>
      <c r="F191" s="40" t="s">
        <v>165</v>
      </c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</row>
    <row r="192">
      <c r="A192" s="71">
        <v>45308.0</v>
      </c>
      <c r="B192" s="73" t="s">
        <v>147</v>
      </c>
      <c r="C192" s="41"/>
      <c r="D192" s="40">
        <v>6000.0</v>
      </c>
      <c r="E192" s="40">
        <f t="shared" si="10"/>
        <v>48000</v>
      </c>
      <c r="F192" s="40" t="s">
        <v>170</v>
      </c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</row>
    <row r="193">
      <c r="A193" s="71">
        <v>45312.0</v>
      </c>
      <c r="B193" s="63" t="s">
        <v>45</v>
      </c>
      <c r="C193" s="41"/>
      <c r="D193" s="40">
        <v>6000.0</v>
      </c>
      <c r="E193" s="40">
        <f t="shared" si="10"/>
        <v>54000</v>
      </c>
      <c r="F193" s="40" t="s">
        <v>171</v>
      </c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</row>
    <row r="194">
      <c r="A194" s="71">
        <v>45314.0</v>
      </c>
      <c r="B194" s="63" t="s">
        <v>164</v>
      </c>
      <c r="C194" s="41"/>
      <c r="D194" s="40">
        <v>3000.0</v>
      </c>
      <c r="E194" s="40">
        <f t="shared" si="10"/>
        <v>57000</v>
      </c>
      <c r="F194" s="40" t="s">
        <v>172</v>
      </c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</row>
    <row r="195">
      <c r="A195" s="71">
        <v>45314.0</v>
      </c>
      <c r="B195" s="69" t="s">
        <v>41</v>
      </c>
      <c r="C195" s="41"/>
      <c r="D195" s="40">
        <v>3000.0</v>
      </c>
      <c r="E195" s="40">
        <f t="shared" si="10"/>
        <v>60000</v>
      </c>
      <c r="F195" s="40" t="s">
        <v>165</v>
      </c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</row>
    <row r="196">
      <c r="A196" s="71">
        <v>45318.0</v>
      </c>
      <c r="B196" s="63" t="s">
        <v>126</v>
      </c>
      <c r="C196" s="41"/>
      <c r="D196" s="40">
        <v>6000.0</v>
      </c>
      <c r="E196" s="40">
        <f t="shared" si="10"/>
        <v>66000</v>
      </c>
      <c r="F196" s="40" t="s">
        <v>173</v>
      </c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</row>
    <row r="197">
      <c r="A197" s="71">
        <v>45318.0</v>
      </c>
      <c r="B197" s="82" t="s">
        <v>119</v>
      </c>
      <c r="C197" s="41"/>
      <c r="D197" s="40">
        <v>3000.0</v>
      </c>
      <c r="E197" s="40">
        <f t="shared" si="10"/>
        <v>69000</v>
      </c>
      <c r="F197" s="40" t="s">
        <v>172</v>
      </c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</row>
    <row r="198">
      <c r="A198" s="86">
        <v>45323.0</v>
      </c>
      <c r="B198" s="84" t="s">
        <v>134</v>
      </c>
      <c r="C198" s="61"/>
      <c r="D198" s="62">
        <v>3000.0</v>
      </c>
      <c r="E198" s="62">
        <f t="shared" si="10"/>
        <v>72000</v>
      </c>
      <c r="F198" s="62" t="s">
        <v>165</v>
      </c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</row>
    <row r="199">
      <c r="A199" s="71">
        <v>45329.0</v>
      </c>
      <c r="B199" s="69" t="s">
        <v>174</v>
      </c>
      <c r="C199" s="41"/>
      <c r="D199" s="40">
        <v>3000.0</v>
      </c>
      <c r="E199" s="40">
        <v>3000.0</v>
      </c>
      <c r="F199" s="40" t="s">
        <v>175</v>
      </c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</row>
    <row r="200">
      <c r="A200" s="71">
        <v>45329.0</v>
      </c>
      <c r="B200" s="70" t="s">
        <v>176</v>
      </c>
      <c r="C200" s="41"/>
      <c r="D200" s="40">
        <v>3000.0</v>
      </c>
      <c r="E200" s="40">
        <f t="shared" ref="E200:E219" si="11">E199+D200</f>
        <v>6000</v>
      </c>
      <c r="F200" s="40" t="s">
        <v>177</v>
      </c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</row>
    <row r="201">
      <c r="A201" s="71">
        <v>45329.0</v>
      </c>
      <c r="B201" s="69" t="s">
        <v>43</v>
      </c>
      <c r="C201" s="41"/>
      <c r="D201" s="40">
        <v>3000.0</v>
      </c>
      <c r="E201" s="40">
        <f t="shared" si="11"/>
        <v>9000</v>
      </c>
      <c r="F201" s="40" t="s">
        <v>178</v>
      </c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</row>
    <row r="202">
      <c r="A202" s="71">
        <v>45329.0</v>
      </c>
      <c r="B202" s="69" t="s">
        <v>133</v>
      </c>
      <c r="C202" s="41"/>
      <c r="D202" s="40">
        <v>2000.0</v>
      </c>
      <c r="E202" s="40">
        <f t="shared" si="11"/>
        <v>11000</v>
      </c>
      <c r="F202" s="40" t="s">
        <v>179</v>
      </c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</row>
    <row r="203">
      <c r="A203" s="71">
        <v>45329.0</v>
      </c>
      <c r="B203" s="69" t="s">
        <v>129</v>
      </c>
      <c r="C203" s="41"/>
      <c r="D203" s="40">
        <v>3000.0</v>
      </c>
      <c r="E203" s="40">
        <f t="shared" si="11"/>
        <v>14000</v>
      </c>
      <c r="F203" s="40" t="s">
        <v>178</v>
      </c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</row>
    <row r="204">
      <c r="A204" s="71">
        <v>45329.0</v>
      </c>
      <c r="B204" s="69" t="s">
        <v>142</v>
      </c>
      <c r="C204" s="41"/>
      <c r="D204" s="40">
        <v>3000.0</v>
      </c>
      <c r="E204" s="40">
        <f t="shared" si="11"/>
        <v>17000</v>
      </c>
      <c r="F204" s="40" t="s">
        <v>180</v>
      </c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</row>
    <row r="205">
      <c r="A205" s="71">
        <v>45331.0</v>
      </c>
      <c r="B205" s="69" t="s">
        <v>148</v>
      </c>
      <c r="C205" s="41"/>
      <c r="D205" s="40">
        <v>3000.0</v>
      </c>
      <c r="E205" s="40">
        <f t="shared" si="11"/>
        <v>20000</v>
      </c>
      <c r="F205" s="40" t="s">
        <v>178</v>
      </c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</row>
    <row r="206">
      <c r="A206" s="71">
        <v>45331.0</v>
      </c>
      <c r="B206" s="69" t="s">
        <v>46</v>
      </c>
      <c r="C206" s="41"/>
      <c r="D206" s="40">
        <v>3000.0</v>
      </c>
      <c r="E206" s="40">
        <f t="shared" si="11"/>
        <v>23000</v>
      </c>
      <c r="F206" s="40" t="s">
        <v>178</v>
      </c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</row>
    <row r="207">
      <c r="A207" s="71">
        <v>45331.0</v>
      </c>
      <c r="B207" s="69" t="s">
        <v>181</v>
      </c>
      <c r="C207" s="41"/>
      <c r="D207" s="40">
        <v>3000.0</v>
      </c>
      <c r="E207" s="40">
        <f t="shared" si="11"/>
        <v>26000</v>
      </c>
      <c r="F207" s="40" t="s">
        <v>180</v>
      </c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</row>
    <row r="208">
      <c r="A208" s="71">
        <v>45332.0</v>
      </c>
      <c r="B208" s="69" t="s">
        <v>40</v>
      </c>
      <c r="C208" s="41"/>
      <c r="D208" s="40">
        <v>3000.0</v>
      </c>
      <c r="E208" s="40">
        <f t="shared" si="11"/>
        <v>29000</v>
      </c>
      <c r="F208" s="40" t="s">
        <v>178</v>
      </c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</row>
    <row r="209">
      <c r="A209" s="71">
        <v>45333.0</v>
      </c>
      <c r="B209" s="69" t="s">
        <v>106</v>
      </c>
      <c r="C209" s="41"/>
      <c r="D209" s="40">
        <v>3000.0</v>
      </c>
      <c r="E209" s="40">
        <f t="shared" si="11"/>
        <v>32000</v>
      </c>
      <c r="F209" s="40" t="s">
        <v>178</v>
      </c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</row>
    <row r="210">
      <c r="A210" s="71">
        <v>45333.0</v>
      </c>
      <c r="B210" s="67" t="s">
        <v>36</v>
      </c>
      <c r="C210" s="41"/>
      <c r="D210" s="40">
        <v>3000.0</v>
      </c>
      <c r="E210" s="40">
        <f t="shared" si="11"/>
        <v>35000</v>
      </c>
      <c r="F210" s="40" t="s">
        <v>182</v>
      </c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</row>
    <row r="211">
      <c r="A211" s="71">
        <v>45342.0</v>
      </c>
      <c r="B211" s="69" t="s">
        <v>156</v>
      </c>
      <c r="C211" s="41"/>
      <c r="D211" s="40">
        <v>3000.0</v>
      </c>
      <c r="E211" s="40">
        <f t="shared" si="11"/>
        <v>38000</v>
      </c>
      <c r="F211" s="40" t="s">
        <v>178</v>
      </c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</row>
    <row r="212">
      <c r="A212" s="71">
        <v>45349.0</v>
      </c>
      <c r="B212" s="69" t="s">
        <v>183</v>
      </c>
      <c r="C212" s="41"/>
      <c r="D212" s="40">
        <v>6000.0</v>
      </c>
      <c r="E212" s="40">
        <f t="shared" si="11"/>
        <v>44000</v>
      </c>
      <c r="F212" s="49" t="s">
        <v>184</v>
      </c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</row>
    <row r="213">
      <c r="A213" s="71">
        <v>45350.0</v>
      </c>
      <c r="B213" s="69" t="s">
        <v>116</v>
      </c>
      <c r="C213" s="41"/>
      <c r="D213" s="40">
        <v>3000.0</v>
      </c>
      <c r="E213" s="40">
        <f t="shared" si="11"/>
        <v>47000</v>
      </c>
      <c r="F213" s="40" t="s">
        <v>185</v>
      </c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</row>
    <row r="214">
      <c r="A214" s="71">
        <v>45350.0</v>
      </c>
      <c r="B214" s="69" t="s">
        <v>117</v>
      </c>
      <c r="C214" s="41"/>
      <c r="D214" s="40">
        <v>3000.0</v>
      </c>
      <c r="E214" s="40">
        <f t="shared" si="11"/>
        <v>50000</v>
      </c>
      <c r="F214" s="40" t="s">
        <v>185</v>
      </c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</row>
    <row r="215">
      <c r="A215" s="71">
        <v>45350.0</v>
      </c>
      <c r="B215" s="69" t="s">
        <v>48</v>
      </c>
      <c r="C215" s="41"/>
      <c r="D215" s="40">
        <v>3000.0</v>
      </c>
      <c r="E215" s="40">
        <f t="shared" si="11"/>
        <v>53000</v>
      </c>
      <c r="F215" s="40" t="s">
        <v>186</v>
      </c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</row>
    <row r="216">
      <c r="A216" s="40" t="s">
        <v>187</v>
      </c>
      <c r="B216" s="69" t="s">
        <v>164</v>
      </c>
      <c r="C216" s="41"/>
      <c r="D216" s="40">
        <v>3000.0</v>
      </c>
      <c r="E216" s="40">
        <f t="shared" si="11"/>
        <v>56000</v>
      </c>
      <c r="F216" s="40" t="s">
        <v>185</v>
      </c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</row>
    <row r="217">
      <c r="A217" s="40" t="s">
        <v>188</v>
      </c>
      <c r="B217" s="69" t="s">
        <v>189</v>
      </c>
      <c r="C217" s="41"/>
      <c r="D217" s="40">
        <v>3000.0</v>
      </c>
      <c r="E217" s="40">
        <f t="shared" si="11"/>
        <v>59000</v>
      </c>
      <c r="F217" s="40" t="s">
        <v>3</v>
      </c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</row>
    <row r="218">
      <c r="A218" s="41"/>
      <c r="B218" s="63" t="s">
        <v>190</v>
      </c>
      <c r="C218" s="41"/>
      <c r="D218" s="40">
        <v>3000.0</v>
      </c>
      <c r="E218" s="40">
        <f t="shared" si="11"/>
        <v>62000</v>
      </c>
      <c r="F218" s="40" t="s">
        <v>14</v>
      </c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</row>
    <row r="219">
      <c r="A219" s="41"/>
      <c r="B219" s="40" t="s">
        <v>191</v>
      </c>
      <c r="C219" s="41"/>
      <c r="D219" s="40">
        <v>3000.0</v>
      </c>
      <c r="E219" s="41">
        <f t="shared" si="11"/>
        <v>65000</v>
      </c>
      <c r="F219" s="40" t="s">
        <v>192</v>
      </c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</row>
    <row r="220">
      <c r="A220" s="61"/>
      <c r="B220" s="61"/>
      <c r="C220" s="61"/>
      <c r="D220" s="61"/>
      <c r="E220" s="61"/>
      <c r="F220" s="61"/>
      <c r="G220" s="6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</row>
    <row r="222">
      <c r="A222" s="40" t="s">
        <v>193</v>
      </c>
      <c r="B222" s="63" t="s">
        <v>43</v>
      </c>
      <c r="C222" s="41"/>
      <c r="D222" s="40">
        <v>3000.0</v>
      </c>
      <c r="E222" s="40">
        <f>D222+D221</f>
        <v>3000</v>
      </c>
      <c r="F222" s="40" t="s">
        <v>194</v>
      </c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</row>
    <row r="223">
      <c r="A223" s="40" t="s">
        <v>195</v>
      </c>
      <c r="B223" s="69" t="s">
        <v>40</v>
      </c>
      <c r="C223" s="41"/>
      <c r="D223" s="40">
        <v>3000.0</v>
      </c>
      <c r="E223" s="40">
        <f t="shared" ref="E223:E234" si="12">D223+E222</f>
        <v>6000</v>
      </c>
      <c r="F223" s="40" t="s">
        <v>194</v>
      </c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</row>
    <row r="224">
      <c r="A224" s="40" t="s">
        <v>196</v>
      </c>
      <c r="B224" s="63" t="s">
        <v>102</v>
      </c>
      <c r="C224" s="41"/>
      <c r="D224" s="40">
        <v>3000.0</v>
      </c>
      <c r="E224" s="40">
        <f t="shared" si="12"/>
        <v>9000</v>
      </c>
      <c r="F224" s="40" t="s">
        <v>186</v>
      </c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</row>
    <row r="225">
      <c r="A225" s="40" t="s">
        <v>193</v>
      </c>
      <c r="B225" s="65" t="s">
        <v>108</v>
      </c>
      <c r="C225" s="41"/>
      <c r="D225" s="40">
        <v>3000.0</v>
      </c>
      <c r="E225" s="40">
        <f t="shared" si="12"/>
        <v>12000</v>
      </c>
      <c r="F225" s="40" t="s">
        <v>197</v>
      </c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</row>
    <row r="226">
      <c r="A226" s="40" t="s">
        <v>198</v>
      </c>
      <c r="B226" s="63" t="s">
        <v>189</v>
      </c>
      <c r="C226" s="41"/>
      <c r="D226" s="40">
        <v>3000.0</v>
      </c>
      <c r="E226" s="40">
        <f t="shared" si="12"/>
        <v>15000</v>
      </c>
      <c r="F226" s="40" t="s">
        <v>194</v>
      </c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</row>
    <row r="227">
      <c r="A227" s="40" t="s">
        <v>198</v>
      </c>
      <c r="B227" s="69" t="s">
        <v>41</v>
      </c>
      <c r="C227" s="41"/>
      <c r="D227" s="40">
        <v>6000.0</v>
      </c>
      <c r="E227" s="40">
        <f t="shared" si="12"/>
        <v>21000</v>
      </c>
      <c r="F227" s="40" t="s">
        <v>199</v>
      </c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</row>
    <row r="228">
      <c r="A228" s="40" t="s">
        <v>198</v>
      </c>
      <c r="B228" s="63" t="s">
        <v>200</v>
      </c>
      <c r="C228" s="41"/>
      <c r="D228" s="40">
        <v>6000.0</v>
      </c>
      <c r="E228" s="40">
        <f t="shared" si="12"/>
        <v>27000</v>
      </c>
      <c r="F228" s="40" t="s">
        <v>201</v>
      </c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</row>
    <row r="229">
      <c r="A229" s="40" t="s">
        <v>202</v>
      </c>
      <c r="B229" s="63" t="s">
        <v>106</v>
      </c>
      <c r="C229" s="41"/>
      <c r="D229" s="40">
        <v>3000.0</v>
      </c>
      <c r="E229" s="40">
        <f t="shared" si="12"/>
        <v>30000</v>
      </c>
      <c r="F229" s="40" t="s">
        <v>203</v>
      </c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</row>
    <row r="230">
      <c r="A230" s="40" t="s">
        <v>204</v>
      </c>
      <c r="B230" s="63" t="s">
        <v>148</v>
      </c>
      <c r="C230" s="41"/>
      <c r="D230" s="40">
        <v>3000.0</v>
      </c>
      <c r="E230" s="40">
        <f t="shared" si="12"/>
        <v>33000</v>
      </c>
      <c r="F230" s="40" t="s">
        <v>203</v>
      </c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</row>
    <row r="231">
      <c r="A231" s="40" t="s">
        <v>204</v>
      </c>
      <c r="B231" s="63" t="s">
        <v>119</v>
      </c>
      <c r="C231" s="41"/>
      <c r="D231" s="40">
        <v>6000.0</v>
      </c>
      <c r="E231" s="40">
        <f t="shared" si="12"/>
        <v>39000</v>
      </c>
      <c r="F231" s="40" t="s">
        <v>205</v>
      </c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</row>
    <row r="232">
      <c r="A232" s="40" t="s">
        <v>206</v>
      </c>
      <c r="B232" s="69" t="s">
        <v>95</v>
      </c>
      <c r="C232" s="41"/>
      <c r="D232" s="40">
        <v>3000.0</v>
      </c>
      <c r="E232" s="40">
        <f t="shared" si="12"/>
        <v>42000</v>
      </c>
      <c r="F232" s="40" t="s">
        <v>207</v>
      </c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</row>
    <row r="233">
      <c r="A233" s="40" t="s">
        <v>206</v>
      </c>
      <c r="B233" s="63" t="s">
        <v>156</v>
      </c>
      <c r="C233" s="41"/>
      <c r="D233" s="40">
        <v>3000.0</v>
      </c>
      <c r="E233" s="40">
        <f t="shared" si="12"/>
        <v>45000</v>
      </c>
      <c r="F233" s="40" t="s">
        <v>203</v>
      </c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</row>
    <row r="234">
      <c r="A234" s="40" t="s">
        <v>208</v>
      </c>
      <c r="B234" s="63" t="s">
        <v>48</v>
      </c>
      <c r="C234" s="41"/>
      <c r="D234" s="40">
        <v>3000.0</v>
      </c>
      <c r="E234" s="40">
        <f t="shared" si="12"/>
        <v>48000</v>
      </c>
      <c r="F234" s="40" t="s">
        <v>209</v>
      </c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</row>
    <row r="236">
      <c r="A236" s="82" t="s">
        <v>210</v>
      </c>
      <c r="B236" s="63" t="s">
        <v>45</v>
      </c>
      <c r="C236" s="88"/>
      <c r="D236" s="82">
        <v>6000.0</v>
      </c>
      <c r="E236" s="88">
        <f>D236+D235</f>
        <v>6000</v>
      </c>
      <c r="F236" s="82" t="s">
        <v>211</v>
      </c>
      <c r="G236" s="88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</row>
    <row r="237">
      <c r="A237" s="82" t="s">
        <v>212</v>
      </c>
      <c r="B237" s="63" t="s">
        <v>43</v>
      </c>
      <c r="C237" s="88"/>
      <c r="D237" s="82">
        <v>3000.0</v>
      </c>
      <c r="E237" s="88">
        <f t="shared" ref="E237:E243" si="13">D237+E236</f>
        <v>9000</v>
      </c>
      <c r="F237" s="82" t="s">
        <v>213</v>
      </c>
      <c r="G237" s="88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</row>
    <row r="238">
      <c r="A238" s="82" t="s">
        <v>212</v>
      </c>
      <c r="B238" s="69" t="s">
        <v>40</v>
      </c>
      <c r="C238" s="88"/>
      <c r="D238" s="82">
        <v>3000.0</v>
      </c>
      <c r="E238" s="88">
        <f t="shared" si="13"/>
        <v>12000</v>
      </c>
      <c r="F238" s="82" t="s">
        <v>213</v>
      </c>
      <c r="G238" s="88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</row>
    <row r="239">
      <c r="A239" s="82" t="s">
        <v>214</v>
      </c>
      <c r="B239" s="63" t="s">
        <v>215</v>
      </c>
      <c r="C239" s="88"/>
      <c r="D239" s="82">
        <v>6000.0</v>
      </c>
      <c r="E239" s="88">
        <f t="shared" si="13"/>
        <v>18000</v>
      </c>
      <c r="F239" s="82" t="s">
        <v>216</v>
      </c>
      <c r="G239" s="88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</row>
    <row r="240">
      <c r="A240" s="82" t="s">
        <v>217</v>
      </c>
      <c r="B240" s="63" t="s">
        <v>148</v>
      </c>
      <c r="C240" s="88"/>
      <c r="D240" s="82">
        <v>3000.0</v>
      </c>
      <c r="E240" s="88">
        <f t="shared" si="13"/>
        <v>21000</v>
      </c>
      <c r="F240" s="82" t="s">
        <v>213</v>
      </c>
      <c r="G240" s="88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</row>
    <row r="241">
      <c r="A241" s="82" t="s">
        <v>218</v>
      </c>
      <c r="B241" s="63" t="s">
        <v>129</v>
      </c>
      <c r="C241" s="88"/>
      <c r="D241" s="82">
        <v>3000.0</v>
      </c>
      <c r="E241" s="88">
        <f t="shared" si="13"/>
        <v>24000</v>
      </c>
      <c r="F241" s="82" t="s">
        <v>213</v>
      </c>
      <c r="G241" s="88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</row>
    <row r="242">
      <c r="A242" s="82" t="s">
        <v>219</v>
      </c>
      <c r="B242" s="63" t="s">
        <v>126</v>
      </c>
      <c r="C242" s="88"/>
      <c r="D242" s="82">
        <v>6000.0</v>
      </c>
      <c r="E242" s="88">
        <f t="shared" si="13"/>
        <v>30000</v>
      </c>
      <c r="F242" s="82" t="s">
        <v>220</v>
      </c>
      <c r="G242" s="88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</row>
    <row r="243">
      <c r="A243" s="82" t="s">
        <v>221</v>
      </c>
      <c r="B243" s="63" t="s">
        <v>222</v>
      </c>
      <c r="C243" s="88"/>
      <c r="D243" s="82">
        <v>6000.0</v>
      </c>
      <c r="E243" s="88">
        <f t="shared" si="13"/>
        <v>36000</v>
      </c>
      <c r="F243" s="82" t="s">
        <v>216</v>
      </c>
      <c r="G243" s="88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</row>
    <row r="244">
      <c r="A244" s="89">
        <v>45409.0</v>
      </c>
      <c r="B244" s="90" t="s">
        <v>223</v>
      </c>
      <c r="C244" s="88"/>
      <c r="D244" s="82">
        <v>3000.0</v>
      </c>
      <c r="E244" s="88">
        <f t="shared" ref="E244:E264" si="14">E243+D244-C244</f>
        <v>39000</v>
      </c>
      <c r="F244" s="82" t="s">
        <v>224</v>
      </c>
      <c r="G244" s="88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</row>
    <row r="245">
      <c r="A245" s="82" t="s">
        <v>225</v>
      </c>
      <c r="B245" s="82" t="s">
        <v>226</v>
      </c>
      <c r="C245" s="82">
        <v>600.0</v>
      </c>
      <c r="D245" s="88"/>
      <c r="E245" s="88">
        <f t="shared" si="14"/>
        <v>38400</v>
      </c>
      <c r="F245" s="82" t="s">
        <v>227</v>
      </c>
      <c r="G245" s="88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</row>
    <row r="246">
      <c r="A246" s="82" t="s">
        <v>228</v>
      </c>
      <c r="B246" s="82" t="s">
        <v>229</v>
      </c>
      <c r="C246" s="82">
        <v>2000.0</v>
      </c>
      <c r="D246" s="88"/>
      <c r="E246" s="88">
        <f t="shared" si="14"/>
        <v>36400</v>
      </c>
      <c r="F246" s="88"/>
      <c r="G246" s="88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</row>
    <row r="247">
      <c r="A247" s="82" t="s">
        <v>228</v>
      </c>
      <c r="B247" s="82" t="s">
        <v>230</v>
      </c>
      <c r="C247" s="82">
        <v>3000.0</v>
      </c>
      <c r="D247" s="88"/>
      <c r="E247" s="88">
        <f t="shared" si="14"/>
        <v>33400</v>
      </c>
      <c r="F247" s="82" t="s">
        <v>231</v>
      </c>
      <c r="G247" s="88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</row>
    <row r="248">
      <c r="A248" s="82" t="s">
        <v>232</v>
      </c>
      <c r="B248" s="82" t="s">
        <v>233</v>
      </c>
      <c r="C248" s="82">
        <v>2500.0</v>
      </c>
      <c r="D248" s="88"/>
      <c r="E248" s="88">
        <f t="shared" si="14"/>
        <v>30900</v>
      </c>
      <c r="F248" s="82" t="s">
        <v>234</v>
      </c>
      <c r="G248" s="88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</row>
    <row r="249">
      <c r="A249" s="82" t="s">
        <v>232</v>
      </c>
      <c r="B249" s="82" t="s">
        <v>235</v>
      </c>
      <c r="C249" s="82">
        <v>1000.0</v>
      </c>
      <c r="D249" s="88"/>
      <c r="E249" s="88">
        <f t="shared" si="14"/>
        <v>29900</v>
      </c>
      <c r="F249" s="82" t="s">
        <v>236</v>
      </c>
      <c r="G249" s="88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</row>
    <row r="250">
      <c r="A250" s="82" t="s">
        <v>232</v>
      </c>
      <c r="B250" s="82" t="s">
        <v>237</v>
      </c>
      <c r="C250" s="82">
        <v>1500.0</v>
      </c>
      <c r="D250" s="88"/>
      <c r="E250" s="88">
        <f t="shared" si="14"/>
        <v>28400</v>
      </c>
      <c r="F250" s="82" t="s">
        <v>238</v>
      </c>
      <c r="G250" s="88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</row>
    <row r="251">
      <c r="A251" s="82" t="s">
        <v>228</v>
      </c>
      <c r="B251" s="82" t="s">
        <v>239</v>
      </c>
      <c r="C251" s="88"/>
      <c r="D251" s="82">
        <v>3000.0</v>
      </c>
      <c r="E251" s="88">
        <f t="shared" si="14"/>
        <v>31400</v>
      </c>
      <c r="F251" s="82" t="s">
        <v>240</v>
      </c>
      <c r="G251" s="88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</row>
    <row r="252">
      <c r="A252" s="82" t="s">
        <v>241</v>
      </c>
      <c r="B252" s="63" t="s">
        <v>164</v>
      </c>
      <c r="C252" s="88"/>
      <c r="D252" s="82">
        <v>9000.0</v>
      </c>
      <c r="E252" s="88">
        <f t="shared" si="14"/>
        <v>40400</v>
      </c>
      <c r="F252" s="91" t="s">
        <v>242</v>
      </c>
      <c r="G252" s="8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</row>
    <row r="253">
      <c r="A253" s="82" t="s">
        <v>241</v>
      </c>
      <c r="B253" s="63" t="s">
        <v>176</v>
      </c>
      <c r="C253" s="88"/>
      <c r="D253" s="82">
        <v>9000.0</v>
      </c>
      <c r="E253" s="88">
        <f t="shared" si="14"/>
        <v>49400</v>
      </c>
      <c r="F253" s="91" t="s">
        <v>243</v>
      </c>
      <c r="G253" s="8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</row>
    <row r="254">
      <c r="A254" s="82" t="s">
        <v>241</v>
      </c>
      <c r="B254" s="63" t="s">
        <v>106</v>
      </c>
      <c r="C254" s="88"/>
      <c r="D254" s="82">
        <v>3000.0</v>
      </c>
      <c r="E254" s="88">
        <f t="shared" si="14"/>
        <v>52400</v>
      </c>
      <c r="F254" s="82" t="s">
        <v>244</v>
      </c>
      <c r="G254" s="88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</row>
    <row r="255">
      <c r="A255" s="82" t="s">
        <v>241</v>
      </c>
      <c r="B255" s="82" t="s">
        <v>245</v>
      </c>
      <c r="C255" s="82">
        <v>5000.0</v>
      </c>
      <c r="D255" s="88"/>
      <c r="E255" s="88">
        <f t="shared" si="14"/>
        <v>47400</v>
      </c>
      <c r="F255" s="82" t="s">
        <v>246</v>
      </c>
      <c r="G255" s="88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</row>
    <row r="256">
      <c r="A256" s="82" t="s">
        <v>241</v>
      </c>
      <c r="B256" s="63" t="s">
        <v>183</v>
      </c>
      <c r="C256" s="88"/>
      <c r="D256" s="82">
        <v>3000.0</v>
      </c>
      <c r="E256" s="88">
        <f t="shared" si="14"/>
        <v>50400</v>
      </c>
      <c r="F256" s="82" t="s">
        <v>244</v>
      </c>
      <c r="G256" s="88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</row>
    <row r="257">
      <c r="A257" s="82" t="s">
        <v>241</v>
      </c>
      <c r="B257" s="82" t="s">
        <v>247</v>
      </c>
      <c r="C257" s="88"/>
      <c r="D257" s="82">
        <v>3000.0</v>
      </c>
      <c r="E257" s="88">
        <f t="shared" si="14"/>
        <v>53400</v>
      </c>
      <c r="F257" s="82" t="s">
        <v>244</v>
      </c>
      <c r="G257" s="88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</row>
    <row r="258">
      <c r="A258" s="82" t="s">
        <v>241</v>
      </c>
      <c r="B258" s="82" t="s">
        <v>248</v>
      </c>
      <c r="C258" s="82">
        <v>7500.0</v>
      </c>
      <c r="D258" s="88"/>
      <c r="E258" s="88">
        <f t="shared" si="14"/>
        <v>45900</v>
      </c>
      <c r="F258" s="91" t="s">
        <v>249</v>
      </c>
      <c r="G258" s="8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</row>
    <row r="259">
      <c r="A259" s="82" t="s">
        <v>241</v>
      </c>
      <c r="B259" s="63" t="s">
        <v>148</v>
      </c>
      <c r="C259" s="88"/>
      <c r="D259" s="82">
        <v>3000.0</v>
      </c>
      <c r="E259" s="88">
        <f t="shared" si="14"/>
        <v>48900</v>
      </c>
      <c r="F259" s="82" t="s">
        <v>250</v>
      </c>
      <c r="G259" s="88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</row>
    <row r="260">
      <c r="A260" s="82" t="s">
        <v>241</v>
      </c>
      <c r="B260" s="92" t="s">
        <v>174</v>
      </c>
      <c r="C260" s="88"/>
      <c r="D260" s="82">
        <v>9000.0</v>
      </c>
      <c r="E260" s="88">
        <f t="shared" si="14"/>
        <v>57900</v>
      </c>
      <c r="F260" s="82" t="s">
        <v>251</v>
      </c>
      <c r="G260" s="88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</row>
    <row r="261">
      <c r="A261" s="82" t="s">
        <v>252</v>
      </c>
      <c r="B261" s="67" t="s">
        <v>36</v>
      </c>
      <c r="C261" s="88"/>
      <c r="D261" s="82">
        <v>3000.0</v>
      </c>
      <c r="E261" s="88">
        <f t="shared" si="14"/>
        <v>60900</v>
      </c>
      <c r="F261" s="82" t="s">
        <v>250</v>
      </c>
      <c r="G261" s="88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</row>
    <row r="262">
      <c r="A262" s="82" t="s">
        <v>252</v>
      </c>
      <c r="B262" s="66" t="s">
        <v>113</v>
      </c>
      <c r="C262" s="88"/>
      <c r="D262" s="82">
        <v>3000.0</v>
      </c>
      <c r="E262" s="88">
        <f t="shared" si="14"/>
        <v>63900</v>
      </c>
      <c r="F262" s="82" t="s">
        <v>250</v>
      </c>
      <c r="G262" s="88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</row>
    <row r="263">
      <c r="A263" s="82" t="s">
        <v>252</v>
      </c>
      <c r="B263" s="69" t="s">
        <v>190</v>
      </c>
      <c r="C263" s="88"/>
      <c r="D263" s="82">
        <v>3000.0</v>
      </c>
      <c r="E263" s="88">
        <f t="shared" si="14"/>
        <v>66900</v>
      </c>
      <c r="F263" s="82" t="s">
        <v>250</v>
      </c>
      <c r="G263" s="88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</row>
    <row r="264">
      <c r="A264" s="82" t="s">
        <v>252</v>
      </c>
      <c r="B264" s="82" t="s">
        <v>253</v>
      </c>
      <c r="C264" s="82">
        <v>300.0</v>
      </c>
      <c r="D264" s="88"/>
      <c r="E264" s="88">
        <f t="shared" si="14"/>
        <v>66600</v>
      </c>
      <c r="F264" s="82" t="s">
        <v>254</v>
      </c>
      <c r="G264" s="88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</row>
    <row r="266">
      <c r="A266" s="82" t="s">
        <v>255</v>
      </c>
      <c r="B266" s="69" t="s">
        <v>40</v>
      </c>
      <c r="C266" s="88"/>
      <c r="D266" s="82">
        <v>3000.0</v>
      </c>
      <c r="E266" s="82">
        <v>3000.0</v>
      </c>
      <c r="F266" s="82" t="s">
        <v>250</v>
      </c>
      <c r="G266" s="88"/>
      <c r="H266" s="41"/>
      <c r="I266" s="93" t="s">
        <v>256</v>
      </c>
      <c r="J266" s="94"/>
      <c r="K266" s="93">
        <v>27.0</v>
      </c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</row>
    <row r="267">
      <c r="A267" s="82" t="s">
        <v>255</v>
      </c>
      <c r="B267" s="63" t="s">
        <v>106</v>
      </c>
      <c r="C267" s="88"/>
      <c r="D267" s="82">
        <v>3000.0</v>
      </c>
      <c r="E267" s="82">
        <f t="shared" ref="E267:E302" si="15">E266+D267-C267</f>
        <v>6000</v>
      </c>
      <c r="F267" s="82" t="s">
        <v>250</v>
      </c>
      <c r="G267" s="88"/>
      <c r="H267" s="41"/>
      <c r="I267" s="93" t="s">
        <v>257</v>
      </c>
      <c r="J267" s="93">
        <v>36000.0</v>
      </c>
      <c r="K267" s="93" t="s">
        <v>258</v>
      </c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</row>
    <row r="268">
      <c r="A268" s="82" t="s">
        <v>259</v>
      </c>
      <c r="B268" s="63" t="s">
        <v>200</v>
      </c>
      <c r="C268" s="88"/>
      <c r="D268" s="82">
        <v>3000.0</v>
      </c>
      <c r="E268" s="82">
        <f t="shared" si="15"/>
        <v>9000</v>
      </c>
      <c r="F268" s="82" t="s">
        <v>250</v>
      </c>
      <c r="G268" s="88"/>
      <c r="H268" s="41"/>
      <c r="I268" s="93" t="s">
        <v>260</v>
      </c>
      <c r="J268" s="93">
        <v>6000.0</v>
      </c>
      <c r="K268" s="93" t="s">
        <v>261</v>
      </c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</row>
    <row r="269">
      <c r="A269" s="82" t="s">
        <v>259</v>
      </c>
      <c r="B269" s="69" t="s">
        <v>133</v>
      </c>
      <c r="C269" s="88"/>
      <c r="D269" s="82">
        <v>4000.0</v>
      </c>
      <c r="E269" s="82">
        <f t="shared" si="15"/>
        <v>13000</v>
      </c>
      <c r="F269" s="82" t="s">
        <v>262</v>
      </c>
      <c r="G269" s="88"/>
      <c r="H269" s="41"/>
      <c r="I269" s="93" t="s">
        <v>37</v>
      </c>
      <c r="J269" s="94"/>
      <c r="K269" s="93" t="s">
        <v>263</v>
      </c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</row>
    <row r="270">
      <c r="A270" s="82" t="s">
        <v>264</v>
      </c>
      <c r="B270" s="95" t="s">
        <v>119</v>
      </c>
      <c r="C270" s="88"/>
      <c r="D270" s="82">
        <v>3000.0</v>
      </c>
      <c r="E270" s="82">
        <f t="shared" si="15"/>
        <v>16000</v>
      </c>
      <c r="F270" s="82" t="s">
        <v>265</v>
      </c>
      <c r="G270" s="88"/>
      <c r="H270" s="40">
        <v>1.0</v>
      </c>
      <c r="I270" s="93" t="s">
        <v>35</v>
      </c>
      <c r="J270" s="94"/>
      <c r="K270" s="93" t="s">
        <v>266</v>
      </c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</row>
    <row r="271">
      <c r="A271" s="82" t="s">
        <v>264</v>
      </c>
      <c r="B271" s="95" t="s">
        <v>126</v>
      </c>
      <c r="C271" s="88"/>
      <c r="D271" s="82">
        <v>3000.0</v>
      </c>
      <c r="E271" s="82">
        <f t="shared" si="15"/>
        <v>19000</v>
      </c>
      <c r="F271" s="82" t="s">
        <v>267</v>
      </c>
      <c r="G271" s="88"/>
      <c r="H271" s="40">
        <v>1.0</v>
      </c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</row>
    <row r="272">
      <c r="A272" s="82" t="s">
        <v>264</v>
      </c>
      <c r="B272" s="95" t="s">
        <v>174</v>
      </c>
      <c r="C272" s="88"/>
      <c r="D272" s="82">
        <v>3000.0</v>
      </c>
      <c r="E272" s="82">
        <f t="shared" si="15"/>
        <v>22000</v>
      </c>
      <c r="F272" s="82" t="s">
        <v>265</v>
      </c>
      <c r="G272" s="88"/>
      <c r="H272" s="40">
        <v>1.0</v>
      </c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</row>
    <row r="273">
      <c r="A273" s="82" t="s">
        <v>264</v>
      </c>
      <c r="B273" s="95" t="s">
        <v>48</v>
      </c>
      <c r="C273" s="88"/>
      <c r="D273" s="82">
        <v>3000.0</v>
      </c>
      <c r="E273" s="82">
        <f t="shared" si="15"/>
        <v>25000</v>
      </c>
      <c r="F273" s="82" t="s">
        <v>268</v>
      </c>
      <c r="G273" s="88"/>
      <c r="H273" s="40">
        <v>1.0</v>
      </c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</row>
    <row r="274">
      <c r="A274" s="82" t="s">
        <v>269</v>
      </c>
      <c r="B274" s="63" t="s">
        <v>129</v>
      </c>
      <c r="C274" s="88"/>
      <c r="D274" s="82">
        <v>3000.0</v>
      </c>
      <c r="E274" s="82">
        <f t="shared" si="15"/>
        <v>28000</v>
      </c>
      <c r="F274" s="82" t="s">
        <v>250</v>
      </c>
      <c r="G274" s="88"/>
      <c r="H274" s="41"/>
      <c r="I274" s="41"/>
      <c r="J274" s="41">
        <f>4150*3</f>
        <v>12450</v>
      </c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</row>
    <row r="275">
      <c r="A275" s="82" t="s">
        <v>264</v>
      </c>
      <c r="B275" s="82" t="s">
        <v>270</v>
      </c>
      <c r="C275" s="82">
        <v>4250.0</v>
      </c>
      <c r="D275" s="88"/>
      <c r="E275" s="82">
        <f t="shared" si="15"/>
        <v>23750</v>
      </c>
      <c r="F275" s="88"/>
      <c r="G275" s="88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</row>
    <row r="276">
      <c r="A276" s="82" t="s">
        <v>271</v>
      </c>
      <c r="B276" s="63" t="s">
        <v>43</v>
      </c>
      <c r="C276" s="88"/>
      <c r="D276" s="82">
        <v>3000.0</v>
      </c>
      <c r="E276" s="82">
        <f t="shared" si="15"/>
        <v>26750</v>
      </c>
      <c r="F276" s="82" t="s">
        <v>250</v>
      </c>
      <c r="G276" s="88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</row>
    <row r="277">
      <c r="A277" s="82" t="s">
        <v>271</v>
      </c>
      <c r="B277" s="63" t="s">
        <v>46</v>
      </c>
      <c r="C277" s="88"/>
      <c r="D277" s="82">
        <v>3000.0</v>
      </c>
      <c r="E277" s="82">
        <f t="shared" si="15"/>
        <v>29750</v>
      </c>
      <c r="F277" s="82" t="s">
        <v>250</v>
      </c>
      <c r="G277" s="88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</row>
    <row r="278">
      <c r="A278" s="82" t="s">
        <v>272</v>
      </c>
      <c r="B278" s="63" t="s">
        <v>183</v>
      </c>
      <c r="C278" s="88"/>
      <c r="D278" s="82">
        <v>3000.0</v>
      </c>
      <c r="E278" s="82">
        <f t="shared" si="15"/>
        <v>32750</v>
      </c>
      <c r="F278" s="82" t="s">
        <v>250</v>
      </c>
      <c r="G278" s="88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</row>
    <row r="279">
      <c r="A279" s="82" t="s">
        <v>273</v>
      </c>
      <c r="B279" s="63" t="s">
        <v>45</v>
      </c>
      <c r="C279" s="88"/>
      <c r="D279" s="82">
        <v>6000.0</v>
      </c>
      <c r="E279" s="82">
        <f t="shared" si="15"/>
        <v>38750</v>
      </c>
      <c r="F279" s="82" t="s">
        <v>274</v>
      </c>
      <c r="G279" s="88"/>
      <c r="H279" s="40">
        <v>2.0</v>
      </c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</row>
    <row r="280">
      <c r="A280" s="82" t="s">
        <v>273</v>
      </c>
      <c r="B280" s="63" t="s">
        <v>119</v>
      </c>
      <c r="C280" s="88"/>
      <c r="D280" s="82">
        <v>3000.0</v>
      </c>
      <c r="E280" s="82">
        <f t="shared" si="15"/>
        <v>41750</v>
      </c>
      <c r="F280" s="82" t="s">
        <v>275</v>
      </c>
      <c r="G280" s="88"/>
      <c r="H280" s="40">
        <v>1.0</v>
      </c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</row>
    <row r="281">
      <c r="A281" s="82" t="s">
        <v>276</v>
      </c>
      <c r="B281" s="69" t="s">
        <v>41</v>
      </c>
      <c r="C281" s="88"/>
      <c r="D281" s="82">
        <v>9000.0</v>
      </c>
      <c r="E281" s="82">
        <f t="shared" si="15"/>
        <v>50750</v>
      </c>
      <c r="F281" s="82" t="s">
        <v>277</v>
      </c>
      <c r="G281" s="88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</row>
    <row r="282">
      <c r="A282" s="82" t="s">
        <v>276</v>
      </c>
      <c r="B282" s="82" t="s">
        <v>230</v>
      </c>
      <c r="C282" s="82">
        <v>2000.0</v>
      </c>
      <c r="D282" s="88"/>
      <c r="E282" s="82">
        <f t="shared" si="15"/>
        <v>48750</v>
      </c>
      <c r="F282" s="82" t="s">
        <v>278</v>
      </c>
      <c r="G282" s="88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</row>
    <row r="283">
      <c r="A283" s="82" t="s">
        <v>273</v>
      </c>
      <c r="B283" s="82" t="s">
        <v>279</v>
      </c>
      <c r="C283" s="82">
        <v>3000.0</v>
      </c>
      <c r="D283" s="88"/>
      <c r="E283" s="82">
        <f t="shared" si="15"/>
        <v>45750</v>
      </c>
      <c r="F283" s="82" t="s">
        <v>280</v>
      </c>
      <c r="G283" s="88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</row>
    <row r="284">
      <c r="A284" s="82" t="s">
        <v>281</v>
      </c>
      <c r="B284" s="63" t="s">
        <v>43</v>
      </c>
      <c r="C284" s="88"/>
      <c r="D284" s="82">
        <v>3000.0</v>
      </c>
      <c r="E284" s="82">
        <f t="shared" si="15"/>
        <v>48750</v>
      </c>
      <c r="F284" s="82" t="s">
        <v>282</v>
      </c>
      <c r="G284" s="88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</row>
    <row r="285">
      <c r="A285" s="82" t="s">
        <v>281</v>
      </c>
      <c r="B285" s="63" t="s">
        <v>126</v>
      </c>
      <c r="C285" s="88"/>
      <c r="D285" s="82">
        <v>3000.0</v>
      </c>
      <c r="E285" s="82">
        <f t="shared" si="15"/>
        <v>51750</v>
      </c>
      <c r="F285" s="82" t="s">
        <v>283</v>
      </c>
      <c r="G285" s="88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</row>
    <row r="286">
      <c r="A286" s="82" t="s">
        <v>281</v>
      </c>
      <c r="B286" s="82" t="s">
        <v>46</v>
      </c>
      <c r="C286" s="88"/>
      <c r="D286" s="82">
        <v>3000.0</v>
      </c>
      <c r="E286" s="82">
        <f t="shared" si="15"/>
        <v>54750</v>
      </c>
      <c r="F286" s="82" t="s">
        <v>284</v>
      </c>
      <c r="G286" s="88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96"/>
      <c r="W286" s="88"/>
      <c r="X286" s="88"/>
      <c r="Y286" s="88"/>
      <c r="Z286" s="88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</row>
    <row r="287">
      <c r="A287" s="82" t="s">
        <v>285</v>
      </c>
      <c r="B287" s="67" t="s">
        <v>36</v>
      </c>
      <c r="C287" s="88"/>
      <c r="D287" s="82">
        <v>3000.0</v>
      </c>
      <c r="E287" s="82">
        <f t="shared" si="15"/>
        <v>57750</v>
      </c>
      <c r="F287" s="82" t="s">
        <v>284</v>
      </c>
      <c r="G287" s="88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</row>
    <row r="288">
      <c r="A288" s="82" t="s">
        <v>285</v>
      </c>
      <c r="B288" s="63" t="s">
        <v>51</v>
      </c>
      <c r="C288" s="88"/>
      <c r="D288" s="82">
        <v>6000.0</v>
      </c>
      <c r="E288" s="82">
        <f t="shared" si="15"/>
        <v>63750</v>
      </c>
      <c r="F288" s="82" t="s">
        <v>286</v>
      </c>
      <c r="G288" s="88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</row>
    <row r="289">
      <c r="A289" s="82" t="s">
        <v>285</v>
      </c>
      <c r="B289" s="63" t="s">
        <v>148</v>
      </c>
      <c r="C289" s="88"/>
      <c r="D289" s="82">
        <v>3000.0</v>
      </c>
      <c r="E289" s="82">
        <f t="shared" si="15"/>
        <v>66750</v>
      </c>
      <c r="F289" s="82" t="s">
        <v>284</v>
      </c>
      <c r="G289" s="88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</row>
    <row r="290">
      <c r="A290" s="82" t="s">
        <v>285</v>
      </c>
      <c r="B290" s="66" t="s">
        <v>113</v>
      </c>
      <c r="C290" s="88"/>
      <c r="D290" s="82">
        <v>3000.0</v>
      </c>
      <c r="E290" s="82">
        <f t="shared" si="15"/>
        <v>69750</v>
      </c>
      <c r="F290" s="82" t="s">
        <v>284</v>
      </c>
      <c r="G290" s="88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</row>
    <row r="291">
      <c r="A291" s="82" t="s">
        <v>287</v>
      </c>
      <c r="B291" s="63" t="s">
        <v>129</v>
      </c>
      <c r="C291" s="88"/>
      <c r="D291" s="82">
        <v>3000.0</v>
      </c>
      <c r="E291" s="82">
        <f t="shared" si="15"/>
        <v>72750</v>
      </c>
      <c r="F291" s="82" t="s">
        <v>284</v>
      </c>
      <c r="G291" s="88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</row>
    <row r="292">
      <c r="A292" s="82" t="s">
        <v>288</v>
      </c>
      <c r="B292" s="63" t="s">
        <v>176</v>
      </c>
      <c r="C292" s="88"/>
      <c r="D292" s="82">
        <v>6000.0</v>
      </c>
      <c r="E292" s="82">
        <f t="shared" si="15"/>
        <v>78750</v>
      </c>
      <c r="F292" s="82" t="s">
        <v>289</v>
      </c>
      <c r="G292" s="88"/>
      <c r="H292" s="40">
        <v>2.0</v>
      </c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</row>
    <row r="293">
      <c r="A293" s="82" t="s">
        <v>288</v>
      </c>
      <c r="B293" s="69" t="s">
        <v>133</v>
      </c>
      <c r="C293" s="88"/>
      <c r="D293" s="82">
        <v>6000.0</v>
      </c>
      <c r="E293" s="82">
        <f t="shared" si="15"/>
        <v>84750</v>
      </c>
      <c r="F293" s="82" t="s">
        <v>277</v>
      </c>
      <c r="G293" s="88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</row>
    <row r="294">
      <c r="A294" s="82" t="s">
        <v>288</v>
      </c>
      <c r="B294" s="69" t="s">
        <v>190</v>
      </c>
      <c r="C294" s="88"/>
      <c r="D294" s="82">
        <v>3000.0</v>
      </c>
      <c r="E294" s="82">
        <f t="shared" si="15"/>
        <v>87750</v>
      </c>
      <c r="F294" s="82" t="s">
        <v>284</v>
      </c>
      <c r="G294" s="88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</row>
    <row r="295">
      <c r="A295" s="82" t="s">
        <v>288</v>
      </c>
      <c r="B295" s="63" t="s">
        <v>200</v>
      </c>
      <c r="C295" s="88"/>
      <c r="D295" s="82">
        <v>3000.0</v>
      </c>
      <c r="E295" s="82">
        <f t="shared" si="15"/>
        <v>90750</v>
      </c>
      <c r="F295" s="82" t="s">
        <v>284</v>
      </c>
      <c r="G295" s="88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</row>
    <row r="296">
      <c r="A296" s="82" t="s">
        <v>288</v>
      </c>
      <c r="B296" s="69" t="s">
        <v>40</v>
      </c>
      <c r="C296" s="88"/>
      <c r="D296" s="82">
        <v>3000.0</v>
      </c>
      <c r="E296" s="82">
        <f t="shared" si="15"/>
        <v>93750</v>
      </c>
      <c r="F296" s="82" t="s">
        <v>284</v>
      </c>
      <c r="G296" s="88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</row>
    <row r="297">
      <c r="A297" s="82" t="s">
        <v>288</v>
      </c>
      <c r="B297" s="63" t="s">
        <v>48</v>
      </c>
      <c r="C297" s="88"/>
      <c r="D297" s="82">
        <v>3000.0</v>
      </c>
      <c r="E297" s="82">
        <f t="shared" si="15"/>
        <v>96750</v>
      </c>
      <c r="F297" s="82" t="s">
        <v>290</v>
      </c>
      <c r="G297" s="88"/>
      <c r="H297" s="40">
        <v>1.0</v>
      </c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</row>
    <row r="298">
      <c r="A298" s="82" t="s">
        <v>291</v>
      </c>
      <c r="B298" s="63" t="s">
        <v>215</v>
      </c>
      <c r="C298" s="88"/>
      <c r="D298" s="82">
        <v>3000.0</v>
      </c>
      <c r="E298" s="82">
        <f t="shared" si="15"/>
        <v>99750</v>
      </c>
      <c r="F298" s="82" t="s">
        <v>284</v>
      </c>
      <c r="G298" s="88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</row>
    <row r="299">
      <c r="A299" s="82" t="s">
        <v>291</v>
      </c>
      <c r="B299" s="63" t="s">
        <v>174</v>
      </c>
      <c r="C299" s="88"/>
      <c r="D299" s="82">
        <v>3000.0</v>
      </c>
      <c r="E299" s="82">
        <f t="shared" si="15"/>
        <v>102750</v>
      </c>
      <c r="F299" s="82" t="s">
        <v>290</v>
      </c>
      <c r="G299" s="88"/>
      <c r="H299" s="40">
        <v>1.0</v>
      </c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</row>
    <row r="300">
      <c r="A300" s="82" t="s">
        <v>292</v>
      </c>
      <c r="B300" s="82" t="s">
        <v>164</v>
      </c>
      <c r="C300" s="88"/>
      <c r="D300" s="82">
        <v>6000.0</v>
      </c>
      <c r="E300" s="82">
        <f t="shared" si="15"/>
        <v>108750</v>
      </c>
      <c r="F300" s="82" t="s">
        <v>293</v>
      </c>
      <c r="G300" s="82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</row>
    <row r="301" ht="15.0" customHeight="1">
      <c r="A301" s="82" t="s">
        <v>292</v>
      </c>
      <c r="B301" s="82" t="s">
        <v>126</v>
      </c>
      <c r="C301" s="88"/>
      <c r="D301" s="82">
        <v>3000.0</v>
      </c>
      <c r="E301" s="82">
        <f t="shared" si="15"/>
        <v>111750</v>
      </c>
      <c r="F301" s="82" t="s">
        <v>284</v>
      </c>
      <c r="G301" s="88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</row>
    <row r="302">
      <c r="A302" s="82"/>
      <c r="B302" s="63" t="s">
        <v>294</v>
      </c>
      <c r="C302" s="82">
        <v>111750.0</v>
      </c>
      <c r="D302" s="82">
        <v>0.0</v>
      </c>
      <c r="E302" s="82">
        <f t="shared" si="15"/>
        <v>0</v>
      </c>
      <c r="F302" s="82"/>
      <c r="G302" s="88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</row>
    <row r="303">
      <c r="A303" s="82" t="s">
        <v>295</v>
      </c>
      <c r="B303" s="63" t="s">
        <v>106</v>
      </c>
      <c r="C303" s="88"/>
      <c r="D303" s="82">
        <v>3000.0</v>
      </c>
      <c r="E303" s="82">
        <v>3000.0</v>
      </c>
      <c r="F303" s="82" t="s">
        <v>284</v>
      </c>
      <c r="G303" s="88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</row>
    <row r="304">
      <c r="A304" s="82" t="s">
        <v>296</v>
      </c>
      <c r="B304" s="63" t="s">
        <v>297</v>
      </c>
      <c r="C304" s="88"/>
      <c r="D304" s="82">
        <v>6000.0</v>
      </c>
      <c r="E304" s="82">
        <f t="shared" ref="E304:E463" si="16">E303+D304-C304</f>
        <v>9000</v>
      </c>
      <c r="F304" s="82" t="s">
        <v>298</v>
      </c>
      <c r="G304" s="88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</row>
    <row r="305">
      <c r="A305" s="82" t="s">
        <v>299</v>
      </c>
      <c r="B305" s="63" t="s">
        <v>300</v>
      </c>
      <c r="C305" s="88"/>
      <c r="D305" s="82">
        <v>6000.0</v>
      </c>
      <c r="E305" s="82">
        <f t="shared" si="16"/>
        <v>15000</v>
      </c>
      <c r="F305" s="82" t="s">
        <v>301</v>
      </c>
      <c r="G305" s="88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</row>
    <row r="306">
      <c r="A306" s="82" t="s">
        <v>302</v>
      </c>
      <c r="B306" s="63" t="s">
        <v>222</v>
      </c>
      <c r="C306" s="88"/>
      <c r="D306" s="82">
        <v>3000.0</v>
      </c>
      <c r="E306" s="82">
        <f t="shared" si="16"/>
        <v>18000</v>
      </c>
      <c r="F306" s="82" t="s">
        <v>282</v>
      </c>
      <c r="G306" s="88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</row>
    <row r="307">
      <c r="A307" s="82" t="s">
        <v>303</v>
      </c>
      <c r="B307" s="63" t="s">
        <v>294</v>
      </c>
      <c r="C307" s="82">
        <v>18000.0</v>
      </c>
      <c r="D307" s="88"/>
      <c r="E307" s="82">
        <f t="shared" si="16"/>
        <v>0</v>
      </c>
      <c r="F307" s="88"/>
      <c r="G307" s="88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</row>
    <row r="308">
      <c r="A308" s="82" t="s">
        <v>304</v>
      </c>
      <c r="B308" s="69" t="s">
        <v>156</v>
      </c>
      <c r="C308" s="88"/>
      <c r="D308" s="82">
        <v>6000.0</v>
      </c>
      <c r="E308" s="82">
        <f t="shared" si="16"/>
        <v>6000</v>
      </c>
      <c r="F308" s="82" t="s">
        <v>305</v>
      </c>
      <c r="G308" s="88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</row>
    <row r="309">
      <c r="A309" s="82" t="s">
        <v>304</v>
      </c>
      <c r="B309" s="69" t="s">
        <v>95</v>
      </c>
      <c r="C309" s="88"/>
      <c r="D309" s="82">
        <v>3000.0</v>
      </c>
      <c r="E309" s="82">
        <f t="shared" si="16"/>
        <v>9000</v>
      </c>
      <c r="F309" s="82" t="s">
        <v>282</v>
      </c>
      <c r="G309" s="88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</row>
    <row r="310">
      <c r="A310" s="82" t="s">
        <v>304</v>
      </c>
      <c r="B310" s="63" t="s">
        <v>129</v>
      </c>
      <c r="C310" s="88"/>
      <c r="D310" s="82">
        <v>3000.0</v>
      </c>
      <c r="E310" s="82">
        <f t="shared" si="16"/>
        <v>12000</v>
      </c>
      <c r="F310" s="82" t="s">
        <v>306</v>
      </c>
      <c r="G310" s="88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</row>
    <row r="311">
      <c r="A311" s="82" t="s">
        <v>304</v>
      </c>
      <c r="B311" s="82" t="s">
        <v>307</v>
      </c>
      <c r="C311" s="82">
        <v>2000.0</v>
      </c>
      <c r="D311" s="88"/>
      <c r="E311" s="82">
        <f t="shared" si="16"/>
        <v>10000</v>
      </c>
      <c r="F311" s="82" t="s">
        <v>308</v>
      </c>
      <c r="G311" s="88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</row>
    <row r="312">
      <c r="A312" s="82" t="s">
        <v>309</v>
      </c>
      <c r="B312" s="82" t="s">
        <v>310</v>
      </c>
      <c r="C312" s="88"/>
      <c r="D312" s="82">
        <v>3000.0</v>
      </c>
      <c r="E312" s="82">
        <f t="shared" si="16"/>
        <v>13000</v>
      </c>
      <c r="F312" s="82" t="s">
        <v>311</v>
      </c>
      <c r="G312" s="88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</row>
    <row r="313">
      <c r="A313" s="82" t="s">
        <v>309</v>
      </c>
      <c r="B313" s="63" t="s">
        <v>51</v>
      </c>
      <c r="C313" s="88"/>
      <c r="D313" s="82">
        <v>3000.0</v>
      </c>
      <c r="E313" s="82">
        <f t="shared" si="16"/>
        <v>16000</v>
      </c>
      <c r="F313" s="82" t="s">
        <v>311</v>
      </c>
      <c r="G313" s="88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</row>
    <row r="314">
      <c r="A314" s="82" t="s">
        <v>312</v>
      </c>
      <c r="B314" s="63" t="s">
        <v>46</v>
      </c>
      <c r="C314" s="88"/>
      <c r="D314" s="82">
        <v>3000.0</v>
      </c>
      <c r="E314" s="82">
        <f t="shared" si="16"/>
        <v>19000</v>
      </c>
      <c r="F314" s="82" t="s">
        <v>311</v>
      </c>
      <c r="G314" s="88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</row>
    <row r="315">
      <c r="A315" s="82" t="s">
        <v>312</v>
      </c>
      <c r="B315" s="63" t="s">
        <v>215</v>
      </c>
      <c r="C315" s="88"/>
      <c r="D315" s="82">
        <v>3000.0</v>
      </c>
      <c r="E315" s="82">
        <f t="shared" si="16"/>
        <v>22000</v>
      </c>
      <c r="F315" s="82" t="s">
        <v>311</v>
      </c>
      <c r="G315" s="88"/>
      <c r="H315" s="41"/>
      <c r="I315" s="40" t="s">
        <v>313</v>
      </c>
      <c r="J315" s="41">
        <f>D308+D318+D319+D322</f>
        <v>15000</v>
      </c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</row>
    <row r="316">
      <c r="A316" s="82" t="s">
        <v>312</v>
      </c>
      <c r="B316" s="67" t="s">
        <v>36</v>
      </c>
      <c r="C316" s="88"/>
      <c r="D316" s="82">
        <v>3000.0</v>
      </c>
      <c r="E316" s="82">
        <f t="shared" si="16"/>
        <v>25000</v>
      </c>
      <c r="F316" s="82" t="s">
        <v>311</v>
      </c>
      <c r="G316" s="88"/>
      <c r="H316" s="41"/>
      <c r="I316" s="40" t="s">
        <v>314</v>
      </c>
      <c r="J316" s="40">
        <v>20000.0</v>
      </c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</row>
    <row r="317">
      <c r="A317" s="82" t="s">
        <v>312</v>
      </c>
      <c r="B317" s="69" t="s">
        <v>190</v>
      </c>
      <c r="C317" s="88"/>
      <c r="D317" s="82">
        <v>3000.0</v>
      </c>
      <c r="E317" s="82">
        <f t="shared" si="16"/>
        <v>28000</v>
      </c>
      <c r="F317" s="82" t="s">
        <v>311</v>
      </c>
      <c r="G317" s="88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</row>
    <row r="318">
      <c r="A318" s="82" t="s">
        <v>312</v>
      </c>
      <c r="B318" s="63" t="s">
        <v>48</v>
      </c>
      <c r="C318" s="88"/>
      <c r="D318" s="82">
        <v>3000.0</v>
      </c>
      <c r="E318" s="82">
        <f t="shared" si="16"/>
        <v>31000</v>
      </c>
      <c r="F318" s="82" t="s">
        <v>315</v>
      </c>
      <c r="G318" s="88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</row>
    <row r="319">
      <c r="A319" s="82" t="s">
        <v>312</v>
      </c>
      <c r="B319" s="69" t="s">
        <v>156</v>
      </c>
      <c r="C319" s="88"/>
      <c r="D319" s="82">
        <v>3000.0</v>
      </c>
      <c r="E319" s="82">
        <f t="shared" si="16"/>
        <v>34000</v>
      </c>
      <c r="F319" s="82" t="s">
        <v>316</v>
      </c>
      <c r="G319" s="88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</row>
    <row r="320">
      <c r="A320" s="82" t="s">
        <v>317</v>
      </c>
      <c r="B320" s="82" t="s">
        <v>318</v>
      </c>
      <c r="C320" s="88"/>
      <c r="D320" s="82">
        <v>6000.0</v>
      </c>
      <c r="E320" s="82">
        <f t="shared" si="16"/>
        <v>40000</v>
      </c>
      <c r="F320" s="82" t="s">
        <v>298</v>
      </c>
      <c r="G320" s="88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</row>
    <row r="321">
      <c r="A321" s="82" t="s">
        <v>319</v>
      </c>
      <c r="B321" s="63" t="s">
        <v>297</v>
      </c>
      <c r="C321" s="88"/>
      <c r="D321" s="82">
        <v>3000.0</v>
      </c>
      <c r="E321" s="82">
        <f t="shared" si="16"/>
        <v>43000</v>
      </c>
      <c r="F321" s="82" t="s">
        <v>320</v>
      </c>
      <c r="G321" s="88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</row>
    <row r="322">
      <c r="A322" s="82" t="s">
        <v>319</v>
      </c>
      <c r="B322" s="63" t="s">
        <v>119</v>
      </c>
      <c r="C322" s="88"/>
      <c r="D322" s="82">
        <v>3000.0</v>
      </c>
      <c r="E322" s="82">
        <f t="shared" si="16"/>
        <v>46000</v>
      </c>
      <c r="F322" s="82" t="s">
        <v>316</v>
      </c>
      <c r="G322" s="88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</row>
    <row r="323">
      <c r="A323" s="82" t="s">
        <v>319</v>
      </c>
      <c r="B323" s="66" t="s">
        <v>113</v>
      </c>
      <c r="C323" s="88"/>
      <c r="D323" s="82">
        <v>6000.0</v>
      </c>
      <c r="E323" s="82">
        <f t="shared" si="16"/>
        <v>52000</v>
      </c>
      <c r="F323" s="82" t="s">
        <v>321</v>
      </c>
      <c r="G323" s="88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</row>
    <row r="324">
      <c r="A324" s="82" t="s">
        <v>319</v>
      </c>
      <c r="B324" s="63" t="s">
        <v>43</v>
      </c>
      <c r="C324" s="88"/>
      <c r="D324" s="82">
        <v>3000.0</v>
      </c>
      <c r="E324" s="82">
        <f t="shared" si="16"/>
        <v>55000</v>
      </c>
      <c r="F324" s="82" t="s">
        <v>311</v>
      </c>
      <c r="G324" s="88"/>
      <c r="H324" s="41"/>
      <c r="I324" s="41"/>
      <c r="J324" s="40" t="s">
        <v>322</v>
      </c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</row>
    <row r="325">
      <c r="A325" s="82" t="s">
        <v>319</v>
      </c>
      <c r="B325" s="82" t="s">
        <v>323</v>
      </c>
      <c r="C325" s="82">
        <v>18000.0</v>
      </c>
      <c r="D325" s="82"/>
      <c r="E325" s="82">
        <f t="shared" si="16"/>
        <v>37000</v>
      </c>
      <c r="F325" s="82" t="s">
        <v>324</v>
      </c>
      <c r="G325" s="88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</row>
    <row r="326">
      <c r="A326" s="82" t="s">
        <v>319</v>
      </c>
      <c r="B326" s="82" t="s">
        <v>325</v>
      </c>
      <c r="C326" s="82">
        <v>2000.0</v>
      </c>
      <c r="D326" s="82"/>
      <c r="E326" s="82">
        <f t="shared" si="16"/>
        <v>35000</v>
      </c>
      <c r="F326" s="82" t="s">
        <v>308</v>
      </c>
      <c r="G326" s="88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</row>
    <row r="327">
      <c r="A327" s="82" t="s">
        <v>326</v>
      </c>
      <c r="B327" s="63" t="s">
        <v>126</v>
      </c>
      <c r="C327" s="88"/>
      <c r="D327" s="82">
        <v>3000.0</v>
      </c>
      <c r="E327" s="82">
        <f t="shared" si="16"/>
        <v>38000</v>
      </c>
      <c r="F327" s="82" t="s">
        <v>311</v>
      </c>
      <c r="G327" s="88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</row>
    <row r="328">
      <c r="A328" s="82" t="s">
        <v>327</v>
      </c>
      <c r="B328" s="63" t="s">
        <v>176</v>
      </c>
      <c r="C328" s="88"/>
      <c r="D328" s="82">
        <v>3000.0</v>
      </c>
      <c r="E328" s="82">
        <f t="shared" si="16"/>
        <v>41000</v>
      </c>
      <c r="F328" s="82" t="s">
        <v>316</v>
      </c>
      <c r="G328" s="88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</row>
    <row r="329">
      <c r="A329" s="82" t="s">
        <v>326</v>
      </c>
      <c r="B329" s="63" t="s">
        <v>106</v>
      </c>
      <c r="C329" s="88"/>
      <c r="D329" s="82">
        <v>3000.0</v>
      </c>
      <c r="E329" s="82">
        <f t="shared" si="16"/>
        <v>44000</v>
      </c>
      <c r="F329" s="82" t="s">
        <v>311</v>
      </c>
      <c r="G329" s="88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</row>
    <row r="330">
      <c r="A330" s="82" t="s">
        <v>326</v>
      </c>
      <c r="B330" s="63" t="s">
        <v>222</v>
      </c>
      <c r="C330" s="88"/>
      <c r="D330" s="82">
        <v>3000.0</v>
      </c>
      <c r="E330" s="82">
        <f t="shared" si="16"/>
        <v>47000</v>
      </c>
      <c r="F330" s="82" t="s">
        <v>311</v>
      </c>
      <c r="G330" s="88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</row>
    <row r="331">
      <c r="A331" s="82" t="s">
        <v>328</v>
      </c>
      <c r="B331" s="82" t="s">
        <v>294</v>
      </c>
      <c r="C331" s="82">
        <v>47000.0</v>
      </c>
      <c r="D331" s="88"/>
      <c r="E331" s="82">
        <f t="shared" si="16"/>
        <v>0</v>
      </c>
      <c r="F331" s="82" t="s">
        <v>329</v>
      </c>
      <c r="G331" s="88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</row>
    <row r="332">
      <c r="A332" s="82" t="s">
        <v>328</v>
      </c>
      <c r="B332" s="63" t="s">
        <v>148</v>
      </c>
      <c r="C332" s="88"/>
      <c r="D332" s="82">
        <v>6000.0</v>
      </c>
      <c r="E332" s="82">
        <f t="shared" si="16"/>
        <v>6000</v>
      </c>
      <c r="F332" s="82" t="s">
        <v>330</v>
      </c>
      <c r="G332" s="88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</row>
    <row r="333">
      <c r="A333" s="82" t="s">
        <v>331</v>
      </c>
      <c r="B333" s="63" t="s">
        <v>174</v>
      </c>
      <c r="C333" s="88"/>
      <c r="D333" s="82">
        <v>3000.0</v>
      </c>
      <c r="E333" s="82">
        <f t="shared" si="16"/>
        <v>9000</v>
      </c>
      <c r="F333" s="82" t="s">
        <v>315</v>
      </c>
      <c r="G333" s="88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</row>
    <row r="334">
      <c r="A334" s="97" t="s">
        <v>332</v>
      </c>
      <c r="B334" s="69" t="s">
        <v>189</v>
      </c>
      <c r="C334" s="88"/>
      <c r="D334" s="82">
        <v>3000.0</v>
      </c>
      <c r="E334" s="82">
        <f t="shared" si="16"/>
        <v>12000</v>
      </c>
      <c r="F334" s="82" t="s">
        <v>320</v>
      </c>
      <c r="G334" s="88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</row>
    <row r="335">
      <c r="A335" s="97" t="s">
        <v>332</v>
      </c>
      <c r="B335" s="63" t="s">
        <v>43</v>
      </c>
      <c r="C335" s="88"/>
      <c r="D335" s="82">
        <v>3000.0</v>
      </c>
      <c r="E335" s="82">
        <f t="shared" si="16"/>
        <v>15000</v>
      </c>
      <c r="F335" s="82" t="s">
        <v>320</v>
      </c>
      <c r="G335" s="88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</row>
    <row r="336">
      <c r="A336" s="97" t="s">
        <v>332</v>
      </c>
      <c r="B336" s="69" t="s">
        <v>40</v>
      </c>
      <c r="C336" s="88"/>
      <c r="D336" s="82">
        <v>3000.0</v>
      </c>
      <c r="E336" s="82">
        <f t="shared" si="16"/>
        <v>18000</v>
      </c>
      <c r="F336" s="82" t="s">
        <v>320</v>
      </c>
      <c r="G336" s="88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</row>
    <row r="337">
      <c r="A337" s="97" t="s">
        <v>332</v>
      </c>
      <c r="B337" s="63" t="s">
        <v>51</v>
      </c>
      <c r="C337" s="88"/>
      <c r="D337" s="82">
        <v>3000.0</v>
      </c>
      <c r="E337" s="82">
        <f t="shared" si="16"/>
        <v>21000</v>
      </c>
      <c r="F337" s="82" t="s">
        <v>320</v>
      </c>
      <c r="G337" s="88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</row>
    <row r="338">
      <c r="A338" s="82" t="s">
        <v>333</v>
      </c>
      <c r="B338" s="69" t="s">
        <v>156</v>
      </c>
      <c r="C338" s="88"/>
      <c r="D338" s="82">
        <v>3000.0</v>
      </c>
      <c r="E338" s="82">
        <f t="shared" si="16"/>
        <v>24000</v>
      </c>
      <c r="F338" s="82" t="s">
        <v>334</v>
      </c>
      <c r="G338" s="88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</row>
    <row r="339">
      <c r="A339" s="82" t="s">
        <v>333</v>
      </c>
      <c r="B339" s="63" t="s">
        <v>46</v>
      </c>
      <c r="C339" s="88"/>
      <c r="D339" s="82">
        <v>3000.0</v>
      </c>
      <c r="E339" s="82">
        <f t="shared" si="16"/>
        <v>27000</v>
      </c>
      <c r="F339" s="82" t="s">
        <v>320</v>
      </c>
      <c r="G339" s="88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</row>
    <row r="340">
      <c r="A340" s="82" t="s">
        <v>335</v>
      </c>
      <c r="B340" s="67" t="s">
        <v>36</v>
      </c>
      <c r="C340" s="88"/>
      <c r="D340" s="82">
        <v>3000.0</v>
      </c>
      <c r="E340" s="82">
        <f t="shared" si="16"/>
        <v>30000</v>
      </c>
      <c r="F340" s="82" t="s">
        <v>320</v>
      </c>
      <c r="G340" s="88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</row>
    <row r="341">
      <c r="A341" s="82" t="s">
        <v>335</v>
      </c>
      <c r="B341" s="63" t="s">
        <v>48</v>
      </c>
      <c r="C341" s="88"/>
      <c r="D341" s="82">
        <v>3000.0</v>
      </c>
      <c r="E341" s="82">
        <f t="shared" si="16"/>
        <v>33000</v>
      </c>
      <c r="F341" s="82" t="s">
        <v>320</v>
      </c>
      <c r="G341" s="88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</row>
    <row r="342">
      <c r="A342" s="82" t="s">
        <v>335</v>
      </c>
      <c r="B342" s="63" t="s">
        <v>106</v>
      </c>
      <c r="C342" s="88"/>
      <c r="D342" s="82">
        <v>3000.0</v>
      </c>
      <c r="E342" s="82">
        <f t="shared" si="16"/>
        <v>36000</v>
      </c>
      <c r="F342" s="82" t="s">
        <v>320</v>
      </c>
      <c r="G342" s="88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</row>
    <row r="343">
      <c r="A343" s="82" t="s">
        <v>336</v>
      </c>
      <c r="B343" s="63" t="s">
        <v>222</v>
      </c>
      <c r="C343" s="88"/>
      <c r="D343" s="82">
        <v>3000.0</v>
      </c>
      <c r="E343" s="82">
        <f t="shared" si="16"/>
        <v>39000</v>
      </c>
      <c r="F343" s="82" t="s">
        <v>320</v>
      </c>
      <c r="G343" s="88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</row>
    <row r="344">
      <c r="A344" s="82" t="s">
        <v>335</v>
      </c>
      <c r="B344" s="63" t="s">
        <v>164</v>
      </c>
      <c r="C344" s="88"/>
      <c r="D344" s="82">
        <v>3000.0</v>
      </c>
      <c r="E344" s="82">
        <f t="shared" si="16"/>
        <v>42000</v>
      </c>
      <c r="F344" s="82" t="s">
        <v>337</v>
      </c>
      <c r="G344" s="88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</row>
    <row r="345">
      <c r="A345" s="82" t="s">
        <v>338</v>
      </c>
      <c r="B345" s="82" t="s">
        <v>294</v>
      </c>
      <c r="C345" s="82">
        <v>42000.0</v>
      </c>
      <c r="D345" s="88"/>
      <c r="E345" s="82">
        <f t="shared" si="16"/>
        <v>0</v>
      </c>
      <c r="F345" s="82" t="s">
        <v>329</v>
      </c>
      <c r="G345" s="88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</row>
    <row r="346">
      <c r="A346" s="82" t="s">
        <v>339</v>
      </c>
      <c r="B346" s="63" t="s">
        <v>119</v>
      </c>
      <c r="C346" s="88"/>
      <c r="D346" s="82">
        <v>6000.0</v>
      </c>
      <c r="E346" s="82">
        <f t="shared" si="16"/>
        <v>6000</v>
      </c>
      <c r="F346" s="82" t="s">
        <v>340</v>
      </c>
      <c r="G346" s="88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</row>
    <row r="347">
      <c r="A347" s="82" t="s">
        <v>339</v>
      </c>
      <c r="B347" s="69" t="s">
        <v>41</v>
      </c>
      <c r="C347" s="88"/>
      <c r="D347" s="82">
        <v>6000.0</v>
      </c>
      <c r="E347" s="82">
        <f t="shared" si="16"/>
        <v>12000</v>
      </c>
      <c r="F347" s="82" t="s">
        <v>341</v>
      </c>
      <c r="G347" s="88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</row>
    <row r="348">
      <c r="A348" s="82" t="s">
        <v>339</v>
      </c>
      <c r="B348" s="63" t="s">
        <v>126</v>
      </c>
      <c r="C348" s="88"/>
      <c r="D348" s="82">
        <v>3000.0</v>
      </c>
      <c r="E348" s="82">
        <f t="shared" si="16"/>
        <v>15000</v>
      </c>
      <c r="F348" s="82" t="s">
        <v>320</v>
      </c>
      <c r="G348" s="88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</row>
    <row r="349">
      <c r="A349" s="82" t="s">
        <v>339</v>
      </c>
      <c r="B349" s="63" t="s">
        <v>129</v>
      </c>
      <c r="C349" s="88"/>
      <c r="D349" s="82">
        <v>3000.0</v>
      </c>
      <c r="E349" s="82">
        <f t="shared" si="16"/>
        <v>18000</v>
      </c>
      <c r="F349" s="82" t="s">
        <v>320</v>
      </c>
      <c r="G349" s="88"/>
      <c r="H349" s="41"/>
      <c r="I349" s="40" t="s">
        <v>39</v>
      </c>
      <c r="J349" s="41">
        <f>6000+9000+6000</f>
        <v>21000</v>
      </c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</row>
    <row r="350">
      <c r="A350" s="82" t="s">
        <v>339</v>
      </c>
      <c r="B350" s="63" t="s">
        <v>45</v>
      </c>
      <c r="C350" s="88"/>
      <c r="D350" s="82">
        <v>6000.0</v>
      </c>
      <c r="E350" s="82">
        <f t="shared" si="16"/>
        <v>24000</v>
      </c>
      <c r="F350" s="82" t="s">
        <v>342</v>
      </c>
      <c r="G350" s="88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</row>
    <row r="351">
      <c r="A351" s="82" t="s">
        <v>339</v>
      </c>
      <c r="B351" s="69" t="s">
        <v>190</v>
      </c>
      <c r="C351" s="88"/>
      <c r="D351" s="82">
        <v>3000.0</v>
      </c>
      <c r="E351" s="82">
        <f t="shared" si="16"/>
        <v>27000</v>
      </c>
      <c r="F351" s="82" t="s">
        <v>320</v>
      </c>
      <c r="G351" s="88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</row>
    <row r="352">
      <c r="A352" s="82" t="s">
        <v>339</v>
      </c>
      <c r="B352" s="63" t="s">
        <v>174</v>
      </c>
      <c r="C352" s="88"/>
      <c r="D352" s="82">
        <v>3000.0</v>
      </c>
      <c r="E352" s="82">
        <f t="shared" si="16"/>
        <v>30000</v>
      </c>
      <c r="F352" s="82" t="s">
        <v>343</v>
      </c>
      <c r="G352" s="88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</row>
    <row r="353">
      <c r="A353" s="82" t="s">
        <v>344</v>
      </c>
      <c r="B353" s="63" t="s">
        <v>176</v>
      </c>
      <c r="C353" s="88"/>
      <c r="D353" s="82">
        <v>3000.0</v>
      </c>
      <c r="E353" s="82">
        <f t="shared" si="16"/>
        <v>33000</v>
      </c>
      <c r="F353" s="82" t="s">
        <v>343</v>
      </c>
      <c r="G353" s="88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</row>
    <row r="354">
      <c r="A354" s="82" t="s">
        <v>344</v>
      </c>
      <c r="B354" s="63" t="s">
        <v>300</v>
      </c>
      <c r="C354" s="88"/>
      <c r="D354" s="82">
        <v>3000.0</v>
      </c>
      <c r="E354" s="82">
        <f t="shared" si="16"/>
        <v>36000</v>
      </c>
      <c r="F354" s="82" t="s">
        <v>343</v>
      </c>
      <c r="G354" s="88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</row>
    <row r="355">
      <c r="A355" s="82" t="s">
        <v>344</v>
      </c>
      <c r="B355" s="63" t="s">
        <v>318</v>
      </c>
      <c r="C355" s="88"/>
      <c r="D355" s="82">
        <v>3000.0</v>
      </c>
      <c r="E355" s="82">
        <f t="shared" si="16"/>
        <v>39000</v>
      </c>
      <c r="F355" s="82" t="s">
        <v>320</v>
      </c>
      <c r="G355" s="88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</row>
    <row r="356">
      <c r="A356" s="82" t="s">
        <v>345</v>
      </c>
      <c r="B356" s="63" t="s">
        <v>346</v>
      </c>
      <c r="C356" s="88"/>
      <c r="D356" s="82">
        <v>6000.0</v>
      </c>
      <c r="E356" s="82">
        <f t="shared" si="16"/>
        <v>45000</v>
      </c>
      <c r="F356" s="82" t="s">
        <v>347</v>
      </c>
      <c r="G356" s="88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</row>
    <row r="357">
      <c r="A357" s="82" t="s">
        <v>345</v>
      </c>
      <c r="B357" s="98" t="s">
        <v>113</v>
      </c>
      <c r="C357" s="88"/>
      <c r="D357" s="82">
        <v>3000.0</v>
      </c>
      <c r="E357" s="82">
        <f t="shared" si="16"/>
        <v>48000</v>
      </c>
      <c r="F357" s="82" t="s">
        <v>348</v>
      </c>
      <c r="G357" s="88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</row>
    <row r="358">
      <c r="A358" s="82" t="s">
        <v>349</v>
      </c>
      <c r="B358" s="82" t="s">
        <v>350</v>
      </c>
      <c r="C358" s="82">
        <v>200.0</v>
      </c>
      <c r="D358" s="88"/>
      <c r="E358" s="82">
        <f t="shared" si="16"/>
        <v>47800</v>
      </c>
      <c r="F358" s="82" t="s">
        <v>351</v>
      </c>
      <c r="G358" s="88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</row>
    <row r="359">
      <c r="A359" s="82" t="s">
        <v>352</v>
      </c>
      <c r="B359" s="82" t="s">
        <v>294</v>
      </c>
      <c r="C359" s="82">
        <v>47800.0</v>
      </c>
      <c r="D359" s="88"/>
      <c r="E359" s="82">
        <f t="shared" si="16"/>
        <v>0</v>
      </c>
      <c r="F359" s="82" t="s">
        <v>329</v>
      </c>
      <c r="G359" s="88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</row>
    <row r="360">
      <c r="A360" s="82" t="s">
        <v>353</v>
      </c>
      <c r="B360" s="63" t="s">
        <v>354</v>
      </c>
      <c r="C360" s="88"/>
      <c r="D360" s="82">
        <v>6000.0</v>
      </c>
      <c r="E360" s="82">
        <f t="shared" si="16"/>
        <v>6000</v>
      </c>
      <c r="F360" s="82" t="s">
        <v>355</v>
      </c>
      <c r="G360" s="88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</row>
    <row r="361">
      <c r="A361" s="82" t="s">
        <v>356</v>
      </c>
      <c r="B361" s="63" t="s">
        <v>357</v>
      </c>
      <c r="C361" s="88"/>
      <c r="D361" s="82">
        <v>3000.0</v>
      </c>
      <c r="E361" s="82">
        <f t="shared" si="16"/>
        <v>9000</v>
      </c>
      <c r="F361" s="82" t="s">
        <v>358</v>
      </c>
      <c r="G361" s="88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</row>
    <row r="362">
      <c r="A362" s="82" t="s">
        <v>356</v>
      </c>
      <c r="B362" s="63" t="s">
        <v>106</v>
      </c>
      <c r="C362" s="88"/>
      <c r="D362" s="82">
        <v>3000.0</v>
      </c>
      <c r="E362" s="82">
        <f t="shared" si="16"/>
        <v>12000</v>
      </c>
      <c r="F362" s="82" t="s">
        <v>348</v>
      </c>
      <c r="G362" s="88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</row>
    <row r="363">
      <c r="A363" s="82" t="s">
        <v>356</v>
      </c>
      <c r="B363" s="63" t="s">
        <v>51</v>
      </c>
      <c r="C363" s="88"/>
      <c r="D363" s="82">
        <v>3000.0</v>
      </c>
      <c r="E363" s="82">
        <f t="shared" si="16"/>
        <v>15000</v>
      </c>
      <c r="F363" s="82" t="s">
        <v>348</v>
      </c>
      <c r="G363" s="88"/>
      <c r="H363" s="41">
        <f>1000+3000</f>
        <v>4000</v>
      </c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</row>
    <row r="364">
      <c r="A364" s="82" t="s">
        <v>356</v>
      </c>
      <c r="B364" s="63" t="s">
        <v>156</v>
      </c>
      <c r="C364" s="88"/>
      <c r="D364" s="82">
        <v>3000.0</v>
      </c>
      <c r="E364" s="82">
        <f t="shared" si="16"/>
        <v>18000</v>
      </c>
      <c r="F364" s="82" t="s">
        <v>359</v>
      </c>
      <c r="G364" s="88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</row>
    <row r="365">
      <c r="A365" s="82" t="s">
        <v>360</v>
      </c>
      <c r="B365" s="63" t="s">
        <v>361</v>
      </c>
      <c r="C365" s="88"/>
      <c r="D365" s="82">
        <v>3000.0</v>
      </c>
      <c r="E365" s="82">
        <f t="shared" si="16"/>
        <v>21000</v>
      </c>
      <c r="F365" s="82" t="s">
        <v>358</v>
      </c>
      <c r="G365" s="88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</row>
    <row r="366">
      <c r="A366" s="82" t="s">
        <v>360</v>
      </c>
      <c r="B366" s="99" t="s">
        <v>36</v>
      </c>
      <c r="C366" s="88"/>
      <c r="D366" s="82">
        <v>3000.0</v>
      </c>
      <c r="E366" s="82">
        <f t="shared" si="16"/>
        <v>24000</v>
      </c>
      <c r="F366" s="82" t="s">
        <v>348</v>
      </c>
      <c r="G366" s="88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</row>
    <row r="367">
      <c r="A367" s="82" t="s">
        <v>360</v>
      </c>
      <c r="B367" s="82" t="s">
        <v>43</v>
      </c>
      <c r="C367" s="88"/>
      <c r="D367" s="82">
        <v>3000.0</v>
      </c>
      <c r="E367" s="82">
        <f t="shared" si="16"/>
        <v>27000</v>
      </c>
      <c r="F367" s="82" t="s">
        <v>348</v>
      </c>
      <c r="G367" s="88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</row>
    <row r="368">
      <c r="A368" s="82" t="s">
        <v>360</v>
      </c>
      <c r="B368" s="82" t="s">
        <v>40</v>
      </c>
      <c r="C368" s="88"/>
      <c r="D368" s="82">
        <v>3000.0</v>
      </c>
      <c r="E368" s="82">
        <f t="shared" si="16"/>
        <v>30000</v>
      </c>
      <c r="F368" s="82" t="s">
        <v>348</v>
      </c>
      <c r="G368" s="88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</row>
    <row r="369">
      <c r="A369" s="82" t="s">
        <v>360</v>
      </c>
      <c r="B369" s="82" t="s">
        <v>222</v>
      </c>
      <c r="C369" s="88"/>
      <c r="D369" s="82">
        <v>3000.0</v>
      </c>
      <c r="E369" s="82">
        <f t="shared" si="16"/>
        <v>33000</v>
      </c>
      <c r="F369" s="82" t="s">
        <v>348</v>
      </c>
      <c r="G369" s="88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</row>
    <row r="370">
      <c r="A370" s="82" t="s">
        <v>360</v>
      </c>
      <c r="B370" s="82" t="s">
        <v>164</v>
      </c>
      <c r="C370" s="88"/>
      <c r="D370" s="82">
        <v>3000.0</v>
      </c>
      <c r="E370" s="82">
        <f t="shared" si="16"/>
        <v>36000</v>
      </c>
      <c r="F370" s="82" t="s">
        <v>348</v>
      </c>
      <c r="G370" s="88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</row>
    <row r="371">
      <c r="A371" s="82" t="s">
        <v>360</v>
      </c>
      <c r="B371" s="82" t="s">
        <v>362</v>
      </c>
      <c r="C371" s="82">
        <v>700.0</v>
      </c>
      <c r="D371" s="88"/>
      <c r="E371" s="82">
        <f t="shared" si="16"/>
        <v>35300</v>
      </c>
      <c r="F371" s="82" t="s">
        <v>362</v>
      </c>
      <c r="G371" s="88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</row>
    <row r="372">
      <c r="A372" s="82" t="s">
        <v>360</v>
      </c>
      <c r="B372" s="82" t="s">
        <v>294</v>
      </c>
      <c r="C372" s="82">
        <v>35300.0</v>
      </c>
      <c r="D372" s="82"/>
      <c r="E372" s="82">
        <f t="shared" si="16"/>
        <v>0</v>
      </c>
      <c r="F372" s="82" t="s">
        <v>329</v>
      </c>
      <c r="G372" s="88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</row>
    <row r="373">
      <c r="A373" s="82" t="s">
        <v>363</v>
      </c>
      <c r="B373" s="63" t="s">
        <v>361</v>
      </c>
      <c r="C373" s="88"/>
      <c r="D373" s="82">
        <v>3000.0</v>
      </c>
      <c r="E373" s="82">
        <f t="shared" si="16"/>
        <v>3000</v>
      </c>
      <c r="F373" s="82" t="s">
        <v>348</v>
      </c>
      <c r="G373" s="88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</row>
    <row r="374">
      <c r="A374" s="82" t="s">
        <v>363</v>
      </c>
      <c r="B374" s="63" t="s">
        <v>48</v>
      </c>
      <c r="C374" s="88"/>
      <c r="D374" s="82">
        <v>3000.0</v>
      </c>
      <c r="E374" s="82">
        <f t="shared" si="16"/>
        <v>6000</v>
      </c>
      <c r="F374" s="82" t="s">
        <v>359</v>
      </c>
      <c r="G374" s="88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</row>
    <row r="375">
      <c r="A375" s="82" t="s">
        <v>363</v>
      </c>
      <c r="B375" s="63" t="s">
        <v>190</v>
      </c>
      <c r="C375" s="88"/>
      <c r="D375" s="82">
        <v>3000.0</v>
      </c>
      <c r="E375" s="82">
        <f t="shared" si="16"/>
        <v>9000</v>
      </c>
      <c r="F375" s="82" t="s">
        <v>348</v>
      </c>
      <c r="G375" s="88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</row>
    <row r="376">
      <c r="A376" s="100" t="s">
        <v>363</v>
      </c>
      <c r="B376" s="101" t="s">
        <v>129</v>
      </c>
      <c r="C376" s="102"/>
      <c r="D376" s="100">
        <v>3000.0</v>
      </c>
      <c r="E376" s="100">
        <f t="shared" si="16"/>
        <v>12000</v>
      </c>
      <c r="F376" s="100" t="s">
        <v>348</v>
      </c>
      <c r="G376" s="102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</row>
    <row r="377">
      <c r="A377" s="82" t="s">
        <v>364</v>
      </c>
      <c r="B377" s="63" t="s">
        <v>174</v>
      </c>
      <c r="C377" s="88"/>
      <c r="D377" s="82">
        <v>3000.0</v>
      </c>
      <c r="E377" s="82">
        <f t="shared" si="16"/>
        <v>15000</v>
      </c>
      <c r="F377" s="82" t="s">
        <v>359</v>
      </c>
      <c r="G377" s="88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</row>
    <row r="378">
      <c r="A378" s="82" t="s">
        <v>364</v>
      </c>
      <c r="B378" s="63" t="s">
        <v>300</v>
      </c>
      <c r="C378" s="88"/>
      <c r="D378" s="82">
        <v>3000.0</v>
      </c>
      <c r="E378" s="82">
        <f t="shared" si="16"/>
        <v>18000</v>
      </c>
      <c r="F378" s="82" t="s">
        <v>359</v>
      </c>
      <c r="G378" s="88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</row>
    <row r="379">
      <c r="A379" s="82" t="s">
        <v>365</v>
      </c>
      <c r="B379" s="63" t="s">
        <v>176</v>
      </c>
      <c r="C379" s="88"/>
      <c r="D379" s="82">
        <v>3000.0</v>
      </c>
      <c r="E379" s="82">
        <f t="shared" si="16"/>
        <v>21000</v>
      </c>
      <c r="F379" s="82" t="s">
        <v>359</v>
      </c>
      <c r="G379" s="88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</row>
    <row r="380">
      <c r="A380" s="82" t="s">
        <v>366</v>
      </c>
      <c r="B380" s="63" t="s">
        <v>126</v>
      </c>
      <c r="C380" s="88"/>
      <c r="D380" s="82">
        <v>3000.0</v>
      </c>
      <c r="E380" s="82">
        <f t="shared" si="16"/>
        <v>24000</v>
      </c>
      <c r="F380" s="82" t="s">
        <v>348</v>
      </c>
      <c r="G380" s="88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</row>
    <row r="381">
      <c r="A381" s="82" t="s">
        <v>366</v>
      </c>
      <c r="B381" s="63" t="s">
        <v>52</v>
      </c>
      <c r="C381" s="88"/>
      <c r="D381" s="82">
        <v>6000.0</v>
      </c>
      <c r="E381" s="82">
        <f t="shared" si="16"/>
        <v>30000</v>
      </c>
      <c r="F381" s="82" t="s">
        <v>367</v>
      </c>
      <c r="G381" s="88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</row>
    <row r="382">
      <c r="A382" s="82" t="s">
        <v>366</v>
      </c>
      <c r="B382" s="63" t="s">
        <v>368</v>
      </c>
      <c r="C382" s="88"/>
      <c r="D382" s="82">
        <v>6000.0</v>
      </c>
      <c r="E382" s="82">
        <f t="shared" si="16"/>
        <v>36000</v>
      </c>
      <c r="F382" s="82" t="s">
        <v>369</v>
      </c>
      <c r="G382" s="88"/>
      <c r="H382" s="41"/>
      <c r="I382" s="40" t="s">
        <v>370</v>
      </c>
      <c r="J382" s="41">
        <f>45000-24000</f>
        <v>21000</v>
      </c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</row>
    <row r="383">
      <c r="A383" s="82" t="s">
        <v>366</v>
      </c>
      <c r="B383" s="63" t="s">
        <v>297</v>
      </c>
      <c r="C383" s="88"/>
      <c r="D383" s="82">
        <v>3000.0</v>
      </c>
      <c r="E383" s="82">
        <f t="shared" si="16"/>
        <v>39000</v>
      </c>
      <c r="F383" s="82" t="s">
        <v>359</v>
      </c>
      <c r="G383" s="88"/>
      <c r="H383" s="41"/>
      <c r="I383" s="40" t="s">
        <v>39</v>
      </c>
      <c r="J383" s="40">
        <v>24000.0</v>
      </c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</row>
    <row r="384">
      <c r="A384" s="82" t="s">
        <v>366</v>
      </c>
      <c r="B384" s="63" t="s">
        <v>41</v>
      </c>
      <c r="C384" s="88"/>
      <c r="D384" s="82">
        <v>3000.0</v>
      </c>
      <c r="E384" s="82">
        <f t="shared" si="16"/>
        <v>42000</v>
      </c>
      <c r="F384" s="82" t="s">
        <v>359</v>
      </c>
      <c r="G384" s="88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</row>
    <row r="385">
      <c r="A385" s="82" t="s">
        <v>371</v>
      </c>
      <c r="B385" s="82" t="s">
        <v>372</v>
      </c>
      <c r="C385" s="82">
        <v>3000.0</v>
      </c>
      <c r="D385" s="88"/>
      <c r="E385" s="82">
        <f t="shared" si="16"/>
        <v>39000</v>
      </c>
      <c r="F385" s="82" t="s">
        <v>373</v>
      </c>
      <c r="G385" s="88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</row>
    <row r="386">
      <c r="A386" s="82" t="s">
        <v>374</v>
      </c>
      <c r="B386" s="63" t="s">
        <v>375</v>
      </c>
      <c r="C386" s="88"/>
      <c r="D386" s="82">
        <v>6000.0</v>
      </c>
      <c r="E386" s="82">
        <f t="shared" si="16"/>
        <v>45000</v>
      </c>
      <c r="F386" s="82" t="s">
        <v>376</v>
      </c>
      <c r="G386" s="88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</row>
    <row r="387">
      <c r="A387" s="82" t="s">
        <v>377</v>
      </c>
      <c r="B387" s="63" t="s">
        <v>46</v>
      </c>
      <c r="C387" s="88"/>
      <c r="D387" s="82">
        <v>3000.0</v>
      </c>
      <c r="E387" s="82">
        <f t="shared" si="16"/>
        <v>48000</v>
      </c>
      <c r="F387" s="82" t="s">
        <v>348</v>
      </c>
      <c r="G387" s="88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</row>
    <row r="388">
      <c r="A388" s="82" t="s">
        <v>378</v>
      </c>
      <c r="B388" s="63" t="s">
        <v>215</v>
      </c>
      <c r="C388" s="88"/>
      <c r="D388" s="82">
        <v>6000.0</v>
      </c>
      <c r="E388" s="82">
        <f t="shared" si="16"/>
        <v>54000</v>
      </c>
      <c r="F388" s="82" t="s">
        <v>379</v>
      </c>
      <c r="G388" s="88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</row>
    <row r="389">
      <c r="A389" s="82" t="s">
        <v>378</v>
      </c>
      <c r="B389" s="63" t="s">
        <v>380</v>
      </c>
      <c r="C389" s="88"/>
      <c r="D389" s="82">
        <v>6000.0</v>
      </c>
      <c r="E389" s="82">
        <f t="shared" si="16"/>
        <v>60000</v>
      </c>
      <c r="F389" s="82" t="s">
        <v>381</v>
      </c>
      <c r="G389" s="88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</row>
    <row r="390">
      <c r="A390" s="70" t="s">
        <v>382</v>
      </c>
      <c r="B390" s="69" t="s">
        <v>53</v>
      </c>
      <c r="C390" s="104"/>
      <c r="D390" s="70">
        <v>6000.0</v>
      </c>
      <c r="E390" s="70">
        <f t="shared" si="16"/>
        <v>66000</v>
      </c>
      <c r="F390" s="70" t="s">
        <v>381</v>
      </c>
      <c r="G390" s="88"/>
      <c r="H390" s="41"/>
      <c r="I390" s="40" t="s">
        <v>39</v>
      </c>
      <c r="J390" s="40">
        <v>15000.0</v>
      </c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</row>
    <row r="391">
      <c r="A391" s="70" t="s">
        <v>382</v>
      </c>
      <c r="B391" s="69" t="s">
        <v>45</v>
      </c>
      <c r="C391" s="104"/>
      <c r="D391" s="70">
        <v>6000.0</v>
      </c>
      <c r="E391" s="70">
        <f t="shared" si="16"/>
        <v>72000</v>
      </c>
      <c r="F391" s="70" t="s">
        <v>383</v>
      </c>
      <c r="G391" s="88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</row>
    <row r="392">
      <c r="A392" s="70" t="s">
        <v>382</v>
      </c>
      <c r="B392" s="69" t="s">
        <v>368</v>
      </c>
      <c r="C392" s="104"/>
      <c r="D392" s="70">
        <v>3000.0</v>
      </c>
      <c r="E392" s="70">
        <f t="shared" si="16"/>
        <v>75000</v>
      </c>
      <c r="F392" s="70" t="s">
        <v>384</v>
      </c>
      <c r="G392" s="88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</row>
    <row r="393">
      <c r="A393" s="70" t="s">
        <v>382</v>
      </c>
      <c r="B393" s="70" t="s">
        <v>385</v>
      </c>
      <c r="C393" s="104"/>
      <c r="D393" s="70">
        <v>3000.0</v>
      </c>
      <c r="E393" s="70">
        <f t="shared" si="16"/>
        <v>78000</v>
      </c>
      <c r="F393" s="70" t="s">
        <v>384</v>
      </c>
      <c r="G393" s="88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</row>
    <row r="394">
      <c r="A394" s="70" t="s">
        <v>382</v>
      </c>
      <c r="B394" s="70" t="s">
        <v>129</v>
      </c>
      <c r="C394" s="104"/>
      <c r="D394" s="70">
        <v>3000.0</v>
      </c>
      <c r="E394" s="70">
        <f t="shared" si="16"/>
        <v>81000</v>
      </c>
      <c r="F394" s="70" t="s">
        <v>384</v>
      </c>
      <c r="G394" s="88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</row>
    <row r="395">
      <c r="A395" s="70" t="s">
        <v>382</v>
      </c>
      <c r="B395" s="69" t="s">
        <v>43</v>
      </c>
      <c r="C395" s="104"/>
      <c r="D395" s="70">
        <v>3000.0</v>
      </c>
      <c r="E395" s="70">
        <f t="shared" si="16"/>
        <v>84000</v>
      </c>
      <c r="F395" s="70" t="s">
        <v>386</v>
      </c>
      <c r="G395" s="88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</row>
    <row r="396">
      <c r="A396" s="70" t="s">
        <v>382</v>
      </c>
      <c r="B396" s="69" t="s">
        <v>222</v>
      </c>
      <c r="C396" s="104"/>
      <c r="D396" s="70">
        <v>3000.0</v>
      </c>
      <c r="E396" s="70">
        <f t="shared" si="16"/>
        <v>87000</v>
      </c>
      <c r="F396" s="70" t="s">
        <v>386</v>
      </c>
      <c r="G396" s="88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</row>
    <row r="397">
      <c r="A397" s="70" t="s">
        <v>387</v>
      </c>
      <c r="B397" s="69" t="s">
        <v>40</v>
      </c>
      <c r="C397" s="104"/>
      <c r="D397" s="70">
        <v>3000.0</v>
      </c>
      <c r="E397" s="70">
        <f t="shared" si="16"/>
        <v>90000</v>
      </c>
      <c r="F397" s="70" t="s">
        <v>386</v>
      </c>
      <c r="G397" s="88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</row>
    <row r="398">
      <c r="A398" s="70" t="s">
        <v>388</v>
      </c>
      <c r="B398" s="69" t="s">
        <v>46</v>
      </c>
      <c r="C398" s="104"/>
      <c r="D398" s="70">
        <v>3000.0</v>
      </c>
      <c r="E398" s="70">
        <f t="shared" si="16"/>
        <v>93000</v>
      </c>
      <c r="F398" s="70" t="s">
        <v>386</v>
      </c>
      <c r="G398" s="88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</row>
    <row r="399">
      <c r="A399" s="70" t="s">
        <v>388</v>
      </c>
      <c r="B399" s="67" t="s">
        <v>36</v>
      </c>
      <c r="C399" s="104"/>
      <c r="D399" s="70">
        <v>3000.0</v>
      </c>
      <c r="E399" s="70">
        <f t="shared" si="16"/>
        <v>96000</v>
      </c>
      <c r="F399" s="70" t="s">
        <v>386</v>
      </c>
      <c r="G399" s="88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</row>
    <row r="400">
      <c r="A400" s="70" t="s">
        <v>388</v>
      </c>
      <c r="B400" s="69" t="s">
        <v>190</v>
      </c>
      <c r="C400" s="104"/>
      <c r="D400" s="70">
        <v>3000.0</v>
      </c>
      <c r="E400" s="70">
        <f t="shared" si="16"/>
        <v>99000</v>
      </c>
      <c r="F400" s="70" t="s">
        <v>386</v>
      </c>
      <c r="G400" s="88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</row>
    <row r="401">
      <c r="A401" s="70" t="s">
        <v>389</v>
      </c>
      <c r="B401" s="70" t="s">
        <v>294</v>
      </c>
      <c r="C401" s="70">
        <v>99000.0</v>
      </c>
      <c r="D401" s="104"/>
      <c r="E401" s="70">
        <f t="shared" si="16"/>
        <v>0</v>
      </c>
      <c r="F401" s="70" t="s">
        <v>329</v>
      </c>
      <c r="G401" s="88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</row>
    <row r="402">
      <c r="A402" s="105" t="s">
        <v>390</v>
      </c>
      <c r="B402" s="106" t="s">
        <v>52</v>
      </c>
      <c r="C402" s="107"/>
      <c r="D402" s="105">
        <v>3000.0</v>
      </c>
      <c r="E402" s="105">
        <f t="shared" si="16"/>
        <v>3000</v>
      </c>
      <c r="F402" s="105" t="s">
        <v>386</v>
      </c>
      <c r="G402" s="108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  <c r="AO402" s="109"/>
      <c r="AP402" s="109"/>
      <c r="AQ402" s="109"/>
    </row>
    <row r="403">
      <c r="A403" s="70" t="s">
        <v>390</v>
      </c>
      <c r="B403" s="69" t="s">
        <v>346</v>
      </c>
      <c r="C403" s="104"/>
      <c r="D403" s="70">
        <v>3000.0</v>
      </c>
      <c r="E403" s="70">
        <f t="shared" si="16"/>
        <v>6000</v>
      </c>
      <c r="F403" s="70" t="s">
        <v>386</v>
      </c>
      <c r="G403" s="88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</row>
    <row r="404">
      <c r="A404" s="70" t="s">
        <v>390</v>
      </c>
      <c r="B404" s="69" t="s">
        <v>164</v>
      </c>
      <c r="C404" s="104"/>
      <c r="D404" s="70">
        <v>6000.0</v>
      </c>
      <c r="E404" s="70">
        <f t="shared" si="16"/>
        <v>12000</v>
      </c>
      <c r="F404" s="70" t="s">
        <v>383</v>
      </c>
      <c r="G404" s="88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</row>
    <row r="405">
      <c r="A405" s="70" t="s">
        <v>390</v>
      </c>
      <c r="B405" s="69" t="s">
        <v>119</v>
      </c>
      <c r="C405" s="104"/>
      <c r="D405" s="70">
        <v>3000.0</v>
      </c>
      <c r="E405" s="70">
        <f t="shared" si="16"/>
        <v>15000</v>
      </c>
      <c r="F405" s="70" t="s">
        <v>391</v>
      </c>
      <c r="G405" s="88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</row>
    <row r="406">
      <c r="A406" s="70" t="s">
        <v>392</v>
      </c>
      <c r="B406" s="69" t="s">
        <v>126</v>
      </c>
      <c r="C406" s="104"/>
      <c r="D406" s="70">
        <v>3000.0</v>
      </c>
      <c r="E406" s="70">
        <f t="shared" si="16"/>
        <v>18000</v>
      </c>
      <c r="F406" s="70" t="s">
        <v>391</v>
      </c>
      <c r="G406" s="88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</row>
    <row r="407">
      <c r="A407" s="70" t="s">
        <v>392</v>
      </c>
      <c r="B407" s="69" t="s">
        <v>133</v>
      </c>
      <c r="C407" s="104"/>
      <c r="D407" s="70">
        <v>6000.0</v>
      </c>
      <c r="E407" s="70">
        <f t="shared" si="16"/>
        <v>24000</v>
      </c>
      <c r="F407" s="70" t="s">
        <v>393</v>
      </c>
      <c r="G407" s="88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</row>
    <row r="408">
      <c r="A408" s="70" t="s">
        <v>392</v>
      </c>
      <c r="B408" s="69" t="s">
        <v>51</v>
      </c>
      <c r="C408" s="104"/>
      <c r="D408" s="70">
        <v>3000.0</v>
      </c>
      <c r="E408" s="70">
        <f t="shared" si="16"/>
        <v>27000</v>
      </c>
      <c r="F408" s="70" t="s">
        <v>386</v>
      </c>
      <c r="G408" s="88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</row>
    <row r="409">
      <c r="A409" s="70" t="s">
        <v>392</v>
      </c>
      <c r="B409" s="69" t="s">
        <v>174</v>
      </c>
      <c r="C409" s="104"/>
      <c r="D409" s="70">
        <v>3000.0</v>
      </c>
      <c r="E409" s="70">
        <f t="shared" si="16"/>
        <v>30000</v>
      </c>
      <c r="F409" s="70" t="s">
        <v>391</v>
      </c>
      <c r="G409" s="88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</row>
    <row r="410">
      <c r="A410" s="70" t="s">
        <v>392</v>
      </c>
      <c r="B410" s="66" t="s">
        <v>113</v>
      </c>
      <c r="C410" s="104"/>
      <c r="D410" s="70">
        <v>3000.0</v>
      </c>
      <c r="E410" s="70">
        <f t="shared" si="16"/>
        <v>33000</v>
      </c>
      <c r="F410" s="70" t="s">
        <v>386</v>
      </c>
      <c r="G410" s="88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</row>
    <row r="411">
      <c r="A411" s="70" t="s">
        <v>392</v>
      </c>
      <c r="B411" s="69" t="s">
        <v>48</v>
      </c>
      <c r="C411" s="104"/>
      <c r="D411" s="70">
        <v>3000.0</v>
      </c>
      <c r="E411" s="70">
        <f t="shared" si="16"/>
        <v>36000</v>
      </c>
      <c r="F411" s="70" t="s">
        <v>391</v>
      </c>
      <c r="G411" s="88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</row>
    <row r="412">
      <c r="A412" s="70" t="s">
        <v>394</v>
      </c>
      <c r="B412" s="69" t="s">
        <v>395</v>
      </c>
      <c r="C412" s="104"/>
      <c r="D412" s="70">
        <v>6000.0</v>
      </c>
      <c r="E412" s="70">
        <f t="shared" si="16"/>
        <v>42000</v>
      </c>
      <c r="F412" s="70" t="s">
        <v>396</v>
      </c>
      <c r="G412" s="88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</row>
    <row r="413">
      <c r="A413" s="70" t="s">
        <v>394</v>
      </c>
      <c r="B413" s="69" t="s">
        <v>397</v>
      </c>
      <c r="C413" s="104"/>
      <c r="D413" s="70">
        <v>6000.0</v>
      </c>
      <c r="E413" s="70">
        <f t="shared" si="16"/>
        <v>48000</v>
      </c>
      <c r="F413" s="70" t="s">
        <v>396</v>
      </c>
      <c r="G413" s="88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</row>
    <row r="414">
      <c r="A414" s="70" t="s">
        <v>394</v>
      </c>
      <c r="B414" s="69" t="s">
        <v>354</v>
      </c>
      <c r="C414" s="104"/>
      <c r="D414" s="70">
        <v>3000.0</v>
      </c>
      <c r="E414" s="70">
        <f t="shared" si="16"/>
        <v>51000</v>
      </c>
      <c r="F414" s="70" t="s">
        <v>386</v>
      </c>
      <c r="G414" s="88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</row>
    <row r="415">
      <c r="A415" s="70" t="s">
        <v>394</v>
      </c>
      <c r="B415" s="69" t="s">
        <v>398</v>
      </c>
      <c r="C415" s="104"/>
      <c r="D415" s="70">
        <v>6000.0</v>
      </c>
      <c r="E415" s="70">
        <f t="shared" si="16"/>
        <v>57000</v>
      </c>
      <c r="F415" s="70" t="s">
        <v>399</v>
      </c>
      <c r="G415" s="88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</row>
    <row r="416">
      <c r="A416" s="70" t="s">
        <v>394</v>
      </c>
      <c r="B416" s="69" t="s">
        <v>41</v>
      </c>
      <c r="C416" s="104"/>
      <c r="D416" s="70">
        <v>3000.0</v>
      </c>
      <c r="E416" s="70">
        <f t="shared" si="16"/>
        <v>60000</v>
      </c>
      <c r="F416" s="70" t="s">
        <v>391</v>
      </c>
      <c r="G416" s="88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</row>
    <row r="417">
      <c r="A417" s="70" t="s">
        <v>394</v>
      </c>
      <c r="B417" s="69" t="s">
        <v>106</v>
      </c>
      <c r="C417" s="104"/>
      <c r="D417" s="70">
        <v>3000.0</v>
      </c>
      <c r="E417" s="70">
        <f t="shared" si="16"/>
        <v>63000</v>
      </c>
      <c r="F417" s="70" t="s">
        <v>386</v>
      </c>
      <c r="G417" s="88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</row>
    <row r="418">
      <c r="A418" s="70" t="s">
        <v>400</v>
      </c>
      <c r="B418" s="69" t="s">
        <v>361</v>
      </c>
      <c r="C418" s="104"/>
      <c r="D418" s="70">
        <v>3000.0</v>
      </c>
      <c r="E418" s="70">
        <f t="shared" si="16"/>
        <v>66000</v>
      </c>
      <c r="F418" s="70" t="s">
        <v>386</v>
      </c>
      <c r="G418" s="88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</row>
    <row r="419">
      <c r="A419" s="70" t="s">
        <v>400</v>
      </c>
      <c r="B419" s="69" t="s">
        <v>176</v>
      </c>
      <c r="C419" s="104"/>
      <c r="D419" s="70">
        <v>3000.0</v>
      </c>
      <c r="E419" s="70">
        <f t="shared" si="16"/>
        <v>69000</v>
      </c>
      <c r="F419" s="70" t="s">
        <v>384</v>
      </c>
      <c r="G419" s="88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</row>
    <row r="420">
      <c r="A420" s="70" t="s">
        <v>401</v>
      </c>
      <c r="B420" s="70" t="s">
        <v>270</v>
      </c>
      <c r="C420" s="70">
        <v>200.0</v>
      </c>
      <c r="D420" s="104"/>
      <c r="E420" s="70">
        <f t="shared" si="16"/>
        <v>68800</v>
      </c>
      <c r="F420" s="70" t="s">
        <v>402</v>
      </c>
      <c r="G420" s="88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</row>
    <row r="421">
      <c r="A421" s="70" t="s">
        <v>403</v>
      </c>
      <c r="B421" s="70" t="s">
        <v>294</v>
      </c>
      <c r="C421" s="70">
        <v>68800.0</v>
      </c>
      <c r="D421" s="104"/>
      <c r="E421" s="70">
        <f t="shared" si="16"/>
        <v>0</v>
      </c>
      <c r="F421" s="70" t="s">
        <v>329</v>
      </c>
      <c r="G421" s="88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</row>
    <row r="422">
      <c r="A422" s="70" t="s">
        <v>404</v>
      </c>
      <c r="B422" s="69" t="s">
        <v>346</v>
      </c>
      <c r="C422" s="104"/>
      <c r="D422" s="70">
        <v>3000.0</v>
      </c>
      <c r="E422" s="70">
        <f t="shared" si="16"/>
        <v>3000</v>
      </c>
      <c r="F422" s="70" t="s">
        <v>384</v>
      </c>
      <c r="G422" s="88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</row>
    <row r="423">
      <c r="A423" s="70" t="s">
        <v>404</v>
      </c>
      <c r="B423" s="69" t="s">
        <v>181</v>
      </c>
      <c r="C423" s="104"/>
      <c r="D423" s="70">
        <v>3000.0</v>
      </c>
      <c r="E423" s="70">
        <f t="shared" si="16"/>
        <v>6000</v>
      </c>
      <c r="F423" s="70" t="s">
        <v>386</v>
      </c>
      <c r="G423" s="88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</row>
    <row r="424">
      <c r="A424" s="70" t="s">
        <v>405</v>
      </c>
      <c r="B424" s="69" t="s">
        <v>406</v>
      </c>
      <c r="C424" s="104"/>
      <c r="D424" s="70">
        <v>6000.0</v>
      </c>
      <c r="E424" s="70">
        <f t="shared" si="16"/>
        <v>12000</v>
      </c>
      <c r="F424" s="70" t="s">
        <v>407</v>
      </c>
      <c r="G424" s="88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</row>
    <row r="425">
      <c r="A425" s="82" t="s">
        <v>408</v>
      </c>
      <c r="B425" s="63" t="s">
        <v>380</v>
      </c>
      <c r="C425" s="88"/>
      <c r="D425" s="82">
        <v>3000.0</v>
      </c>
      <c r="E425" s="82">
        <f t="shared" si="16"/>
        <v>15000</v>
      </c>
      <c r="F425" s="82" t="s">
        <v>409</v>
      </c>
      <c r="G425" s="88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</row>
    <row r="426">
      <c r="A426" s="82" t="s">
        <v>410</v>
      </c>
      <c r="B426" s="63" t="s">
        <v>411</v>
      </c>
      <c r="C426" s="88"/>
      <c r="D426" s="82">
        <v>3000.0</v>
      </c>
      <c r="E426" s="82">
        <f t="shared" si="16"/>
        <v>18000</v>
      </c>
      <c r="F426" s="70" t="s">
        <v>407</v>
      </c>
      <c r="G426" s="88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</row>
    <row r="427">
      <c r="A427" s="82" t="s">
        <v>412</v>
      </c>
      <c r="B427" s="82" t="s">
        <v>156</v>
      </c>
      <c r="C427" s="88"/>
      <c r="D427" s="82">
        <v>3000.0</v>
      </c>
      <c r="E427" s="82">
        <f t="shared" si="16"/>
        <v>21000</v>
      </c>
      <c r="F427" s="82" t="s">
        <v>413</v>
      </c>
      <c r="G427" s="88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</row>
    <row r="428">
      <c r="A428" s="82" t="s">
        <v>414</v>
      </c>
      <c r="B428" s="82" t="s">
        <v>174</v>
      </c>
      <c r="C428" s="88"/>
      <c r="D428" s="82">
        <v>3000.0</v>
      </c>
      <c r="E428" s="82">
        <f t="shared" si="16"/>
        <v>24000</v>
      </c>
      <c r="F428" s="82" t="s">
        <v>413</v>
      </c>
      <c r="G428" s="88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</row>
    <row r="429">
      <c r="A429" s="82" t="s">
        <v>412</v>
      </c>
      <c r="B429" s="82" t="s">
        <v>368</v>
      </c>
      <c r="C429" s="88"/>
      <c r="D429" s="82">
        <v>3000.0</v>
      </c>
      <c r="E429" s="82">
        <f t="shared" si="16"/>
        <v>27000</v>
      </c>
      <c r="F429" s="82" t="s">
        <v>413</v>
      </c>
      <c r="G429" s="88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</row>
    <row r="430">
      <c r="A430" s="82" t="s">
        <v>415</v>
      </c>
      <c r="B430" s="82" t="s">
        <v>300</v>
      </c>
      <c r="C430" s="88"/>
      <c r="D430" s="82">
        <v>3000.0</v>
      </c>
      <c r="E430" s="82">
        <f t="shared" si="16"/>
        <v>30000</v>
      </c>
      <c r="F430" s="82" t="s">
        <v>384</v>
      </c>
      <c r="G430" s="88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</row>
    <row r="431">
      <c r="A431" s="82" t="s">
        <v>416</v>
      </c>
      <c r="B431" s="82" t="s">
        <v>397</v>
      </c>
      <c r="C431" s="88"/>
      <c r="D431" s="82">
        <v>3000.0</v>
      </c>
      <c r="E431" s="82">
        <f t="shared" si="16"/>
        <v>33000</v>
      </c>
      <c r="F431" s="82" t="s">
        <v>413</v>
      </c>
      <c r="G431" s="88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</row>
    <row r="432">
      <c r="A432" s="82" t="s">
        <v>412</v>
      </c>
      <c r="B432" s="82" t="s">
        <v>113</v>
      </c>
      <c r="C432" s="88"/>
      <c r="D432" s="82">
        <v>3000.0</v>
      </c>
      <c r="E432" s="82">
        <f t="shared" si="16"/>
        <v>36000</v>
      </c>
      <c r="F432" s="82" t="s">
        <v>417</v>
      </c>
      <c r="G432" s="88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</row>
    <row r="433">
      <c r="A433" s="82" t="s">
        <v>412</v>
      </c>
      <c r="B433" s="82" t="s">
        <v>36</v>
      </c>
      <c r="C433" s="88"/>
      <c r="D433" s="82">
        <v>3000.0</v>
      </c>
      <c r="E433" s="82">
        <f t="shared" si="16"/>
        <v>39000</v>
      </c>
      <c r="F433" s="82" t="s">
        <v>417</v>
      </c>
      <c r="G433" s="88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</row>
    <row r="434">
      <c r="A434" s="82" t="s">
        <v>412</v>
      </c>
      <c r="B434" s="82" t="s">
        <v>53</v>
      </c>
      <c r="C434" s="88"/>
      <c r="D434" s="82">
        <v>3000.0</v>
      </c>
      <c r="E434" s="82">
        <f t="shared" si="16"/>
        <v>42000</v>
      </c>
      <c r="F434" s="82" t="s">
        <v>417</v>
      </c>
      <c r="G434" s="88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</row>
    <row r="435">
      <c r="A435" s="82" t="s">
        <v>412</v>
      </c>
      <c r="B435" s="82" t="s">
        <v>52</v>
      </c>
      <c r="C435" s="88"/>
      <c r="D435" s="82">
        <v>3000.0</v>
      </c>
      <c r="E435" s="82">
        <f t="shared" si="16"/>
        <v>45000</v>
      </c>
      <c r="F435" s="82" t="s">
        <v>417</v>
      </c>
      <c r="G435" s="88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</row>
    <row r="436">
      <c r="A436" s="82" t="s">
        <v>412</v>
      </c>
      <c r="B436" s="82" t="s">
        <v>129</v>
      </c>
      <c r="C436" s="88"/>
      <c r="D436" s="82">
        <v>3000.0</v>
      </c>
      <c r="E436" s="82">
        <f t="shared" si="16"/>
        <v>48000</v>
      </c>
      <c r="F436" s="82" t="s">
        <v>417</v>
      </c>
      <c r="G436" s="88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</row>
    <row r="437">
      <c r="A437" s="82" t="s">
        <v>418</v>
      </c>
      <c r="B437" s="82" t="s">
        <v>419</v>
      </c>
      <c r="C437" s="88"/>
      <c r="D437" s="82">
        <v>6000.0</v>
      </c>
      <c r="E437" s="82">
        <f t="shared" si="16"/>
        <v>54000</v>
      </c>
      <c r="F437" s="70" t="s">
        <v>407</v>
      </c>
      <c r="G437" s="88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</row>
    <row r="438">
      <c r="A438" s="82" t="s">
        <v>418</v>
      </c>
      <c r="B438" s="82" t="s">
        <v>420</v>
      </c>
      <c r="C438" s="88"/>
      <c r="D438" s="82">
        <v>6000.0</v>
      </c>
      <c r="E438" s="82">
        <f t="shared" si="16"/>
        <v>60000</v>
      </c>
      <c r="F438" s="70" t="s">
        <v>407</v>
      </c>
      <c r="G438" s="88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</row>
    <row r="439">
      <c r="A439" s="82" t="s">
        <v>415</v>
      </c>
      <c r="B439" s="82" t="s">
        <v>380</v>
      </c>
      <c r="C439" s="88"/>
      <c r="D439" s="82">
        <v>3000.0</v>
      </c>
      <c r="E439" s="82">
        <f t="shared" si="16"/>
        <v>63000</v>
      </c>
      <c r="F439" s="82" t="s">
        <v>417</v>
      </c>
      <c r="G439" s="88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</row>
    <row r="440">
      <c r="A440" s="82" t="s">
        <v>421</v>
      </c>
      <c r="B440" s="82" t="s">
        <v>422</v>
      </c>
      <c r="C440" s="88"/>
      <c r="D440" s="82">
        <v>6000.0</v>
      </c>
      <c r="E440" s="82">
        <f t="shared" si="16"/>
        <v>69000</v>
      </c>
      <c r="F440" s="70" t="s">
        <v>407</v>
      </c>
      <c r="G440" s="88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</row>
    <row r="441">
      <c r="A441" s="82" t="s">
        <v>423</v>
      </c>
      <c r="B441" s="82" t="s">
        <v>43</v>
      </c>
      <c r="C441" s="82"/>
      <c r="D441" s="82">
        <v>3000.0</v>
      </c>
      <c r="E441" s="82">
        <f t="shared" si="16"/>
        <v>72000</v>
      </c>
      <c r="F441" s="70" t="s">
        <v>409</v>
      </c>
      <c r="G441" s="88"/>
      <c r="H441" s="41"/>
      <c r="I441" s="41">
        <f>6*3000</f>
        <v>18000</v>
      </c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</row>
    <row r="442">
      <c r="A442" s="82" t="s">
        <v>423</v>
      </c>
      <c r="B442" s="82" t="s">
        <v>51</v>
      </c>
      <c r="C442" s="88"/>
      <c r="D442" s="82">
        <v>3000.0</v>
      </c>
      <c r="E442" s="82">
        <f t="shared" si="16"/>
        <v>75000</v>
      </c>
      <c r="F442" s="70" t="s">
        <v>409</v>
      </c>
      <c r="G442" s="88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</row>
    <row r="443">
      <c r="A443" s="82" t="s">
        <v>423</v>
      </c>
      <c r="B443" s="82" t="s">
        <v>40</v>
      </c>
      <c r="C443" s="88"/>
      <c r="D443" s="82">
        <v>3000.0</v>
      </c>
      <c r="E443" s="82">
        <f t="shared" si="16"/>
        <v>78000</v>
      </c>
      <c r="F443" s="70" t="s">
        <v>409</v>
      </c>
      <c r="G443" s="88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</row>
    <row r="444">
      <c r="A444" s="82" t="s">
        <v>423</v>
      </c>
      <c r="B444" s="63" t="s">
        <v>424</v>
      </c>
      <c r="C444" s="88"/>
      <c r="D444" s="82">
        <v>6000.0</v>
      </c>
      <c r="E444" s="82">
        <f t="shared" si="16"/>
        <v>84000</v>
      </c>
      <c r="F444" s="70" t="s">
        <v>407</v>
      </c>
      <c r="G444" s="88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</row>
    <row r="445">
      <c r="A445" s="82" t="s">
        <v>423</v>
      </c>
      <c r="B445" s="82" t="s">
        <v>425</v>
      </c>
      <c r="C445" s="88"/>
      <c r="D445" s="82">
        <v>6000.0</v>
      </c>
      <c r="E445" s="82">
        <f t="shared" si="16"/>
        <v>90000</v>
      </c>
      <c r="F445" s="70" t="s">
        <v>426</v>
      </c>
      <c r="G445" s="88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</row>
    <row r="446">
      <c r="A446" s="82" t="s">
        <v>427</v>
      </c>
      <c r="B446" s="63" t="s">
        <v>300</v>
      </c>
      <c r="C446" s="88"/>
      <c r="D446" s="82">
        <v>3000.0</v>
      </c>
      <c r="E446" s="82">
        <f t="shared" si="16"/>
        <v>93000</v>
      </c>
      <c r="F446" s="70" t="s">
        <v>413</v>
      </c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</row>
    <row r="447">
      <c r="A447" s="82" t="s">
        <v>427</v>
      </c>
      <c r="B447" s="82" t="s">
        <v>222</v>
      </c>
      <c r="C447" s="88"/>
      <c r="D447" s="82">
        <v>3000.0</v>
      </c>
      <c r="E447" s="82">
        <f t="shared" si="16"/>
        <v>96000</v>
      </c>
      <c r="F447" s="70" t="s">
        <v>409</v>
      </c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</row>
    <row r="448">
      <c r="A448" s="82" t="s">
        <v>427</v>
      </c>
      <c r="B448" s="82" t="s">
        <v>190</v>
      </c>
      <c r="C448" s="88"/>
      <c r="D448" s="82">
        <v>3000.0</v>
      </c>
      <c r="E448" s="82">
        <f t="shared" si="16"/>
        <v>99000</v>
      </c>
      <c r="F448" s="70" t="s">
        <v>409</v>
      </c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</row>
    <row r="449">
      <c r="A449" s="82" t="s">
        <v>427</v>
      </c>
      <c r="B449" s="82" t="s">
        <v>428</v>
      </c>
      <c r="C449" s="82">
        <v>1500.0</v>
      </c>
      <c r="D449" s="88"/>
      <c r="E449" s="82">
        <f t="shared" si="16"/>
        <v>97500</v>
      </c>
      <c r="F449" s="82" t="s">
        <v>429</v>
      </c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</row>
    <row r="450">
      <c r="A450" s="82" t="s">
        <v>427</v>
      </c>
      <c r="B450" s="82" t="s">
        <v>119</v>
      </c>
      <c r="C450" s="88"/>
      <c r="D450" s="82">
        <v>3000.0</v>
      </c>
      <c r="E450" s="82">
        <f t="shared" si="16"/>
        <v>100500</v>
      </c>
      <c r="F450" s="70" t="s">
        <v>413</v>
      </c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</row>
    <row r="451">
      <c r="A451" s="82" t="s">
        <v>430</v>
      </c>
      <c r="B451" s="82" t="s">
        <v>46</v>
      </c>
      <c r="C451" s="88"/>
      <c r="D451" s="82">
        <v>3000.0</v>
      </c>
      <c r="E451" s="82">
        <f t="shared" si="16"/>
        <v>103500</v>
      </c>
      <c r="F451" s="70" t="s">
        <v>413</v>
      </c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</row>
    <row r="452">
      <c r="A452" s="82" t="s">
        <v>430</v>
      </c>
      <c r="B452" s="82" t="s">
        <v>354</v>
      </c>
      <c r="C452" s="88"/>
      <c r="D452" s="82">
        <v>3000.0</v>
      </c>
      <c r="E452" s="82">
        <f t="shared" si="16"/>
        <v>106500</v>
      </c>
      <c r="F452" s="70" t="s">
        <v>413</v>
      </c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</row>
    <row r="453">
      <c r="A453" s="82" t="s">
        <v>430</v>
      </c>
      <c r="B453" s="82" t="s">
        <v>375</v>
      </c>
      <c r="C453" s="88"/>
      <c r="D453" s="82">
        <v>3000.0</v>
      </c>
      <c r="E453" s="82">
        <f t="shared" si="16"/>
        <v>109500</v>
      </c>
      <c r="F453" s="70" t="s">
        <v>413</v>
      </c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</row>
    <row r="454">
      <c r="A454" s="82" t="s">
        <v>427</v>
      </c>
      <c r="B454" s="110" t="s">
        <v>431</v>
      </c>
      <c r="C454" s="110">
        <v>2000.0</v>
      </c>
      <c r="D454" s="88"/>
      <c r="E454" s="82">
        <f t="shared" si="16"/>
        <v>107500</v>
      </c>
      <c r="F454" s="88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</row>
    <row r="455">
      <c r="A455" s="82" t="s">
        <v>430</v>
      </c>
      <c r="B455" s="82" t="s">
        <v>48</v>
      </c>
      <c r="C455" s="88"/>
      <c r="D455" s="82">
        <v>3000.0</v>
      </c>
      <c r="E455" s="82">
        <f t="shared" si="16"/>
        <v>110500</v>
      </c>
      <c r="F455" s="70" t="s">
        <v>413</v>
      </c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</row>
    <row r="456">
      <c r="A456" s="82" t="s">
        <v>432</v>
      </c>
      <c r="B456" s="69" t="s">
        <v>41</v>
      </c>
      <c r="C456" s="88"/>
      <c r="D456" s="82">
        <v>3000.0</v>
      </c>
      <c r="E456" s="82">
        <f t="shared" si="16"/>
        <v>113500</v>
      </c>
      <c r="F456" s="70" t="s">
        <v>413</v>
      </c>
      <c r="G456" s="41"/>
      <c r="H456" s="41">
        <f>110500+18000</f>
        <v>128500</v>
      </c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</row>
    <row r="457">
      <c r="A457" s="82" t="s">
        <v>433</v>
      </c>
      <c r="B457" s="63" t="s">
        <v>346</v>
      </c>
      <c r="C457" s="88"/>
      <c r="D457" s="82">
        <v>3000.0</v>
      </c>
      <c r="E457" s="82">
        <f t="shared" si="16"/>
        <v>116500</v>
      </c>
      <c r="F457" s="70" t="s">
        <v>409</v>
      </c>
      <c r="G457" s="41"/>
      <c r="H457" s="41">
        <f>H456-43000</f>
        <v>85500</v>
      </c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</row>
    <row r="458">
      <c r="A458" s="82" t="s">
        <v>433</v>
      </c>
      <c r="B458" s="63" t="s">
        <v>398</v>
      </c>
      <c r="C458" s="88"/>
      <c r="D458" s="82">
        <v>3000.0</v>
      </c>
      <c r="E458" s="82">
        <f t="shared" si="16"/>
        <v>119500</v>
      </c>
      <c r="F458" s="70" t="s">
        <v>409</v>
      </c>
      <c r="G458" s="41"/>
      <c r="H458" s="40">
        <v>57500.0</v>
      </c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</row>
    <row r="459">
      <c r="A459" s="82" t="s">
        <v>434</v>
      </c>
      <c r="B459" s="82" t="s">
        <v>176</v>
      </c>
      <c r="C459" s="88"/>
      <c r="D459" s="82">
        <v>3000.0</v>
      </c>
      <c r="E459" s="82">
        <f t="shared" si="16"/>
        <v>122500</v>
      </c>
      <c r="F459" s="70" t="s">
        <v>413</v>
      </c>
      <c r="G459" s="41"/>
      <c r="H459" s="41">
        <f>H457-H458</f>
        <v>28000</v>
      </c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</row>
    <row r="460">
      <c r="A460" s="82" t="s">
        <v>435</v>
      </c>
      <c r="B460" s="63" t="s">
        <v>106</v>
      </c>
      <c r="C460" s="88"/>
      <c r="D460" s="82">
        <v>3000.0</v>
      </c>
      <c r="E460" s="82">
        <f t="shared" si="16"/>
        <v>125500</v>
      </c>
      <c r="F460" s="70" t="s">
        <v>409</v>
      </c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</row>
    <row r="461">
      <c r="A461" s="82" t="s">
        <v>436</v>
      </c>
      <c r="B461" s="69" t="s">
        <v>181</v>
      </c>
      <c r="C461" s="88"/>
      <c r="D461" s="82">
        <v>3000.0</v>
      </c>
      <c r="E461" s="82">
        <f t="shared" si="16"/>
        <v>128500</v>
      </c>
      <c r="F461" s="70" t="s">
        <v>409</v>
      </c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</row>
    <row r="462">
      <c r="A462" s="82" t="s">
        <v>437</v>
      </c>
      <c r="B462" s="63" t="s">
        <v>215</v>
      </c>
      <c r="C462" s="88"/>
      <c r="D462" s="82">
        <v>3000.0</v>
      </c>
      <c r="E462" s="82">
        <f t="shared" si="16"/>
        <v>131500</v>
      </c>
      <c r="F462" s="70" t="s">
        <v>409</v>
      </c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</row>
    <row r="463">
      <c r="A463" s="82" t="s">
        <v>438</v>
      </c>
      <c r="B463" s="69" t="s">
        <v>50</v>
      </c>
      <c r="C463" s="88"/>
      <c r="D463" s="82">
        <v>3000.0</v>
      </c>
      <c r="E463" s="82">
        <f t="shared" si="16"/>
        <v>134500</v>
      </c>
      <c r="F463" s="82" t="s">
        <v>439</v>
      </c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</row>
    <row r="464">
      <c r="A464" s="70"/>
      <c r="B464" s="70"/>
      <c r="C464" s="70"/>
      <c r="D464" s="70"/>
      <c r="E464" s="70"/>
      <c r="F464" s="70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</row>
    <row r="465">
      <c r="A465" s="77"/>
      <c r="B465" s="77"/>
      <c r="C465" s="111"/>
      <c r="D465" s="77"/>
      <c r="E465" s="77"/>
      <c r="F465" s="77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</row>
    <row r="466">
      <c r="A466" s="82"/>
      <c r="B466" s="82"/>
      <c r="C466" s="88"/>
      <c r="D466" s="82"/>
      <c r="E466" s="82"/>
      <c r="F466" s="82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</row>
    <row r="467">
      <c r="A467" s="82" t="s">
        <v>438</v>
      </c>
      <c r="B467" s="82" t="s">
        <v>45</v>
      </c>
      <c r="C467" s="88"/>
      <c r="D467" s="82">
        <v>6000.0</v>
      </c>
      <c r="E467" s="82">
        <v>6000.0</v>
      </c>
      <c r="F467" s="82" t="s">
        <v>440</v>
      </c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</row>
    <row r="468">
      <c r="A468" s="82" t="s">
        <v>438</v>
      </c>
      <c r="B468" s="82" t="s">
        <v>406</v>
      </c>
      <c r="C468" s="88"/>
      <c r="D468" s="82">
        <v>3000.0</v>
      </c>
      <c r="E468" s="82">
        <f t="shared" ref="E468:E509" si="17">E467+(D468-C468)</f>
        <v>9000</v>
      </c>
      <c r="F468" s="82" t="s">
        <v>441</v>
      </c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</row>
    <row r="469">
      <c r="A469" s="82" t="s">
        <v>442</v>
      </c>
      <c r="B469" s="82" t="s">
        <v>429</v>
      </c>
      <c r="C469" s="82">
        <v>1600.0</v>
      </c>
      <c r="D469" s="88"/>
      <c r="E469" s="82">
        <f t="shared" si="17"/>
        <v>7400</v>
      </c>
      <c r="F469" s="82" t="s">
        <v>443</v>
      </c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</row>
    <row r="470">
      <c r="A470" s="82" t="s">
        <v>442</v>
      </c>
      <c r="B470" s="63" t="s">
        <v>422</v>
      </c>
      <c r="C470" s="88"/>
      <c r="D470" s="82">
        <v>3000.0</v>
      </c>
      <c r="E470" s="82">
        <f t="shared" si="17"/>
        <v>10400</v>
      </c>
      <c r="F470" s="82" t="s">
        <v>441</v>
      </c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</row>
    <row r="471">
      <c r="A471" s="82" t="s">
        <v>442</v>
      </c>
      <c r="B471" s="63" t="s">
        <v>52</v>
      </c>
      <c r="C471" s="88"/>
      <c r="D471" s="82">
        <v>3000.0</v>
      </c>
      <c r="E471" s="82">
        <f t="shared" si="17"/>
        <v>13400</v>
      </c>
      <c r="F471" s="82" t="s">
        <v>441</v>
      </c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</row>
    <row r="472">
      <c r="A472" s="82" t="s">
        <v>442</v>
      </c>
      <c r="B472" s="66" t="s">
        <v>113</v>
      </c>
      <c r="C472" s="88"/>
      <c r="D472" s="82">
        <v>3000.0</v>
      </c>
      <c r="E472" s="82">
        <f t="shared" si="17"/>
        <v>16400</v>
      </c>
      <c r="F472" s="82" t="s">
        <v>441</v>
      </c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</row>
    <row r="473">
      <c r="A473" s="82" t="s">
        <v>444</v>
      </c>
      <c r="B473" s="82" t="s">
        <v>51</v>
      </c>
      <c r="C473" s="88"/>
      <c r="D473" s="82">
        <v>3000.0</v>
      </c>
      <c r="E473" s="82">
        <f t="shared" si="17"/>
        <v>19400</v>
      </c>
      <c r="F473" s="82" t="s">
        <v>441</v>
      </c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</row>
    <row r="474">
      <c r="A474" s="82" t="s">
        <v>444</v>
      </c>
      <c r="B474" s="82" t="s">
        <v>445</v>
      </c>
      <c r="C474" s="88"/>
      <c r="D474" s="82">
        <v>3000.0</v>
      </c>
      <c r="E474" s="82">
        <f t="shared" si="17"/>
        <v>22400</v>
      </c>
      <c r="F474" s="82" t="s">
        <v>441</v>
      </c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</row>
    <row r="475">
      <c r="A475" s="82" t="s">
        <v>446</v>
      </c>
      <c r="B475" s="82" t="s">
        <v>126</v>
      </c>
      <c r="C475" s="88"/>
      <c r="D475" s="82">
        <v>3000.0</v>
      </c>
      <c r="E475" s="82">
        <f t="shared" si="17"/>
        <v>25400</v>
      </c>
      <c r="F475" s="82" t="s">
        <v>441</v>
      </c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</row>
    <row r="476">
      <c r="A476" s="82" t="s">
        <v>446</v>
      </c>
      <c r="B476" s="82" t="s">
        <v>40</v>
      </c>
      <c r="C476" s="88"/>
      <c r="D476" s="82">
        <v>3000.0</v>
      </c>
      <c r="E476" s="82">
        <f t="shared" si="17"/>
        <v>28400</v>
      </c>
      <c r="F476" s="82" t="s">
        <v>441</v>
      </c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</row>
    <row r="477">
      <c r="A477" s="82" t="s">
        <v>446</v>
      </c>
      <c r="B477" s="82" t="s">
        <v>411</v>
      </c>
      <c r="C477" s="88"/>
      <c r="D477" s="82">
        <v>3000.0</v>
      </c>
      <c r="E477" s="82">
        <f t="shared" si="17"/>
        <v>31400</v>
      </c>
      <c r="F477" s="82" t="s">
        <v>441</v>
      </c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</row>
    <row r="478">
      <c r="A478" s="82" t="s">
        <v>446</v>
      </c>
      <c r="B478" s="82" t="s">
        <v>215</v>
      </c>
      <c r="C478" s="88"/>
      <c r="D478" s="82">
        <v>3000.0</v>
      </c>
      <c r="E478" s="82">
        <f t="shared" si="17"/>
        <v>34400</v>
      </c>
      <c r="F478" s="82" t="s">
        <v>409</v>
      </c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</row>
    <row r="479">
      <c r="A479" s="82" t="s">
        <v>446</v>
      </c>
      <c r="B479" s="82" t="s">
        <v>43</v>
      </c>
      <c r="C479" s="88"/>
      <c r="D479" s="82">
        <v>3000.0</v>
      </c>
      <c r="E479" s="82">
        <f t="shared" si="17"/>
        <v>37400</v>
      </c>
      <c r="F479" s="82" t="s">
        <v>441</v>
      </c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</row>
    <row r="480">
      <c r="A480" s="82" t="s">
        <v>446</v>
      </c>
      <c r="B480" s="82" t="s">
        <v>420</v>
      </c>
      <c r="C480" s="88"/>
      <c r="D480" s="82">
        <v>3000.0</v>
      </c>
      <c r="E480" s="82">
        <f t="shared" si="17"/>
        <v>40400</v>
      </c>
      <c r="F480" s="82" t="s">
        <v>447</v>
      </c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</row>
    <row r="481">
      <c r="A481" s="82" t="s">
        <v>446</v>
      </c>
      <c r="B481" s="82" t="s">
        <v>397</v>
      </c>
      <c r="C481" s="88"/>
      <c r="D481" s="82">
        <v>3000.0</v>
      </c>
      <c r="E481" s="82">
        <f t="shared" si="17"/>
        <v>43400</v>
      </c>
      <c r="F481" s="82" t="s">
        <v>447</v>
      </c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</row>
    <row r="482">
      <c r="A482" s="82" t="s">
        <v>448</v>
      </c>
      <c r="B482" s="82" t="s">
        <v>106</v>
      </c>
      <c r="C482" s="88"/>
      <c r="D482" s="82">
        <v>3000.0</v>
      </c>
      <c r="E482" s="82">
        <f t="shared" si="17"/>
        <v>46400</v>
      </c>
      <c r="F482" s="82" t="s">
        <v>441</v>
      </c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</row>
    <row r="483">
      <c r="A483" s="82" t="s">
        <v>448</v>
      </c>
      <c r="B483" s="82" t="s">
        <v>449</v>
      </c>
      <c r="C483" s="88"/>
      <c r="D483" s="82">
        <v>3000.0</v>
      </c>
      <c r="E483" s="82">
        <f t="shared" si="17"/>
        <v>49400</v>
      </c>
      <c r="F483" s="82" t="s">
        <v>441</v>
      </c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</row>
    <row r="484">
      <c r="A484" s="82" t="s">
        <v>448</v>
      </c>
      <c r="B484" s="82" t="s">
        <v>450</v>
      </c>
      <c r="C484" s="88"/>
      <c r="D484" s="82">
        <v>3000.0</v>
      </c>
      <c r="E484" s="82">
        <f t="shared" si="17"/>
        <v>52400</v>
      </c>
      <c r="F484" s="82" t="s">
        <v>441</v>
      </c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</row>
    <row r="485">
      <c r="A485" s="82" t="s">
        <v>448</v>
      </c>
      <c r="B485" s="82" t="s">
        <v>425</v>
      </c>
      <c r="C485" s="88"/>
      <c r="D485" s="82">
        <v>3000.0</v>
      </c>
      <c r="E485" s="82">
        <f t="shared" si="17"/>
        <v>55400</v>
      </c>
      <c r="F485" s="82" t="s">
        <v>447</v>
      </c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</row>
    <row r="486">
      <c r="A486" s="82" t="s">
        <v>448</v>
      </c>
      <c r="B486" s="82" t="s">
        <v>419</v>
      </c>
      <c r="C486" s="88"/>
      <c r="D486" s="82">
        <v>3000.0</v>
      </c>
      <c r="E486" s="82">
        <f t="shared" si="17"/>
        <v>58400</v>
      </c>
      <c r="F486" s="82" t="s">
        <v>447</v>
      </c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</row>
    <row r="487">
      <c r="A487" s="82" t="s">
        <v>448</v>
      </c>
      <c r="B487" s="82" t="s">
        <v>368</v>
      </c>
      <c r="C487" s="88"/>
      <c r="D487" s="82">
        <v>3000.0</v>
      </c>
      <c r="E487" s="82">
        <f t="shared" si="17"/>
        <v>61400</v>
      </c>
      <c r="F487" s="82" t="s">
        <v>447</v>
      </c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</row>
    <row r="488">
      <c r="A488" s="82" t="s">
        <v>451</v>
      </c>
      <c r="B488" s="82" t="s">
        <v>119</v>
      </c>
      <c r="C488" s="88"/>
      <c r="D488" s="82">
        <v>3000.0</v>
      </c>
      <c r="E488" s="82">
        <f t="shared" si="17"/>
        <v>64400</v>
      </c>
      <c r="F488" s="82" t="s">
        <v>447</v>
      </c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</row>
    <row r="489">
      <c r="A489" s="82" t="s">
        <v>451</v>
      </c>
      <c r="B489" s="63" t="s">
        <v>354</v>
      </c>
      <c r="C489" s="88"/>
      <c r="D489" s="82">
        <v>3000.0</v>
      </c>
      <c r="E489" s="82">
        <f t="shared" si="17"/>
        <v>67400</v>
      </c>
      <c r="F489" s="82" t="s">
        <v>447</v>
      </c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</row>
    <row r="490">
      <c r="A490" s="82" t="s">
        <v>451</v>
      </c>
      <c r="B490" s="63" t="s">
        <v>48</v>
      </c>
      <c r="C490" s="88"/>
      <c r="D490" s="82">
        <v>3000.0</v>
      </c>
      <c r="E490" s="82">
        <f t="shared" si="17"/>
        <v>70400</v>
      </c>
      <c r="F490" s="82" t="s">
        <v>447</v>
      </c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</row>
    <row r="491">
      <c r="A491" s="82" t="s">
        <v>451</v>
      </c>
      <c r="B491" s="63" t="s">
        <v>53</v>
      </c>
      <c r="C491" s="88"/>
      <c r="D491" s="82">
        <v>3000.0</v>
      </c>
      <c r="E491" s="82">
        <f t="shared" si="17"/>
        <v>73400</v>
      </c>
      <c r="F491" s="82" t="s">
        <v>441</v>
      </c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</row>
    <row r="492">
      <c r="A492" s="82" t="s">
        <v>451</v>
      </c>
      <c r="B492" s="63" t="s">
        <v>46</v>
      </c>
      <c r="C492" s="88"/>
      <c r="D492" s="82">
        <v>3000.0</v>
      </c>
      <c r="E492" s="82">
        <f t="shared" si="17"/>
        <v>76400</v>
      </c>
      <c r="F492" s="82" t="s">
        <v>441</v>
      </c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</row>
    <row r="493">
      <c r="A493" s="82" t="s">
        <v>452</v>
      </c>
      <c r="B493" s="63" t="s">
        <v>346</v>
      </c>
      <c r="C493" s="88"/>
      <c r="D493" s="82">
        <v>3000.0</v>
      </c>
      <c r="E493" s="82">
        <f t="shared" si="17"/>
        <v>79400</v>
      </c>
      <c r="F493" s="82" t="s">
        <v>441</v>
      </c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</row>
    <row r="494">
      <c r="A494" s="82" t="s">
        <v>453</v>
      </c>
      <c r="B494" s="82" t="s">
        <v>424</v>
      </c>
      <c r="C494" s="88"/>
      <c r="D494" s="82">
        <v>3000.0</v>
      </c>
      <c r="E494" s="82">
        <f t="shared" si="17"/>
        <v>82400</v>
      </c>
      <c r="F494" s="82" t="s">
        <v>439</v>
      </c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</row>
    <row r="495">
      <c r="A495" s="82" t="s">
        <v>453</v>
      </c>
      <c r="B495" s="82" t="s">
        <v>36</v>
      </c>
      <c r="C495" s="88"/>
      <c r="D495" s="82">
        <v>3000.0</v>
      </c>
      <c r="E495" s="82">
        <f t="shared" si="17"/>
        <v>85400</v>
      </c>
      <c r="F495" s="82" t="s">
        <v>439</v>
      </c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</row>
    <row r="496">
      <c r="A496" s="82" t="s">
        <v>454</v>
      </c>
      <c r="B496" s="63" t="s">
        <v>222</v>
      </c>
      <c r="C496" s="88"/>
      <c r="D496" s="82">
        <v>3000.0</v>
      </c>
      <c r="E496" s="82">
        <f t="shared" si="17"/>
        <v>88400</v>
      </c>
      <c r="F496" s="82" t="s">
        <v>441</v>
      </c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</row>
    <row r="497">
      <c r="A497" s="82" t="s">
        <v>454</v>
      </c>
      <c r="B497" s="63" t="s">
        <v>126</v>
      </c>
      <c r="C497" s="88"/>
      <c r="D497" s="82">
        <v>3000.0</v>
      </c>
      <c r="E497" s="82">
        <f t="shared" si="17"/>
        <v>91400</v>
      </c>
      <c r="F497" s="82" t="s">
        <v>441</v>
      </c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</row>
    <row r="498">
      <c r="A498" s="82" t="s">
        <v>454</v>
      </c>
      <c r="B498" s="82" t="s">
        <v>455</v>
      </c>
      <c r="C498" s="82">
        <v>1000.0</v>
      </c>
      <c r="D498" s="88"/>
      <c r="E498" s="82">
        <f t="shared" si="17"/>
        <v>90400</v>
      </c>
      <c r="F498" s="82" t="s">
        <v>456</v>
      </c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</row>
    <row r="499">
      <c r="A499" s="82" t="s">
        <v>454</v>
      </c>
      <c r="B499" s="82" t="s">
        <v>429</v>
      </c>
      <c r="C499" s="82">
        <v>3000.0</v>
      </c>
      <c r="D499" s="88"/>
      <c r="E499" s="82">
        <f t="shared" si="17"/>
        <v>87400</v>
      </c>
      <c r="F499" s="82" t="s">
        <v>457</v>
      </c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</row>
    <row r="500">
      <c r="A500" s="82" t="s">
        <v>454</v>
      </c>
      <c r="B500" s="82" t="s">
        <v>458</v>
      </c>
      <c r="C500" s="82">
        <v>480.0</v>
      </c>
      <c r="D500" s="88"/>
      <c r="E500" s="82">
        <f t="shared" si="17"/>
        <v>86920</v>
      </c>
      <c r="F500" s="82" t="s">
        <v>459</v>
      </c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</row>
    <row r="501">
      <c r="A501" s="82" t="s">
        <v>454</v>
      </c>
      <c r="B501" s="82" t="s">
        <v>460</v>
      </c>
      <c r="C501" s="82">
        <v>600.0</v>
      </c>
      <c r="D501" s="88"/>
      <c r="E501" s="82">
        <f t="shared" si="17"/>
        <v>86320</v>
      </c>
      <c r="F501" s="82" t="s">
        <v>459</v>
      </c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</row>
    <row r="502">
      <c r="A502" s="82" t="s">
        <v>454</v>
      </c>
      <c r="B502" s="63" t="s">
        <v>174</v>
      </c>
      <c r="C502" s="88"/>
      <c r="D502" s="82">
        <v>3000.0</v>
      </c>
      <c r="E502" s="82">
        <f t="shared" si="17"/>
        <v>89320</v>
      </c>
      <c r="F502" s="82" t="s">
        <v>439</v>
      </c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</row>
    <row r="503">
      <c r="A503" s="82" t="s">
        <v>454</v>
      </c>
      <c r="B503" s="63" t="s">
        <v>375</v>
      </c>
      <c r="C503" s="88"/>
      <c r="D503" s="82">
        <v>3000.0</v>
      </c>
      <c r="E503" s="82">
        <f t="shared" si="17"/>
        <v>92320</v>
      </c>
      <c r="F503" s="82" t="s">
        <v>439</v>
      </c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</row>
    <row r="504">
      <c r="A504" s="82" t="s">
        <v>454</v>
      </c>
      <c r="B504" s="63" t="s">
        <v>300</v>
      </c>
      <c r="C504" s="88"/>
      <c r="D504" s="82">
        <v>3000.0</v>
      </c>
      <c r="E504" s="82">
        <f t="shared" si="17"/>
        <v>95320</v>
      </c>
      <c r="F504" s="82" t="s">
        <v>439</v>
      </c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</row>
    <row r="505">
      <c r="A505" s="82" t="s">
        <v>461</v>
      </c>
      <c r="B505" s="82" t="s">
        <v>41</v>
      </c>
      <c r="C505" s="88"/>
      <c r="D505" s="82">
        <v>3000.0</v>
      </c>
      <c r="E505" s="82">
        <f t="shared" si="17"/>
        <v>98320</v>
      </c>
      <c r="F505" s="82" t="s">
        <v>439</v>
      </c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</row>
    <row r="506">
      <c r="A506" s="82" t="s">
        <v>462</v>
      </c>
      <c r="B506" s="82" t="s">
        <v>463</v>
      </c>
      <c r="C506" s="88"/>
      <c r="D506" s="82">
        <v>3000.0</v>
      </c>
      <c r="E506" s="70">
        <f t="shared" si="17"/>
        <v>101320</v>
      </c>
      <c r="F506" s="82" t="s">
        <v>464</v>
      </c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</row>
    <row r="507">
      <c r="A507" s="82"/>
      <c r="B507" s="82" t="s">
        <v>465</v>
      </c>
      <c r="C507" s="82">
        <v>4500.0</v>
      </c>
      <c r="D507" s="88"/>
      <c r="E507" s="70">
        <f t="shared" si="17"/>
        <v>96820</v>
      </c>
      <c r="F507" s="82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</row>
    <row r="508">
      <c r="A508" s="82"/>
      <c r="B508" s="82" t="s">
        <v>466</v>
      </c>
      <c r="C508" s="82">
        <v>4500.0</v>
      </c>
      <c r="D508" s="88"/>
      <c r="E508" s="70">
        <f t="shared" si="17"/>
        <v>92320</v>
      </c>
      <c r="F508" s="82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</row>
    <row r="509">
      <c r="A509" s="82" t="s">
        <v>467</v>
      </c>
      <c r="B509" s="82" t="s">
        <v>468</v>
      </c>
      <c r="C509" s="82">
        <v>63000.0</v>
      </c>
      <c r="D509" s="88"/>
      <c r="E509" s="112">
        <f t="shared" si="17"/>
        <v>29320</v>
      </c>
      <c r="F509" s="82" t="s">
        <v>469</v>
      </c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</row>
    <row r="510">
      <c r="A510" s="113"/>
      <c r="B510" s="113"/>
      <c r="C510" s="114"/>
      <c r="D510" s="113"/>
      <c r="E510" s="113"/>
      <c r="F510" s="113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</row>
    <row r="511">
      <c r="A511" s="82"/>
      <c r="B511" s="82"/>
      <c r="C511" s="88"/>
      <c r="D511" s="82"/>
      <c r="E511" s="70"/>
      <c r="F511" s="82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</row>
    <row r="512">
      <c r="A512" s="82" t="s">
        <v>470</v>
      </c>
      <c r="B512" s="82" t="s">
        <v>106</v>
      </c>
      <c r="C512" s="88"/>
      <c r="D512" s="82">
        <v>3000.0</v>
      </c>
      <c r="E512" s="70">
        <v>3000.0</v>
      </c>
      <c r="F512" s="82" t="s">
        <v>471</v>
      </c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</row>
    <row r="513">
      <c r="A513" s="82" t="s">
        <v>472</v>
      </c>
      <c r="B513" s="82" t="s">
        <v>52</v>
      </c>
      <c r="C513" s="88"/>
      <c r="D513" s="82">
        <v>3000.0</v>
      </c>
      <c r="E513" s="70">
        <f t="shared" ref="E513:E543" si="18">E512+(D513-C513)</f>
        <v>6000</v>
      </c>
      <c r="F513" s="82" t="s">
        <v>471</v>
      </c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</row>
    <row r="514">
      <c r="A514" s="82" t="s">
        <v>472</v>
      </c>
      <c r="B514" s="82" t="s">
        <v>445</v>
      </c>
      <c r="C514" s="88"/>
      <c r="D514" s="82">
        <v>3000.0</v>
      </c>
      <c r="E514" s="70">
        <f t="shared" si="18"/>
        <v>9000</v>
      </c>
      <c r="F514" s="82" t="s">
        <v>471</v>
      </c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</row>
    <row r="515">
      <c r="A515" s="82" t="s">
        <v>472</v>
      </c>
      <c r="B515" s="82" t="s">
        <v>422</v>
      </c>
      <c r="C515" s="88"/>
      <c r="D515" s="82">
        <v>3000.0</v>
      </c>
      <c r="E515" s="70">
        <f t="shared" si="18"/>
        <v>12000</v>
      </c>
      <c r="F515" s="82" t="s">
        <v>471</v>
      </c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</row>
    <row r="516">
      <c r="A516" s="82" t="s">
        <v>472</v>
      </c>
      <c r="B516" s="82" t="s">
        <v>222</v>
      </c>
      <c r="C516" s="88"/>
      <c r="D516" s="82">
        <v>3000.0</v>
      </c>
      <c r="E516" s="70">
        <f t="shared" si="18"/>
        <v>15000</v>
      </c>
      <c r="F516" s="82" t="s">
        <v>471</v>
      </c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</row>
    <row r="517">
      <c r="A517" s="82" t="s">
        <v>473</v>
      </c>
      <c r="B517" s="82" t="s">
        <v>43</v>
      </c>
      <c r="C517" s="88"/>
      <c r="D517" s="82">
        <v>3000.0</v>
      </c>
      <c r="E517" s="70">
        <f t="shared" si="18"/>
        <v>18000</v>
      </c>
      <c r="F517" s="82" t="s">
        <v>471</v>
      </c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</row>
    <row r="518">
      <c r="A518" s="82" t="s">
        <v>473</v>
      </c>
      <c r="B518" s="82" t="s">
        <v>425</v>
      </c>
      <c r="C518" s="88"/>
      <c r="D518" s="82">
        <v>3000.0</v>
      </c>
      <c r="E518" s="70">
        <f t="shared" si="18"/>
        <v>21000</v>
      </c>
      <c r="F518" s="82" t="s">
        <v>474</v>
      </c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</row>
    <row r="519">
      <c r="A519" s="82" t="s">
        <v>475</v>
      </c>
      <c r="B519" s="63" t="s">
        <v>176</v>
      </c>
      <c r="C519" s="88"/>
      <c r="D519" s="82">
        <v>3000.0</v>
      </c>
      <c r="E519" s="70">
        <f t="shared" si="18"/>
        <v>24000</v>
      </c>
      <c r="F519" s="82" t="s">
        <v>439</v>
      </c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</row>
    <row r="520">
      <c r="A520" s="82" t="s">
        <v>475</v>
      </c>
      <c r="B520" s="63" t="s">
        <v>119</v>
      </c>
      <c r="C520" s="88"/>
      <c r="D520" s="82">
        <v>3000.0</v>
      </c>
      <c r="E520" s="70">
        <f t="shared" si="18"/>
        <v>27000</v>
      </c>
      <c r="F520" s="82" t="s">
        <v>474</v>
      </c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</row>
    <row r="521">
      <c r="A521" s="82" t="s">
        <v>475</v>
      </c>
      <c r="B521" s="69" t="s">
        <v>50</v>
      </c>
      <c r="C521" s="88"/>
      <c r="D521" s="82">
        <v>3000.0</v>
      </c>
      <c r="E521" s="70">
        <f t="shared" si="18"/>
        <v>30000</v>
      </c>
      <c r="F521" s="82" t="s">
        <v>474</v>
      </c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</row>
    <row r="522">
      <c r="A522" s="82" t="s">
        <v>475</v>
      </c>
      <c r="B522" s="82" t="s">
        <v>113</v>
      </c>
      <c r="C522" s="88"/>
      <c r="D522" s="82">
        <v>3000.0</v>
      </c>
      <c r="E522" s="70">
        <f t="shared" si="18"/>
        <v>33000</v>
      </c>
      <c r="F522" s="82" t="s">
        <v>471</v>
      </c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</row>
    <row r="523">
      <c r="A523" s="82" t="s">
        <v>476</v>
      </c>
      <c r="B523" s="82" t="s">
        <v>36</v>
      </c>
      <c r="C523" s="88"/>
      <c r="D523" s="82">
        <v>3000.0</v>
      </c>
      <c r="E523" s="70">
        <f t="shared" si="18"/>
        <v>36000</v>
      </c>
      <c r="F523" s="82" t="s">
        <v>471</v>
      </c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</row>
    <row r="524">
      <c r="A524" s="82" t="s">
        <v>475</v>
      </c>
      <c r="B524" s="82" t="s">
        <v>215</v>
      </c>
      <c r="C524" s="88"/>
      <c r="D524" s="82">
        <v>3000.0</v>
      </c>
      <c r="E524" s="70">
        <f t="shared" si="18"/>
        <v>39000</v>
      </c>
      <c r="F524" s="82" t="s">
        <v>441</v>
      </c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</row>
    <row r="525">
      <c r="A525" s="82" t="s">
        <v>475</v>
      </c>
      <c r="B525" s="82" t="s">
        <v>51</v>
      </c>
      <c r="C525" s="88"/>
      <c r="D525" s="82">
        <v>3000.0</v>
      </c>
      <c r="E525" s="70">
        <f t="shared" si="18"/>
        <v>42000</v>
      </c>
      <c r="F525" s="82" t="s">
        <v>471</v>
      </c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</row>
    <row r="526">
      <c r="A526" s="82" t="s">
        <v>477</v>
      </c>
      <c r="B526" s="69" t="s">
        <v>41</v>
      </c>
      <c r="C526" s="88"/>
      <c r="D526" s="82">
        <v>3000.0</v>
      </c>
      <c r="E526" s="70">
        <f t="shared" si="18"/>
        <v>45000</v>
      </c>
      <c r="F526" s="82" t="s">
        <v>474</v>
      </c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</row>
    <row r="527">
      <c r="A527" s="82" t="s">
        <v>477</v>
      </c>
      <c r="B527" s="63" t="s">
        <v>48</v>
      </c>
      <c r="C527" s="88"/>
      <c r="D527" s="82">
        <v>3000.0</v>
      </c>
      <c r="E527" s="70">
        <f t="shared" si="18"/>
        <v>48000</v>
      </c>
      <c r="F527" s="82" t="s">
        <v>474</v>
      </c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</row>
    <row r="528">
      <c r="A528" s="82" t="s">
        <v>477</v>
      </c>
      <c r="B528" s="63" t="s">
        <v>420</v>
      </c>
      <c r="C528" s="88"/>
      <c r="D528" s="82">
        <v>3000.0</v>
      </c>
      <c r="E528" s="70">
        <f t="shared" si="18"/>
        <v>51000</v>
      </c>
      <c r="F528" s="82" t="s">
        <v>474</v>
      </c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</row>
    <row r="529">
      <c r="A529" s="82" t="s">
        <v>477</v>
      </c>
      <c r="B529" s="69" t="s">
        <v>40</v>
      </c>
      <c r="C529" s="88"/>
      <c r="D529" s="82">
        <v>3000.0</v>
      </c>
      <c r="E529" s="70">
        <f t="shared" si="18"/>
        <v>54000</v>
      </c>
      <c r="F529" s="82" t="s">
        <v>471</v>
      </c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</row>
    <row r="530">
      <c r="A530" s="82" t="s">
        <v>477</v>
      </c>
      <c r="B530" s="63" t="s">
        <v>346</v>
      </c>
      <c r="C530" s="88"/>
      <c r="D530" s="82">
        <v>3000.0</v>
      </c>
      <c r="E530" s="70">
        <f t="shared" si="18"/>
        <v>57000</v>
      </c>
      <c r="F530" s="82" t="s">
        <v>471</v>
      </c>
      <c r="G530" s="41">
        <f>7*3000</f>
        <v>21000</v>
      </c>
      <c r="H530" s="41">
        <f>72000-E535</f>
        <v>0</v>
      </c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</row>
    <row r="531">
      <c r="A531" s="82" t="s">
        <v>477</v>
      </c>
      <c r="B531" s="63" t="s">
        <v>406</v>
      </c>
      <c r="C531" s="88"/>
      <c r="D531" s="82">
        <v>3000.0</v>
      </c>
      <c r="E531" s="70">
        <f t="shared" si="18"/>
        <v>60000</v>
      </c>
      <c r="F531" s="82" t="s">
        <v>471</v>
      </c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</row>
    <row r="532">
      <c r="A532" s="82" t="s">
        <v>477</v>
      </c>
      <c r="B532" s="69" t="s">
        <v>190</v>
      </c>
      <c r="C532" s="88"/>
      <c r="D532" s="82">
        <v>3000.0</v>
      </c>
      <c r="E532" s="70">
        <f t="shared" si="18"/>
        <v>63000</v>
      </c>
      <c r="F532" s="82" t="s">
        <v>471</v>
      </c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</row>
    <row r="533">
      <c r="A533" s="82" t="s">
        <v>477</v>
      </c>
      <c r="B533" s="63" t="s">
        <v>368</v>
      </c>
      <c r="C533" s="88"/>
      <c r="D533" s="82">
        <v>3000.0</v>
      </c>
      <c r="E533" s="70">
        <f t="shared" si="18"/>
        <v>66000</v>
      </c>
      <c r="F533" s="82" t="s">
        <v>471</v>
      </c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</row>
    <row r="534">
      <c r="A534" s="82" t="s">
        <v>477</v>
      </c>
      <c r="B534" s="63" t="s">
        <v>129</v>
      </c>
      <c r="C534" s="88"/>
      <c r="D534" s="82">
        <v>3000.0</v>
      </c>
      <c r="E534" s="70">
        <f t="shared" si="18"/>
        <v>69000</v>
      </c>
      <c r="F534" s="82" t="s">
        <v>471</v>
      </c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</row>
    <row r="535">
      <c r="A535" s="82" t="s">
        <v>477</v>
      </c>
      <c r="B535" s="63" t="s">
        <v>53</v>
      </c>
      <c r="C535" s="88"/>
      <c r="D535" s="82">
        <v>3000.0</v>
      </c>
      <c r="E535" s="70">
        <f t="shared" si="18"/>
        <v>72000</v>
      </c>
      <c r="F535" s="82" t="s">
        <v>478</v>
      </c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</row>
    <row r="536">
      <c r="A536" s="82" t="s">
        <v>479</v>
      </c>
      <c r="B536" s="63" t="s">
        <v>46</v>
      </c>
      <c r="C536" s="41"/>
      <c r="D536" s="82">
        <v>3000.0</v>
      </c>
      <c r="E536" s="70">
        <f t="shared" si="18"/>
        <v>75000</v>
      </c>
      <c r="F536" s="82" t="s">
        <v>474</v>
      </c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</row>
    <row r="537">
      <c r="A537" s="82" t="s">
        <v>480</v>
      </c>
      <c r="B537" s="63" t="s">
        <v>411</v>
      </c>
      <c r="C537" s="88"/>
      <c r="D537" s="82">
        <v>3000.0</v>
      </c>
      <c r="E537" s="70">
        <f t="shared" si="18"/>
        <v>78000</v>
      </c>
      <c r="F537" s="82" t="s">
        <v>474</v>
      </c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</row>
    <row r="538">
      <c r="A538" s="82" t="s">
        <v>480</v>
      </c>
      <c r="B538" s="63" t="s">
        <v>174</v>
      </c>
      <c r="C538" s="88"/>
      <c r="D538" s="82">
        <v>3000.0</v>
      </c>
      <c r="E538" s="70">
        <f t="shared" si="18"/>
        <v>81000</v>
      </c>
      <c r="F538" s="82" t="s">
        <v>474</v>
      </c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</row>
    <row r="539">
      <c r="A539" s="82" t="s">
        <v>481</v>
      </c>
      <c r="B539" s="63" t="s">
        <v>424</v>
      </c>
      <c r="C539" s="88"/>
      <c r="D539" s="82">
        <v>3000.0</v>
      </c>
      <c r="E539" s="70">
        <f t="shared" si="18"/>
        <v>84000</v>
      </c>
      <c r="F539" s="82" t="s">
        <v>474</v>
      </c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</row>
    <row r="540">
      <c r="A540" s="82" t="s">
        <v>481</v>
      </c>
      <c r="B540" s="63" t="s">
        <v>354</v>
      </c>
      <c r="C540" s="88"/>
      <c r="D540" s="82">
        <v>3000.0</v>
      </c>
      <c r="E540" s="70">
        <f t="shared" si="18"/>
        <v>87000</v>
      </c>
      <c r="F540" s="82" t="s">
        <v>474</v>
      </c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</row>
    <row r="541">
      <c r="A541" s="82" t="s">
        <v>481</v>
      </c>
      <c r="B541" s="63" t="s">
        <v>176</v>
      </c>
      <c r="C541" s="88"/>
      <c r="D541" s="82">
        <v>3000.0</v>
      </c>
      <c r="E541" s="70">
        <f t="shared" si="18"/>
        <v>90000</v>
      </c>
      <c r="F541" s="82" t="s">
        <v>474</v>
      </c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</row>
    <row r="542">
      <c r="A542" s="82" t="s">
        <v>482</v>
      </c>
      <c r="B542" s="63" t="s">
        <v>397</v>
      </c>
      <c r="C542" s="88"/>
      <c r="D542" s="82">
        <v>6000.0</v>
      </c>
      <c r="E542" s="70">
        <f t="shared" si="18"/>
        <v>96000</v>
      </c>
      <c r="F542" s="82" t="s">
        <v>483</v>
      </c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</row>
    <row r="543" ht="27.0" customHeight="1">
      <c r="A543" s="88"/>
      <c r="B543" s="82" t="s">
        <v>484</v>
      </c>
      <c r="C543" s="82">
        <v>1600.0</v>
      </c>
      <c r="D543" s="82">
        <v>0.0</v>
      </c>
      <c r="E543" s="70">
        <f t="shared" si="18"/>
        <v>94400</v>
      </c>
      <c r="F543" s="115" t="s">
        <v>485</v>
      </c>
      <c r="G543" s="41" t="str">
        <f>#REF!+E509</f>
        <v>#REF!</v>
      </c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</row>
    <row r="544">
      <c r="A544" s="82" t="s">
        <v>486</v>
      </c>
      <c r="B544" s="63" t="s">
        <v>56</v>
      </c>
      <c r="C544" s="88"/>
      <c r="D544" s="82">
        <v>6000.0</v>
      </c>
      <c r="E544" s="70">
        <v>6000.0</v>
      </c>
      <c r="F544" s="116" t="s">
        <v>487</v>
      </c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</row>
    <row r="545">
      <c r="A545" s="82" t="s">
        <v>488</v>
      </c>
      <c r="B545" s="63" t="s">
        <v>489</v>
      </c>
      <c r="C545" s="88"/>
      <c r="D545" s="82">
        <v>6000.0</v>
      </c>
      <c r="E545" s="70">
        <f t="shared" ref="E545:E577" si="19">E544+(D545-C545)</f>
        <v>12000</v>
      </c>
      <c r="F545" s="116" t="s">
        <v>487</v>
      </c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</row>
    <row r="546">
      <c r="A546" s="82" t="s">
        <v>488</v>
      </c>
      <c r="B546" s="63" t="s">
        <v>55</v>
      </c>
      <c r="C546" s="88"/>
      <c r="D546" s="82">
        <v>6000.0</v>
      </c>
      <c r="E546" s="70">
        <f t="shared" si="19"/>
        <v>18000</v>
      </c>
      <c r="F546" s="116" t="s">
        <v>487</v>
      </c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</row>
    <row r="547">
      <c r="A547" s="82" t="s">
        <v>488</v>
      </c>
      <c r="B547" s="69" t="s">
        <v>50</v>
      </c>
      <c r="C547" s="88"/>
      <c r="D547" s="82">
        <v>3000.0</v>
      </c>
      <c r="E547" s="70">
        <f t="shared" si="19"/>
        <v>21000</v>
      </c>
      <c r="F547" s="82" t="s">
        <v>490</v>
      </c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</row>
    <row r="548">
      <c r="A548" s="82" t="s">
        <v>491</v>
      </c>
      <c r="B548" s="69" t="s">
        <v>45</v>
      </c>
      <c r="C548" s="88"/>
      <c r="D548" s="82">
        <v>3000.0</v>
      </c>
      <c r="E548" s="70">
        <f t="shared" si="19"/>
        <v>24000</v>
      </c>
      <c r="F548" s="82" t="s">
        <v>492</v>
      </c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</row>
    <row r="549">
      <c r="A549" s="82" t="s">
        <v>486</v>
      </c>
      <c r="B549" s="63" t="s">
        <v>493</v>
      </c>
      <c r="C549" s="88"/>
      <c r="D549" s="82">
        <v>6000.0</v>
      </c>
      <c r="E549" s="70">
        <f t="shared" si="19"/>
        <v>30000</v>
      </c>
      <c r="F549" s="82" t="s">
        <v>490</v>
      </c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</row>
    <row r="550">
      <c r="A550" s="82" t="s">
        <v>486</v>
      </c>
      <c r="B550" s="69" t="s">
        <v>126</v>
      </c>
      <c r="C550" s="88"/>
      <c r="D550" s="82">
        <v>6000.0</v>
      </c>
      <c r="E550" s="70">
        <f t="shared" si="19"/>
        <v>36000</v>
      </c>
      <c r="F550" s="82" t="s">
        <v>494</v>
      </c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</row>
    <row r="551">
      <c r="A551" s="82" t="s">
        <v>486</v>
      </c>
      <c r="B551" s="69" t="s">
        <v>40</v>
      </c>
      <c r="C551" s="88"/>
      <c r="D551" s="82">
        <v>3000.0</v>
      </c>
      <c r="E551" s="70">
        <f t="shared" si="19"/>
        <v>39000</v>
      </c>
      <c r="F551" s="82" t="s">
        <v>495</v>
      </c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</row>
    <row r="552">
      <c r="A552" s="82" t="s">
        <v>486</v>
      </c>
      <c r="B552" s="69" t="s">
        <v>200</v>
      </c>
      <c r="C552" s="88"/>
      <c r="D552" s="82">
        <v>5000.0</v>
      </c>
      <c r="E552" s="70">
        <f t="shared" si="19"/>
        <v>44000</v>
      </c>
      <c r="F552" s="82" t="s">
        <v>496</v>
      </c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</row>
    <row r="553">
      <c r="A553" s="82" t="s">
        <v>486</v>
      </c>
      <c r="B553" s="69" t="s">
        <v>106</v>
      </c>
      <c r="C553" s="88"/>
      <c r="D553" s="82">
        <v>3000.0</v>
      </c>
      <c r="E553" s="70">
        <f t="shared" si="19"/>
        <v>47000</v>
      </c>
      <c r="F553" s="82" t="s">
        <v>492</v>
      </c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</row>
    <row r="554">
      <c r="A554" s="82" t="s">
        <v>486</v>
      </c>
      <c r="B554" s="63" t="s">
        <v>497</v>
      </c>
      <c r="C554" s="88"/>
      <c r="D554" s="82">
        <v>6000.0</v>
      </c>
      <c r="E554" s="70">
        <f t="shared" si="19"/>
        <v>53000</v>
      </c>
      <c r="F554" s="116" t="s">
        <v>498</v>
      </c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</row>
    <row r="555" ht="21.0" customHeight="1">
      <c r="A555" s="41"/>
      <c r="B555" s="117" t="s">
        <v>499</v>
      </c>
      <c r="C555" s="82">
        <v>1600.0</v>
      </c>
      <c r="D555" s="41"/>
      <c r="E555" s="112">
        <f t="shared" si="19"/>
        <v>51400</v>
      </c>
      <c r="F555" s="115" t="s">
        <v>500</v>
      </c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</row>
    <row r="556">
      <c r="A556" s="82" t="s">
        <v>501</v>
      </c>
      <c r="B556" s="69" t="s">
        <v>380</v>
      </c>
      <c r="C556" s="88"/>
      <c r="D556" s="82">
        <v>3000.0</v>
      </c>
      <c r="E556" s="112">
        <f t="shared" si="19"/>
        <v>54400</v>
      </c>
      <c r="F556" s="82" t="s">
        <v>492</v>
      </c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</row>
    <row r="557">
      <c r="A557" s="82" t="s">
        <v>501</v>
      </c>
      <c r="B557" s="69" t="s">
        <v>41</v>
      </c>
      <c r="C557" s="88"/>
      <c r="D557" s="82">
        <v>3000.0</v>
      </c>
      <c r="E557" s="112">
        <f t="shared" si="19"/>
        <v>57400</v>
      </c>
      <c r="F557" s="82" t="s">
        <v>502</v>
      </c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</row>
    <row r="558">
      <c r="A558" s="82" t="s">
        <v>501</v>
      </c>
      <c r="B558" s="69" t="s">
        <v>368</v>
      </c>
      <c r="C558" s="88"/>
      <c r="D558" s="82">
        <v>3000.0</v>
      </c>
      <c r="E558" s="112">
        <f t="shared" si="19"/>
        <v>60400</v>
      </c>
      <c r="F558" s="82" t="s">
        <v>502</v>
      </c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</row>
    <row r="559">
      <c r="A559" s="82" t="s">
        <v>503</v>
      </c>
      <c r="B559" s="66" t="s">
        <v>113</v>
      </c>
      <c r="C559" s="88"/>
      <c r="D559" s="82">
        <v>3000.0</v>
      </c>
      <c r="E559" s="112">
        <f t="shared" si="19"/>
        <v>63400</v>
      </c>
      <c r="F559" s="82" t="s">
        <v>495</v>
      </c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</row>
    <row r="560">
      <c r="A560" s="82" t="s">
        <v>503</v>
      </c>
      <c r="B560" s="69" t="s">
        <v>346</v>
      </c>
      <c r="C560" s="88"/>
      <c r="D560" s="82">
        <v>3000.0</v>
      </c>
      <c r="E560" s="112">
        <f t="shared" si="19"/>
        <v>66400</v>
      </c>
      <c r="F560" s="82" t="s">
        <v>495</v>
      </c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</row>
    <row r="561">
      <c r="A561" s="82" t="s">
        <v>503</v>
      </c>
      <c r="B561" s="69" t="s">
        <v>354</v>
      </c>
      <c r="C561" s="88"/>
      <c r="D561" s="82">
        <v>3000.0</v>
      </c>
      <c r="E561" s="112">
        <f t="shared" si="19"/>
        <v>69400</v>
      </c>
      <c r="F561" s="82" t="s">
        <v>490</v>
      </c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</row>
    <row r="562">
      <c r="A562" s="82" t="s">
        <v>504</v>
      </c>
      <c r="B562" s="69" t="s">
        <v>420</v>
      </c>
      <c r="C562" s="88"/>
      <c r="D562" s="82">
        <v>3000.0</v>
      </c>
      <c r="E562" s="112">
        <f t="shared" si="19"/>
        <v>72400</v>
      </c>
      <c r="F562" s="82" t="s">
        <v>490</v>
      </c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</row>
    <row r="563">
      <c r="A563" s="82" t="s">
        <v>505</v>
      </c>
      <c r="B563" s="69" t="s">
        <v>425</v>
      </c>
      <c r="C563" s="88"/>
      <c r="D563" s="82">
        <v>3000.0</v>
      </c>
      <c r="E563" s="112">
        <f t="shared" si="19"/>
        <v>75400</v>
      </c>
      <c r="F563" s="82" t="s">
        <v>490</v>
      </c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</row>
    <row r="564">
      <c r="A564" s="82" t="s">
        <v>505</v>
      </c>
      <c r="B564" s="69" t="s">
        <v>46</v>
      </c>
      <c r="C564" s="88"/>
      <c r="D564" s="82">
        <v>3000.0</v>
      </c>
      <c r="E564" s="112">
        <f t="shared" si="19"/>
        <v>78400</v>
      </c>
      <c r="F564" s="82" t="s">
        <v>495</v>
      </c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</row>
    <row r="565">
      <c r="A565" s="82" t="s">
        <v>505</v>
      </c>
      <c r="B565" s="69" t="s">
        <v>406</v>
      </c>
      <c r="C565" s="88"/>
      <c r="D565" s="82">
        <v>3000.0</v>
      </c>
      <c r="E565" s="112">
        <f t="shared" si="19"/>
        <v>81400</v>
      </c>
      <c r="F565" s="82" t="s">
        <v>495</v>
      </c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</row>
    <row r="566">
      <c r="A566" s="82" t="s">
        <v>505</v>
      </c>
      <c r="B566" s="69" t="s">
        <v>43</v>
      </c>
      <c r="C566" s="88"/>
      <c r="D566" s="82">
        <v>3000.0</v>
      </c>
      <c r="E566" s="112">
        <f t="shared" si="19"/>
        <v>84400</v>
      </c>
      <c r="F566" s="82" t="s">
        <v>495</v>
      </c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</row>
    <row r="567">
      <c r="A567" s="82" t="s">
        <v>505</v>
      </c>
      <c r="B567" s="69" t="s">
        <v>222</v>
      </c>
      <c r="C567" s="88"/>
      <c r="D567" s="82">
        <v>3000.0</v>
      </c>
      <c r="E567" s="112">
        <f t="shared" si="19"/>
        <v>87400</v>
      </c>
      <c r="F567" s="82" t="s">
        <v>495</v>
      </c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</row>
    <row r="568">
      <c r="A568" s="82" t="s">
        <v>505</v>
      </c>
      <c r="B568" s="69" t="s">
        <v>53</v>
      </c>
      <c r="C568" s="88"/>
      <c r="D568" s="82">
        <v>3000.0</v>
      </c>
      <c r="E568" s="112">
        <f t="shared" si="19"/>
        <v>90400</v>
      </c>
      <c r="F568" s="82" t="s">
        <v>495</v>
      </c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</row>
    <row r="569">
      <c r="A569" s="82" t="s">
        <v>506</v>
      </c>
      <c r="B569" s="69" t="s">
        <v>190</v>
      </c>
      <c r="C569" s="88"/>
      <c r="D569" s="82">
        <v>3000.0</v>
      </c>
      <c r="E569" s="112">
        <f t="shared" si="19"/>
        <v>93400</v>
      </c>
      <c r="F569" s="82" t="s">
        <v>495</v>
      </c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</row>
    <row r="570">
      <c r="A570" s="82" t="s">
        <v>506</v>
      </c>
      <c r="B570" s="69" t="s">
        <v>51</v>
      </c>
      <c r="C570" s="88"/>
      <c r="D570" s="82">
        <v>3000.0</v>
      </c>
      <c r="E570" s="112">
        <f t="shared" si="19"/>
        <v>96400</v>
      </c>
      <c r="F570" s="82" t="s">
        <v>495</v>
      </c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</row>
    <row r="571">
      <c r="A571" s="82" t="s">
        <v>506</v>
      </c>
      <c r="B571" s="69" t="s">
        <v>411</v>
      </c>
      <c r="C571" s="88"/>
      <c r="D571" s="82">
        <v>3000.0</v>
      </c>
      <c r="E571" s="112">
        <f t="shared" si="19"/>
        <v>99400</v>
      </c>
      <c r="F571" s="82" t="s">
        <v>495</v>
      </c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</row>
    <row r="572">
      <c r="A572" s="82" t="s">
        <v>506</v>
      </c>
      <c r="B572" s="69" t="s">
        <v>52</v>
      </c>
      <c r="C572" s="88"/>
      <c r="D572" s="82">
        <v>3000.0</v>
      </c>
      <c r="E572" s="112">
        <f t="shared" si="19"/>
        <v>102400</v>
      </c>
      <c r="F572" s="82" t="s">
        <v>490</v>
      </c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</row>
    <row r="573">
      <c r="A573" s="82" t="s">
        <v>507</v>
      </c>
      <c r="B573" s="69" t="s">
        <v>48</v>
      </c>
      <c r="C573" s="88"/>
      <c r="D573" s="82">
        <v>3000.0</v>
      </c>
      <c r="E573" s="112">
        <f t="shared" si="19"/>
        <v>105400</v>
      </c>
      <c r="F573" s="82" t="s">
        <v>490</v>
      </c>
      <c r="G573" s="41"/>
      <c r="H573" s="40" t="s">
        <v>322</v>
      </c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</row>
    <row r="574">
      <c r="A574" s="82" t="s">
        <v>507</v>
      </c>
      <c r="B574" s="117" t="s">
        <v>508</v>
      </c>
      <c r="C574" s="118">
        <v>10000.0</v>
      </c>
      <c r="D574" s="41"/>
      <c r="E574" s="119">
        <f t="shared" si="19"/>
        <v>95400</v>
      </c>
      <c r="F574" s="82" t="s">
        <v>509</v>
      </c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</row>
    <row r="575">
      <c r="A575" s="82" t="s">
        <v>507</v>
      </c>
      <c r="B575" s="69" t="s">
        <v>424</v>
      </c>
      <c r="C575" s="88"/>
      <c r="D575" s="82">
        <v>3000.0</v>
      </c>
      <c r="E575" s="119">
        <f t="shared" si="19"/>
        <v>98400</v>
      </c>
      <c r="F575" s="82" t="s">
        <v>490</v>
      </c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</row>
    <row r="576">
      <c r="A576" s="82" t="s">
        <v>510</v>
      </c>
      <c r="B576" s="69" t="s">
        <v>119</v>
      </c>
      <c r="C576" s="88"/>
      <c r="D576" s="82">
        <v>3000.0</v>
      </c>
      <c r="E576" s="119">
        <f t="shared" si="19"/>
        <v>101400</v>
      </c>
      <c r="F576" s="82" t="s">
        <v>490</v>
      </c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</row>
    <row r="577">
      <c r="A577" s="82" t="s">
        <v>511</v>
      </c>
      <c r="B577" s="69" t="s">
        <v>174</v>
      </c>
      <c r="C577" s="88"/>
      <c r="D577" s="82">
        <v>3000.0</v>
      </c>
      <c r="E577" s="120">
        <f t="shared" si="19"/>
        <v>104400</v>
      </c>
      <c r="F577" s="82" t="s">
        <v>512</v>
      </c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</row>
    <row r="578">
      <c r="A578" s="82" t="s">
        <v>513</v>
      </c>
      <c r="B578" s="69" t="s">
        <v>420</v>
      </c>
      <c r="C578" s="88"/>
      <c r="D578" s="82">
        <v>3000.0</v>
      </c>
      <c r="E578" s="112">
        <v>3000.0</v>
      </c>
      <c r="F578" s="82" t="s">
        <v>514</v>
      </c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</row>
    <row r="579">
      <c r="A579" s="82" t="s">
        <v>515</v>
      </c>
      <c r="B579" s="69" t="s">
        <v>40</v>
      </c>
      <c r="C579" s="88"/>
      <c r="D579" s="82">
        <v>3000.0</v>
      </c>
      <c r="E579" s="112">
        <f t="shared" ref="E579:E600" si="20">E578+(D579-C579)</f>
        <v>6000</v>
      </c>
      <c r="F579" s="82" t="s">
        <v>203</v>
      </c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</row>
    <row r="580">
      <c r="A580" s="82" t="s">
        <v>515</v>
      </c>
      <c r="B580" s="69" t="s">
        <v>380</v>
      </c>
      <c r="C580" s="88"/>
      <c r="D580" s="82">
        <v>3000.0</v>
      </c>
      <c r="E580" s="112">
        <f t="shared" si="20"/>
        <v>9000</v>
      </c>
      <c r="F580" s="82" t="s">
        <v>203</v>
      </c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</row>
    <row r="581">
      <c r="A581" s="82" t="s">
        <v>516</v>
      </c>
      <c r="B581" s="63" t="s">
        <v>489</v>
      </c>
      <c r="C581" s="88"/>
      <c r="D581" s="82">
        <v>6000.0</v>
      </c>
      <c r="E581" s="112">
        <f t="shared" si="20"/>
        <v>15000</v>
      </c>
      <c r="F581" s="82" t="s">
        <v>517</v>
      </c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</row>
    <row r="582">
      <c r="A582" s="82" t="s">
        <v>516</v>
      </c>
      <c r="B582" s="63" t="s">
        <v>55</v>
      </c>
      <c r="C582" s="88"/>
      <c r="D582" s="82">
        <v>6000.0</v>
      </c>
      <c r="E582" s="112">
        <f t="shared" si="20"/>
        <v>21000</v>
      </c>
      <c r="F582" s="82" t="s">
        <v>517</v>
      </c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</row>
    <row r="583">
      <c r="A583" s="82" t="s">
        <v>516</v>
      </c>
      <c r="B583" s="69" t="s">
        <v>106</v>
      </c>
      <c r="C583" s="88"/>
      <c r="D583" s="82">
        <v>3000.0</v>
      </c>
      <c r="E583" s="112">
        <f t="shared" si="20"/>
        <v>24000</v>
      </c>
      <c r="F583" s="82" t="s">
        <v>203</v>
      </c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</row>
    <row r="584">
      <c r="A584" s="88"/>
      <c r="B584" s="117" t="s">
        <v>518</v>
      </c>
      <c r="C584" s="118">
        <v>1600.0</v>
      </c>
      <c r="D584" s="88"/>
      <c r="E584" s="119">
        <f t="shared" si="20"/>
        <v>22400</v>
      </c>
      <c r="F584" s="82" t="s">
        <v>519</v>
      </c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</row>
    <row r="585">
      <c r="A585" s="82" t="s">
        <v>520</v>
      </c>
      <c r="B585" s="69" t="s">
        <v>222</v>
      </c>
      <c r="C585" s="88"/>
      <c r="D585" s="82">
        <v>3000.0</v>
      </c>
      <c r="E585" s="119">
        <f t="shared" si="20"/>
        <v>25400</v>
      </c>
      <c r="F585" s="82" t="s">
        <v>203</v>
      </c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</row>
    <row r="586">
      <c r="A586" s="82" t="s">
        <v>520</v>
      </c>
      <c r="B586" s="69" t="s">
        <v>406</v>
      </c>
      <c r="C586" s="88"/>
      <c r="D586" s="82">
        <v>6000.0</v>
      </c>
      <c r="E586" s="119">
        <f t="shared" si="20"/>
        <v>31400</v>
      </c>
      <c r="F586" s="82" t="s">
        <v>517</v>
      </c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</row>
    <row r="587">
      <c r="A587" s="82" t="s">
        <v>520</v>
      </c>
      <c r="B587" s="66" t="s">
        <v>113</v>
      </c>
      <c r="C587" s="88"/>
      <c r="D587" s="82">
        <v>6000.0</v>
      </c>
      <c r="E587" s="119">
        <f t="shared" si="20"/>
        <v>37400</v>
      </c>
      <c r="F587" s="82" t="s">
        <v>517</v>
      </c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</row>
    <row r="588">
      <c r="A588" s="82" t="s">
        <v>520</v>
      </c>
      <c r="B588" s="69" t="s">
        <v>106</v>
      </c>
      <c r="C588" s="88"/>
      <c r="D588" s="82">
        <v>3000.0</v>
      </c>
      <c r="E588" s="119">
        <f t="shared" si="20"/>
        <v>40400</v>
      </c>
      <c r="F588" s="82" t="s">
        <v>213</v>
      </c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</row>
    <row r="589">
      <c r="A589" s="82" t="s">
        <v>520</v>
      </c>
      <c r="B589" s="69" t="s">
        <v>53</v>
      </c>
      <c r="C589" s="88"/>
      <c r="D589" s="82">
        <v>3000.0</v>
      </c>
      <c r="E589" s="119">
        <f t="shared" si="20"/>
        <v>43400</v>
      </c>
      <c r="F589" s="82" t="s">
        <v>203</v>
      </c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</row>
    <row r="590">
      <c r="A590" s="82" t="s">
        <v>521</v>
      </c>
      <c r="B590" s="69" t="s">
        <v>346</v>
      </c>
      <c r="C590" s="88"/>
      <c r="D590" s="82">
        <v>4000.0</v>
      </c>
      <c r="E590" s="119">
        <f t="shared" si="20"/>
        <v>47400</v>
      </c>
      <c r="F590" s="82" t="s">
        <v>522</v>
      </c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</row>
    <row r="591">
      <c r="A591" s="82" t="s">
        <v>523</v>
      </c>
      <c r="B591" s="69" t="s">
        <v>368</v>
      </c>
      <c r="C591" s="88"/>
      <c r="D591" s="82">
        <v>3000.0</v>
      </c>
      <c r="E591" s="119">
        <f t="shared" si="20"/>
        <v>50400</v>
      </c>
      <c r="F591" s="82" t="s">
        <v>514</v>
      </c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</row>
    <row r="592">
      <c r="A592" s="82" t="s">
        <v>523</v>
      </c>
      <c r="B592" s="63" t="s">
        <v>497</v>
      </c>
      <c r="C592" s="88"/>
      <c r="D592" s="82">
        <v>6000.0</v>
      </c>
      <c r="E592" s="119">
        <f t="shared" si="20"/>
        <v>56400</v>
      </c>
      <c r="F592" s="82" t="s">
        <v>524</v>
      </c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</row>
    <row r="593">
      <c r="A593" s="82" t="s">
        <v>525</v>
      </c>
      <c r="B593" s="63" t="s">
        <v>526</v>
      </c>
      <c r="C593" s="88"/>
      <c r="D593" s="82">
        <v>6000.0</v>
      </c>
      <c r="E593" s="119">
        <f t="shared" si="20"/>
        <v>62400</v>
      </c>
      <c r="F593" s="116" t="s">
        <v>527</v>
      </c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</row>
    <row r="594">
      <c r="A594" s="82" t="s">
        <v>525</v>
      </c>
      <c r="B594" s="69" t="s">
        <v>41</v>
      </c>
      <c r="C594" s="88"/>
      <c r="D594" s="82">
        <v>6000.0</v>
      </c>
      <c r="E594" s="119">
        <f t="shared" si="20"/>
        <v>68400</v>
      </c>
      <c r="F594" s="82" t="s">
        <v>524</v>
      </c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</row>
    <row r="595">
      <c r="A595" s="82" t="s">
        <v>525</v>
      </c>
      <c r="B595" s="69" t="s">
        <v>425</v>
      </c>
      <c r="C595" s="88"/>
      <c r="D595" s="82">
        <v>6000.0</v>
      </c>
      <c r="E595" s="119">
        <f t="shared" si="20"/>
        <v>74400</v>
      </c>
      <c r="F595" s="82" t="s">
        <v>524</v>
      </c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</row>
    <row r="596">
      <c r="A596" s="82" t="s">
        <v>528</v>
      </c>
      <c r="B596" s="69" t="s">
        <v>48</v>
      </c>
      <c r="C596" s="88"/>
      <c r="D596" s="82">
        <v>3000.0</v>
      </c>
      <c r="E596" s="119">
        <f t="shared" si="20"/>
        <v>77400</v>
      </c>
      <c r="F596" s="82" t="s">
        <v>514</v>
      </c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</row>
    <row r="597">
      <c r="A597" s="82" t="s">
        <v>528</v>
      </c>
      <c r="B597" s="69" t="s">
        <v>411</v>
      </c>
      <c r="C597" s="88"/>
      <c r="D597" s="82">
        <v>6000.0</v>
      </c>
      <c r="E597" s="119">
        <f t="shared" si="20"/>
        <v>83400</v>
      </c>
      <c r="F597" s="82" t="s">
        <v>524</v>
      </c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</row>
    <row r="598">
      <c r="A598" s="82" t="s">
        <v>528</v>
      </c>
      <c r="B598" s="69" t="s">
        <v>51</v>
      </c>
      <c r="C598" s="88"/>
      <c r="D598" s="82">
        <v>3000.0</v>
      </c>
      <c r="E598" s="119">
        <f t="shared" si="20"/>
        <v>86400</v>
      </c>
      <c r="F598" s="82" t="s">
        <v>203</v>
      </c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</row>
    <row r="599">
      <c r="A599" s="82" t="s">
        <v>528</v>
      </c>
      <c r="B599" s="63" t="s">
        <v>493</v>
      </c>
      <c r="C599" s="88"/>
      <c r="D599" s="82">
        <v>6000.0</v>
      </c>
      <c r="E599" s="119">
        <f t="shared" si="20"/>
        <v>92400</v>
      </c>
      <c r="F599" s="82" t="s">
        <v>517</v>
      </c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</row>
    <row r="600">
      <c r="A600" s="121" t="s">
        <v>528</v>
      </c>
      <c r="B600" s="84" t="s">
        <v>50</v>
      </c>
      <c r="C600" s="122"/>
      <c r="D600" s="121">
        <v>6000.0</v>
      </c>
      <c r="E600" s="120">
        <f t="shared" si="20"/>
        <v>98400</v>
      </c>
      <c r="F600" s="121" t="s">
        <v>529</v>
      </c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</row>
    <row r="601">
      <c r="A601" s="82" t="s">
        <v>530</v>
      </c>
      <c r="B601" s="63" t="s">
        <v>531</v>
      </c>
      <c r="C601" s="88"/>
      <c r="D601" s="82">
        <v>6000.0</v>
      </c>
      <c r="E601" s="70">
        <v>6000.0</v>
      </c>
      <c r="F601" s="116" t="s">
        <v>532</v>
      </c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</row>
    <row r="602">
      <c r="A602" s="82" t="s">
        <v>530</v>
      </c>
      <c r="B602" s="69" t="s">
        <v>174</v>
      </c>
      <c r="C602" s="88"/>
      <c r="D602" s="82">
        <v>6000.0</v>
      </c>
      <c r="E602" s="70">
        <f t="shared" ref="E602:E629" si="21">E601+(D602-C602)</f>
        <v>12000</v>
      </c>
      <c r="F602" s="82" t="s">
        <v>529</v>
      </c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</row>
    <row r="603">
      <c r="A603" s="70" t="s">
        <v>530</v>
      </c>
      <c r="B603" s="69" t="s">
        <v>380</v>
      </c>
      <c r="C603" s="104"/>
      <c r="D603" s="70">
        <v>3000.0</v>
      </c>
      <c r="E603" s="70">
        <f t="shared" si="21"/>
        <v>15000</v>
      </c>
      <c r="F603" s="70" t="s">
        <v>213</v>
      </c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</row>
    <row r="604">
      <c r="A604" s="82" t="s">
        <v>533</v>
      </c>
      <c r="B604" s="69" t="s">
        <v>43</v>
      </c>
      <c r="C604" s="88"/>
      <c r="D604" s="82">
        <v>6000.0</v>
      </c>
      <c r="E604" s="70">
        <f t="shared" si="21"/>
        <v>21000</v>
      </c>
      <c r="F604" s="82" t="s">
        <v>534</v>
      </c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</row>
    <row r="605">
      <c r="A605" s="82" t="s">
        <v>533</v>
      </c>
      <c r="B605" s="63" t="s">
        <v>56</v>
      </c>
      <c r="C605" s="88"/>
      <c r="D605" s="82">
        <v>6000.0</v>
      </c>
      <c r="E605" s="70">
        <f t="shared" si="21"/>
        <v>27000</v>
      </c>
      <c r="F605" s="82" t="s">
        <v>535</v>
      </c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</row>
    <row r="606">
      <c r="A606" s="82" t="s">
        <v>533</v>
      </c>
      <c r="B606" s="69" t="s">
        <v>424</v>
      </c>
      <c r="C606" s="88"/>
      <c r="D606" s="82">
        <v>6000.0</v>
      </c>
      <c r="E606" s="70">
        <f t="shared" si="21"/>
        <v>33000</v>
      </c>
      <c r="F606" s="82" t="s">
        <v>536</v>
      </c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</row>
    <row r="607">
      <c r="A607" s="82" t="s">
        <v>533</v>
      </c>
      <c r="B607" s="69" t="s">
        <v>45</v>
      </c>
      <c r="C607" s="88"/>
      <c r="D607" s="82">
        <v>3000.0</v>
      </c>
      <c r="E607" s="70">
        <f t="shared" si="21"/>
        <v>36000</v>
      </c>
      <c r="F607" s="82" t="s">
        <v>537</v>
      </c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</row>
    <row r="608">
      <c r="A608" s="82" t="s">
        <v>533</v>
      </c>
      <c r="B608" s="69" t="s">
        <v>52</v>
      </c>
      <c r="C608" s="88"/>
      <c r="D608" s="82">
        <v>6000.0</v>
      </c>
      <c r="E608" s="70">
        <f t="shared" si="21"/>
        <v>42000</v>
      </c>
      <c r="F608" s="82" t="s">
        <v>538</v>
      </c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</row>
    <row r="609">
      <c r="A609" s="82" t="s">
        <v>533</v>
      </c>
      <c r="B609" s="69" t="s">
        <v>354</v>
      </c>
      <c r="C609" s="88"/>
      <c r="D609" s="82">
        <v>3000.0</v>
      </c>
      <c r="E609" s="70">
        <f t="shared" si="21"/>
        <v>45000</v>
      </c>
      <c r="F609" s="82" t="s">
        <v>539</v>
      </c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</row>
    <row r="610">
      <c r="A610" s="82" t="s">
        <v>540</v>
      </c>
      <c r="B610" s="69" t="s">
        <v>420</v>
      </c>
      <c r="C610" s="88"/>
      <c r="D610" s="82">
        <v>3000.0</v>
      </c>
      <c r="E610" s="70">
        <f t="shared" si="21"/>
        <v>48000</v>
      </c>
      <c r="F610" s="82" t="s">
        <v>541</v>
      </c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</row>
    <row r="611">
      <c r="A611" s="82" t="s">
        <v>542</v>
      </c>
      <c r="B611" s="69" t="s">
        <v>119</v>
      </c>
      <c r="C611" s="88"/>
      <c r="D611" s="82">
        <v>6000.0</v>
      </c>
      <c r="E611" s="70">
        <f t="shared" si="21"/>
        <v>54000</v>
      </c>
      <c r="F611" s="82" t="s">
        <v>543</v>
      </c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</row>
    <row r="612">
      <c r="A612" s="82" t="s">
        <v>542</v>
      </c>
      <c r="B612" s="82" t="s">
        <v>200</v>
      </c>
      <c r="C612" s="88"/>
      <c r="D612" s="82">
        <v>6000.0</v>
      </c>
      <c r="E612" s="70">
        <f t="shared" si="21"/>
        <v>60000</v>
      </c>
      <c r="F612" s="82" t="s">
        <v>517</v>
      </c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</row>
    <row r="613">
      <c r="A613" s="82" t="s">
        <v>542</v>
      </c>
      <c r="B613" s="82" t="s">
        <v>126</v>
      </c>
      <c r="C613" s="88"/>
      <c r="D613" s="82">
        <v>3000.0</v>
      </c>
      <c r="E613" s="70">
        <f t="shared" si="21"/>
        <v>63000</v>
      </c>
      <c r="F613" s="82" t="s">
        <v>203</v>
      </c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</row>
    <row r="614">
      <c r="A614" s="82" t="s">
        <v>542</v>
      </c>
      <c r="B614" s="82" t="s">
        <v>215</v>
      </c>
      <c r="C614" s="88"/>
      <c r="D614" s="82">
        <v>6000.0</v>
      </c>
      <c r="E614" s="70">
        <f t="shared" si="21"/>
        <v>69000</v>
      </c>
      <c r="F614" s="82" t="s">
        <v>544</v>
      </c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</row>
    <row r="615">
      <c r="A615" s="82" t="s">
        <v>542</v>
      </c>
      <c r="B615" s="82" t="s">
        <v>46</v>
      </c>
      <c r="C615" s="88"/>
      <c r="D615" s="82">
        <v>6000.0</v>
      </c>
      <c r="E615" s="70">
        <f t="shared" si="21"/>
        <v>75000</v>
      </c>
      <c r="F615" s="82" t="s">
        <v>517</v>
      </c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</row>
    <row r="616">
      <c r="A616" s="82" t="s">
        <v>542</v>
      </c>
      <c r="B616" s="82" t="s">
        <v>53</v>
      </c>
      <c r="C616" s="88"/>
      <c r="D616" s="82">
        <v>3000.0</v>
      </c>
      <c r="E616" s="70">
        <f t="shared" si="21"/>
        <v>78000</v>
      </c>
      <c r="F616" s="70" t="s">
        <v>213</v>
      </c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</row>
    <row r="617">
      <c r="A617" s="89">
        <v>45755.0</v>
      </c>
      <c r="B617" s="82" t="s">
        <v>397</v>
      </c>
      <c r="C617" s="88"/>
      <c r="D617" s="82">
        <v>6000.0</v>
      </c>
      <c r="E617" s="70">
        <f t="shared" si="21"/>
        <v>84000</v>
      </c>
      <c r="F617" s="82" t="s">
        <v>545</v>
      </c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</row>
    <row r="618">
      <c r="A618" s="89">
        <v>45755.0</v>
      </c>
      <c r="B618" s="69" t="s">
        <v>190</v>
      </c>
      <c r="C618" s="88"/>
      <c r="D618" s="82">
        <v>6000.0</v>
      </c>
      <c r="E618" s="70">
        <f t="shared" si="21"/>
        <v>90000</v>
      </c>
      <c r="F618" s="82" t="s">
        <v>546</v>
      </c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</row>
    <row r="619">
      <c r="A619" s="89">
        <v>45755.0</v>
      </c>
      <c r="B619" s="69" t="s">
        <v>40</v>
      </c>
      <c r="C619" s="88"/>
      <c r="D619" s="82">
        <v>3000.0</v>
      </c>
      <c r="E619" s="70">
        <f t="shared" si="21"/>
        <v>93000</v>
      </c>
      <c r="F619" s="70" t="s">
        <v>213</v>
      </c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</row>
    <row r="620">
      <c r="A620" s="123">
        <v>45759.0</v>
      </c>
      <c r="B620" s="82" t="s">
        <v>547</v>
      </c>
      <c r="C620" s="88"/>
      <c r="D620" s="82">
        <v>6000.0</v>
      </c>
      <c r="E620" s="70">
        <f t="shared" si="21"/>
        <v>99000</v>
      </c>
      <c r="F620" s="82" t="s">
        <v>548</v>
      </c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</row>
    <row r="621">
      <c r="A621" s="123">
        <v>45759.0</v>
      </c>
      <c r="B621" s="82" t="s">
        <v>549</v>
      </c>
      <c r="C621" s="88"/>
      <c r="D621" s="82">
        <v>3000.0</v>
      </c>
      <c r="E621" s="70">
        <f t="shared" si="21"/>
        <v>102000</v>
      </c>
      <c r="F621" s="82" t="s">
        <v>550</v>
      </c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</row>
    <row r="622">
      <c r="A622" s="123">
        <v>45759.0</v>
      </c>
      <c r="B622" s="82" t="s">
        <v>51</v>
      </c>
      <c r="C622" s="88"/>
      <c r="D622" s="82">
        <v>3000.0</v>
      </c>
      <c r="E622" s="70">
        <f t="shared" si="21"/>
        <v>105000</v>
      </c>
      <c r="F622" s="82" t="s">
        <v>550</v>
      </c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</row>
    <row r="623">
      <c r="A623" s="123">
        <v>45759.0</v>
      </c>
      <c r="B623" s="82" t="s">
        <v>551</v>
      </c>
      <c r="C623" s="88"/>
      <c r="D623" s="82">
        <v>3000.0</v>
      </c>
      <c r="E623" s="70">
        <f t="shared" si="21"/>
        <v>108000</v>
      </c>
      <c r="F623" s="82" t="s">
        <v>550</v>
      </c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</row>
    <row r="624">
      <c r="A624" s="123">
        <v>45759.0</v>
      </c>
      <c r="B624" s="69" t="s">
        <v>48</v>
      </c>
      <c r="C624" s="88"/>
      <c r="D624" s="82">
        <v>3000.0</v>
      </c>
      <c r="E624" s="70">
        <f t="shared" si="21"/>
        <v>111000</v>
      </c>
      <c r="F624" s="82" t="s">
        <v>552</v>
      </c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</row>
    <row r="625">
      <c r="A625" s="123">
        <v>45762.0</v>
      </c>
      <c r="B625" s="82" t="s">
        <v>354</v>
      </c>
      <c r="C625" s="88"/>
      <c r="D625" s="82">
        <v>3000.0</v>
      </c>
      <c r="E625" s="70">
        <f t="shared" si="21"/>
        <v>114000</v>
      </c>
      <c r="F625" s="82" t="s">
        <v>552</v>
      </c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</row>
    <row r="626">
      <c r="A626" s="123">
        <v>45765.0</v>
      </c>
      <c r="B626" s="69" t="s">
        <v>297</v>
      </c>
      <c r="C626" s="88"/>
      <c r="D626" s="82">
        <v>2000.0</v>
      </c>
      <c r="E626" s="70">
        <f t="shared" si="21"/>
        <v>116000</v>
      </c>
      <c r="F626" s="82" t="s">
        <v>553</v>
      </c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</row>
    <row r="627">
      <c r="A627" s="123">
        <v>45765.0</v>
      </c>
      <c r="B627" s="82" t="s">
        <v>554</v>
      </c>
      <c r="C627" s="88"/>
      <c r="D627" s="82">
        <v>3000.0</v>
      </c>
      <c r="E627" s="70">
        <f t="shared" si="21"/>
        <v>119000</v>
      </c>
      <c r="F627" s="82" t="s">
        <v>555</v>
      </c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</row>
    <row r="628">
      <c r="A628" s="123">
        <v>45769.0</v>
      </c>
      <c r="B628" s="82" t="s">
        <v>556</v>
      </c>
      <c r="C628" s="82">
        <v>17000.0</v>
      </c>
      <c r="D628" s="88"/>
      <c r="E628" s="70">
        <f t="shared" si="21"/>
        <v>102000</v>
      </c>
      <c r="F628" s="82" t="s">
        <v>557</v>
      </c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</row>
    <row r="629">
      <c r="A629" s="124">
        <v>45777.0</v>
      </c>
      <c r="B629" s="62" t="s">
        <v>558</v>
      </c>
      <c r="C629" s="62">
        <v>1600.0</v>
      </c>
      <c r="D629" s="61"/>
      <c r="E629" s="121">
        <f t="shared" si="21"/>
        <v>100400</v>
      </c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</row>
    <row r="633">
      <c r="A633" s="126">
        <v>45779.0</v>
      </c>
      <c r="B633" s="127" t="s">
        <v>531</v>
      </c>
      <c r="C633" s="127"/>
      <c r="D633" s="128">
        <v>3000.0</v>
      </c>
      <c r="E633" s="127">
        <v>3000.0</v>
      </c>
      <c r="F633" s="129"/>
      <c r="G633" s="125"/>
      <c r="H633" s="125"/>
      <c r="I633" s="125"/>
      <c r="J633" s="125"/>
      <c r="K633" s="125"/>
      <c r="L633" s="125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</row>
    <row r="634">
      <c r="A634" s="130">
        <v>45779.0</v>
      </c>
      <c r="B634" s="131" t="s">
        <v>554</v>
      </c>
      <c r="C634" s="131"/>
      <c r="D634" s="132">
        <v>3000.0</v>
      </c>
      <c r="E634" s="133">
        <f t="shared" ref="E634:E665" si="22">(E633+D634)-C634</f>
        <v>6000</v>
      </c>
      <c r="F634" s="129"/>
      <c r="G634" s="125"/>
      <c r="H634" s="125"/>
      <c r="I634" s="125"/>
      <c r="J634" s="125"/>
      <c r="K634" s="125"/>
      <c r="L634" s="125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</row>
    <row r="635">
      <c r="A635" s="130">
        <v>45779.0</v>
      </c>
      <c r="B635" s="131" t="s">
        <v>559</v>
      </c>
      <c r="C635" s="131"/>
      <c r="D635" s="132">
        <v>3000.0</v>
      </c>
      <c r="E635" s="133">
        <f t="shared" si="22"/>
        <v>9000</v>
      </c>
      <c r="F635" s="129"/>
      <c r="G635" s="125"/>
      <c r="H635" s="125"/>
      <c r="I635" s="125"/>
      <c r="J635" s="125"/>
      <c r="K635" s="125"/>
      <c r="L635" s="125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</row>
    <row r="636">
      <c r="A636" s="130">
        <v>45780.0</v>
      </c>
      <c r="B636" s="134" t="s">
        <v>51</v>
      </c>
      <c r="C636" s="131"/>
      <c r="D636" s="132">
        <v>3000.0</v>
      </c>
      <c r="E636" s="133">
        <f t="shared" si="22"/>
        <v>12000</v>
      </c>
      <c r="F636" s="135"/>
      <c r="G636" s="125"/>
      <c r="H636" s="125"/>
      <c r="I636" s="125"/>
      <c r="J636" s="125"/>
      <c r="K636" s="125"/>
      <c r="L636" s="125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</row>
    <row r="637">
      <c r="A637" s="130">
        <v>45780.0</v>
      </c>
      <c r="B637" s="134" t="s">
        <v>560</v>
      </c>
      <c r="C637" s="131"/>
      <c r="D637" s="132">
        <v>3000.0</v>
      </c>
      <c r="E637" s="133">
        <f t="shared" si="22"/>
        <v>15000</v>
      </c>
      <c r="F637" s="135"/>
      <c r="G637" s="41"/>
      <c r="H637" s="41"/>
      <c r="I637" s="41"/>
      <c r="J637" s="41"/>
      <c r="K637" s="41"/>
      <c r="L637" s="136" t="s">
        <v>561</v>
      </c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</row>
    <row r="638">
      <c r="A638" s="130">
        <v>45780.0</v>
      </c>
      <c r="B638" s="134" t="s">
        <v>562</v>
      </c>
      <c r="C638" s="134"/>
      <c r="D638" s="132">
        <v>3000.0</v>
      </c>
      <c r="E638" s="133">
        <f t="shared" si="22"/>
        <v>18000</v>
      </c>
      <c r="F638" s="135"/>
      <c r="G638" s="41"/>
      <c r="H638" s="41"/>
      <c r="I638" s="41"/>
      <c r="J638" s="41"/>
      <c r="K638" s="41"/>
      <c r="L638" s="136" t="s">
        <v>561</v>
      </c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</row>
    <row r="639">
      <c r="A639" s="130">
        <v>45780.0</v>
      </c>
      <c r="B639" s="134" t="s">
        <v>50</v>
      </c>
      <c r="C639" s="134"/>
      <c r="D639" s="132">
        <v>3000.0</v>
      </c>
      <c r="E639" s="133">
        <f t="shared" si="22"/>
        <v>21000</v>
      </c>
      <c r="F639" s="129" t="s">
        <v>39</v>
      </c>
      <c r="G639" s="41"/>
      <c r="H639" s="41"/>
      <c r="I639" s="41"/>
      <c r="J639" s="41"/>
      <c r="K639" s="41"/>
      <c r="L639" s="125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</row>
    <row r="640">
      <c r="A640" s="130">
        <v>45783.0</v>
      </c>
      <c r="B640" s="137" t="s">
        <v>489</v>
      </c>
      <c r="C640" s="137"/>
      <c r="D640" s="132">
        <v>3000.0</v>
      </c>
      <c r="E640" s="133">
        <f t="shared" si="22"/>
        <v>24000</v>
      </c>
      <c r="F640" s="82" t="s">
        <v>39</v>
      </c>
      <c r="G640" s="125"/>
      <c r="H640" s="125"/>
      <c r="I640" s="125"/>
      <c r="J640" s="125"/>
      <c r="K640" s="125"/>
      <c r="L640" s="125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</row>
    <row r="641">
      <c r="A641" s="130">
        <v>45783.0</v>
      </c>
      <c r="B641" s="137" t="s">
        <v>55</v>
      </c>
      <c r="C641" s="137"/>
      <c r="D641" s="132">
        <v>3000.0</v>
      </c>
      <c r="E641" s="133">
        <f t="shared" si="22"/>
        <v>27000</v>
      </c>
      <c r="F641" s="129" t="s">
        <v>39</v>
      </c>
      <c r="G641" s="125"/>
      <c r="H641" s="125"/>
      <c r="I641" s="125"/>
      <c r="J641" s="125"/>
      <c r="K641" s="125"/>
      <c r="L641" s="125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</row>
    <row r="642">
      <c r="A642" s="130">
        <v>45783.0</v>
      </c>
      <c r="B642" s="134" t="s">
        <v>563</v>
      </c>
      <c r="C642" s="134"/>
      <c r="D642" s="132">
        <v>3000.0</v>
      </c>
      <c r="E642" s="133">
        <f t="shared" si="22"/>
        <v>30000</v>
      </c>
      <c r="F642" s="135"/>
      <c r="G642" s="125"/>
      <c r="H642" s="125"/>
      <c r="I642" s="125"/>
      <c r="J642" s="125"/>
      <c r="K642" s="125"/>
      <c r="L642" s="125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</row>
    <row r="643">
      <c r="A643" s="130">
        <v>45783.0</v>
      </c>
      <c r="B643" s="137" t="s">
        <v>564</v>
      </c>
      <c r="C643" s="137"/>
      <c r="D643" s="132">
        <v>3000.0</v>
      </c>
      <c r="E643" s="133">
        <f t="shared" si="22"/>
        <v>33000</v>
      </c>
      <c r="F643" s="129"/>
      <c r="G643" s="125"/>
      <c r="H643" s="125"/>
      <c r="I643" s="125"/>
      <c r="J643" s="125"/>
      <c r="K643" s="125"/>
      <c r="L643" s="125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</row>
    <row r="644">
      <c r="A644" s="130">
        <v>45786.0</v>
      </c>
      <c r="B644" s="137" t="s">
        <v>565</v>
      </c>
      <c r="C644" s="137"/>
      <c r="D644" s="132">
        <v>3000.0</v>
      </c>
      <c r="E644" s="133">
        <f t="shared" si="22"/>
        <v>36000</v>
      </c>
      <c r="F644" s="135"/>
      <c r="G644" s="125"/>
      <c r="H644" s="125"/>
      <c r="I644" s="125"/>
      <c r="J644" s="125"/>
      <c r="K644" s="125"/>
      <c r="L644" s="125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</row>
    <row r="645">
      <c r="A645" s="130">
        <v>45786.0</v>
      </c>
      <c r="B645" s="137" t="s">
        <v>497</v>
      </c>
      <c r="C645" s="137"/>
      <c r="D645" s="132">
        <v>3000.0</v>
      </c>
      <c r="E645" s="133">
        <f t="shared" si="22"/>
        <v>39000</v>
      </c>
      <c r="F645" s="88"/>
      <c r="G645" s="125"/>
      <c r="H645" s="125"/>
      <c r="I645" s="125"/>
      <c r="J645" s="125"/>
      <c r="K645" s="125"/>
      <c r="L645" s="125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</row>
    <row r="646">
      <c r="A646" s="130">
        <v>45786.0</v>
      </c>
      <c r="B646" s="137" t="s">
        <v>57</v>
      </c>
      <c r="C646" s="137"/>
      <c r="D646" s="132">
        <v>9000.0</v>
      </c>
      <c r="E646" s="133">
        <f t="shared" si="22"/>
        <v>48000</v>
      </c>
      <c r="F646" s="129" t="s">
        <v>39</v>
      </c>
      <c r="G646" s="125"/>
      <c r="H646" s="125"/>
      <c r="I646" s="125"/>
      <c r="J646" s="125"/>
      <c r="K646" s="125"/>
      <c r="L646" s="125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</row>
    <row r="647">
      <c r="A647" s="138">
        <v>45787.0</v>
      </c>
      <c r="B647" s="139" t="s">
        <v>526</v>
      </c>
      <c r="C647" s="140"/>
      <c r="D647" s="131">
        <v>3000.0</v>
      </c>
      <c r="E647" s="133">
        <f t="shared" si="22"/>
        <v>51000</v>
      </c>
      <c r="F647" s="88"/>
      <c r="G647" s="125"/>
      <c r="H647" s="125"/>
      <c r="I647" s="125"/>
      <c r="J647" s="125"/>
      <c r="K647" s="125"/>
      <c r="L647" s="125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</row>
    <row r="648">
      <c r="A648" s="138">
        <v>45787.0</v>
      </c>
      <c r="B648" s="139" t="s">
        <v>346</v>
      </c>
      <c r="C648" s="140"/>
      <c r="D648" s="131">
        <v>3000.0</v>
      </c>
      <c r="E648" s="133">
        <f t="shared" si="22"/>
        <v>54000</v>
      </c>
      <c r="F648" s="82"/>
      <c r="G648" s="125"/>
      <c r="H648" s="125"/>
      <c r="I648" s="125"/>
      <c r="J648" s="125"/>
      <c r="K648" s="125"/>
      <c r="L648" s="125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</row>
    <row r="649">
      <c r="A649" s="138">
        <v>45786.0</v>
      </c>
      <c r="B649" s="69" t="s">
        <v>354</v>
      </c>
      <c r="C649" s="133"/>
      <c r="D649" s="132">
        <v>3000.0</v>
      </c>
      <c r="E649" s="133">
        <f t="shared" si="22"/>
        <v>57000</v>
      </c>
      <c r="F649" s="82" t="s">
        <v>39</v>
      </c>
      <c r="G649" s="125"/>
      <c r="H649" s="125"/>
      <c r="I649" s="125"/>
      <c r="J649" s="125"/>
      <c r="K649" s="125"/>
      <c r="L649" s="125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</row>
    <row r="650">
      <c r="A650" s="141">
        <v>45790.0</v>
      </c>
      <c r="B650" s="69" t="s">
        <v>53</v>
      </c>
      <c r="C650" s="88"/>
      <c r="D650" s="82">
        <v>3000.0</v>
      </c>
      <c r="E650" s="133">
        <f t="shared" si="22"/>
        <v>60000</v>
      </c>
      <c r="F650" s="88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</row>
    <row r="651">
      <c r="A651" s="141">
        <v>45790.0</v>
      </c>
      <c r="B651" s="142" t="s">
        <v>46</v>
      </c>
      <c r="C651" s="88"/>
      <c r="D651" s="82">
        <v>3000.0</v>
      </c>
      <c r="E651" s="133">
        <f t="shared" si="22"/>
        <v>63000</v>
      </c>
      <c r="F651" s="88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</row>
    <row r="652">
      <c r="A652" s="141">
        <v>45790.0</v>
      </c>
      <c r="B652" s="69" t="s">
        <v>48</v>
      </c>
      <c r="C652" s="88"/>
      <c r="D652" s="82">
        <v>3000.0</v>
      </c>
      <c r="E652" s="133">
        <f t="shared" si="22"/>
        <v>66000</v>
      </c>
      <c r="F652" s="82" t="s">
        <v>39</v>
      </c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</row>
    <row r="653">
      <c r="A653" s="141">
        <v>45791.0</v>
      </c>
      <c r="B653" s="69" t="s">
        <v>411</v>
      </c>
      <c r="C653" s="88"/>
      <c r="D653" s="82">
        <v>3000.0</v>
      </c>
      <c r="E653" s="133">
        <f t="shared" si="22"/>
        <v>69000</v>
      </c>
      <c r="F653" s="82" t="s">
        <v>39</v>
      </c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</row>
    <row r="654">
      <c r="A654" s="141">
        <v>45793.0</v>
      </c>
      <c r="B654" s="69" t="s">
        <v>406</v>
      </c>
      <c r="C654" s="88"/>
      <c r="D654" s="82">
        <v>3000.0</v>
      </c>
      <c r="E654" s="133">
        <f t="shared" si="22"/>
        <v>72000</v>
      </c>
      <c r="F654" s="88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</row>
    <row r="655">
      <c r="A655" s="141">
        <v>45793.0</v>
      </c>
      <c r="B655" s="69" t="s">
        <v>106</v>
      </c>
      <c r="C655" s="88"/>
      <c r="D655" s="82">
        <v>3000.0</v>
      </c>
      <c r="E655" s="133">
        <f t="shared" si="22"/>
        <v>75000</v>
      </c>
      <c r="F655" s="88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</row>
    <row r="656">
      <c r="A656" s="143">
        <v>45794.0</v>
      </c>
      <c r="B656" s="144" t="s">
        <v>222</v>
      </c>
      <c r="C656" s="88"/>
      <c r="D656" s="82">
        <v>3000.0</v>
      </c>
      <c r="E656" s="133">
        <f t="shared" si="22"/>
        <v>78000</v>
      </c>
      <c r="F656" s="88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</row>
    <row r="657">
      <c r="A657" s="143">
        <v>45794.0</v>
      </c>
      <c r="B657" s="145" t="s">
        <v>424</v>
      </c>
      <c r="C657" s="88"/>
      <c r="D657" s="82">
        <v>3000.0</v>
      </c>
      <c r="E657" s="133">
        <f t="shared" si="22"/>
        <v>81000</v>
      </c>
      <c r="F657" s="88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</row>
    <row r="658">
      <c r="A658" s="143">
        <v>45794.0</v>
      </c>
      <c r="B658" s="142" t="s">
        <v>119</v>
      </c>
      <c r="C658" s="88"/>
      <c r="D658" s="82">
        <v>3000.0</v>
      </c>
      <c r="E658" s="133">
        <f t="shared" si="22"/>
        <v>84000</v>
      </c>
      <c r="F658" s="82" t="s">
        <v>39</v>
      </c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</row>
    <row r="659">
      <c r="A659" s="143">
        <v>45794.0</v>
      </c>
      <c r="B659" s="69" t="s">
        <v>126</v>
      </c>
      <c r="C659" s="88"/>
      <c r="D659" s="82">
        <v>3000.0</v>
      </c>
      <c r="E659" s="133">
        <f t="shared" si="22"/>
        <v>87000</v>
      </c>
      <c r="F659" s="88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</row>
    <row r="660">
      <c r="A660" s="143">
        <v>45794.0</v>
      </c>
      <c r="B660" s="146" t="s">
        <v>566</v>
      </c>
      <c r="C660" s="147">
        <v>1600.0</v>
      </c>
      <c r="D660" s="82"/>
      <c r="E660" s="133">
        <f t="shared" si="22"/>
        <v>85400</v>
      </c>
      <c r="F660" s="129"/>
      <c r="G660" s="148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</row>
    <row r="661">
      <c r="A661" s="143">
        <v>45794.0</v>
      </c>
      <c r="B661" s="146" t="s">
        <v>567</v>
      </c>
      <c r="C661" s="147">
        <v>1000.0</v>
      </c>
      <c r="D661" s="82"/>
      <c r="E661" s="133">
        <f t="shared" si="22"/>
        <v>84400</v>
      </c>
      <c r="F661" s="129"/>
      <c r="G661" s="148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</row>
    <row r="662">
      <c r="A662" s="143">
        <v>45794.0</v>
      </c>
      <c r="B662" s="146" t="s">
        <v>568</v>
      </c>
      <c r="C662" s="147">
        <v>100.0</v>
      </c>
      <c r="D662" s="82"/>
      <c r="E662" s="149">
        <f t="shared" si="22"/>
        <v>84300</v>
      </c>
      <c r="F662" s="129"/>
      <c r="G662" s="148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</row>
    <row r="663">
      <c r="A663" s="143">
        <v>45801.0</v>
      </c>
      <c r="B663" s="66" t="s">
        <v>113</v>
      </c>
      <c r="C663" s="147"/>
      <c r="D663" s="82">
        <v>3000.0</v>
      </c>
      <c r="E663" s="133">
        <f t="shared" si="22"/>
        <v>87300</v>
      </c>
      <c r="F663" s="129"/>
      <c r="G663" s="148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</row>
    <row r="664">
      <c r="A664" s="143">
        <v>45801.0</v>
      </c>
      <c r="B664" s="63" t="s">
        <v>493</v>
      </c>
      <c r="C664" s="147"/>
      <c r="D664" s="82">
        <v>3000.0</v>
      </c>
      <c r="E664" s="133">
        <f t="shared" si="22"/>
        <v>90300</v>
      </c>
      <c r="F664" s="129" t="s">
        <v>39</v>
      </c>
      <c r="G664" s="148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</row>
    <row r="665">
      <c r="A665" s="143">
        <v>45801.0</v>
      </c>
      <c r="B665" s="69" t="s">
        <v>174</v>
      </c>
      <c r="C665" s="147"/>
      <c r="D665" s="82">
        <v>3000.0</v>
      </c>
      <c r="E665" s="135">
        <f t="shared" si="22"/>
        <v>93300</v>
      </c>
      <c r="F665" s="129" t="s">
        <v>39</v>
      </c>
      <c r="G665" s="148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</row>
    <row r="666">
      <c r="A666" s="75"/>
      <c r="B666" s="75"/>
      <c r="C666" s="75"/>
      <c r="D666" s="75"/>
      <c r="E666" s="75"/>
      <c r="F666" s="75"/>
      <c r="G666" s="148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</row>
    <row r="667">
      <c r="A667" s="75"/>
      <c r="B667" s="75"/>
      <c r="C667" s="75"/>
      <c r="D667" s="75"/>
      <c r="E667" s="75"/>
      <c r="F667" s="75"/>
      <c r="G667" s="148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</row>
    <row r="668">
      <c r="A668" s="143">
        <v>45809.0</v>
      </c>
      <c r="B668" s="69" t="s">
        <v>43</v>
      </c>
      <c r="C668" s="143"/>
      <c r="D668" s="82">
        <v>3000.0</v>
      </c>
      <c r="E668" s="82">
        <v>3000.0</v>
      </c>
      <c r="F668" s="143"/>
      <c r="G668" s="148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</row>
    <row r="669">
      <c r="A669" s="123">
        <v>45809.0</v>
      </c>
      <c r="B669" s="139" t="s">
        <v>54</v>
      </c>
      <c r="C669" s="88"/>
      <c r="D669" s="82">
        <v>3000.0</v>
      </c>
      <c r="E669" s="88">
        <f t="shared" ref="E669:E698" si="23">(E668+D669)-C669</f>
        <v>6000</v>
      </c>
      <c r="F669" s="82" t="s">
        <v>97</v>
      </c>
      <c r="G669" s="60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</row>
    <row r="670">
      <c r="A670" s="123">
        <v>45809.0</v>
      </c>
      <c r="B670" s="63" t="s">
        <v>55</v>
      </c>
      <c r="C670" s="88"/>
      <c r="D670" s="82">
        <v>3000.0</v>
      </c>
      <c r="E670" s="88">
        <f t="shared" si="23"/>
        <v>9000</v>
      </c>
      <c r="F670" s="82" t="s">
        <v>97</v>
      </c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</row>
    <row r="671">
      <c r="A671" s="150">
        <v>45810.0</v>
      </c>
      <c r="B671" s="67" t="s">
        <v>411</v>
      </c>
      <c r="C671" s="88"/>
      <c r="D671" s="82">
        <v>3000.0</v>
      </c>
      <c r="E671" s="88">
        <f t="shared" si="23"/>
        <v>12000</v>
      </c>
      <c r="F671" s="82" t="s">
        <v>97</v>
      </c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</row>
    <row r="672">
      <c r="A672" s="150">
        <v>45811.0</v>
      </c>
      <c r="B672" s="69" t="s">
        <v>126</v>
      </c>
      <c r="C672" s="88"/>
      <c r="D672" s="82">
        <v>3000.0</v>
      </c>
      <c r="E672" s="88">
        <f t="shared" si="23"/>
        <v>15000</v>
      </c>
      <c r="F672" s="88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</row>
    <row r="673">
      <c r="A673" s="151" t="s">
        <v>569</v>
      </c>
      <c r="B673" s="69" t="s">
        <v>424</v>
      </c>
      <c r="C673" s="88"/>
      <c r="D673" s="82">
        <v>3000.0</v>
      </c>
      <c r="E673" s="88">
        <f t="shared" si="23"/>
        <v>18000</v>
      </c>
      <c r="F673" s="82" t="s">
        <v>97</v>
      </c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</row>
    <row r="674">
      <c r="A674" s="150">
        <v>45812.0</v>
      </c>
      <c r="B674" s="69" t="s">
        <v>52</v>
      </c>
      <c r="C674" s="88"/>
      <c r="D674" s="82">
        <v>3000.0</v>
      </c>
      <c r="E674" s="88">
        <f t="shared" si="23"/>
        <v>21000</v>
      </c>
      <c r="F674" s="82" t="s">
        <v>97</v>
      </c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</row>
    <row r="675">
      <c r="A675" s="150">
        <v>45812.0</v>
      </c>
      <c r="B675" s="69" t="s">
        <v>380</v>
      </c>
      <c r="C675" s="88"/>
      <c r="D675" s="82">
        <v>3000.0</v>
      </c>
      <c r="E675" s="88">
        <f t="shared" si="23"/>
        <v>24000</v>
      </c>
      <c r="F675" s="88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</row>
    <row r="676">
      <c r="A676" s="150">
        <v>45812.0</v>
      </c>
      <c r="B676" s="63" t="s">
        <v>570</v>
      </c>
      <c r="C676" s="88"/>
      <c r="D676" s="82">
        <v>3000.0</v>
      </c>
      <c r="E676" s="88">
        <f t="shared" si="23"/>
        <v>27000</v>
      </c>
      <c r="F676" s="88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</row>
    <row r="677">
      <c r="A677" s="150">
        <v>45812.0</v>
      </c>
      <c r="B677" s="69" t="s">
        <v>190</v>
      </c>
      <c r="C677" s="88"/>
      <c r="D677" s="82">
        <v>3000.0</v>
      </c>
      <c r="E677" s="88">
        <f t="shared" si="23"/>
        <v>30000</v>
      </c>
      <c r="F677" s="82" t="s">
        <v>571</v>
      </c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</row>
    <row r="678">
      <c r="A678" s="150">
        <v>45812.0</v>
      </c>
      <c r="B678" s="63" t="s">
        <v>526</v>
      </c>
      <c r="C678" s="88"/>
      <c r="D678" s="82">
        <v>3000.0</v>
      </c>
      <c r="E678" s="88">
        <f t="shared" si="23"/>
        <v>33000</v>
      </c>
      <c r="F678" s="88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</row>
    <row r="679">
      <c r="A679" s="150">
        <v>45812.0</v>
      </c>
      <c r="B679" s="63" t="s">
        <v>497</v>
      </c>
      <c r="C679" s="88"/>
      <c r="D679" s="82">
        <v>3000.0</v>
      </c>
      <c r="E679" s="88">
        <f t="shared" si="23"/>
        <v>36000</v>
      </c>
      <c r="F679" s="82" t="s">
        <v>97</v>
      </c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</row>
    <row r="680">
      <c r="A680" s="150">
        <v>45817.0</v>
      </c>
      <c r="B680" s="69" t="s">
        <v>425</v>
      </c>
      <c r="C680" s="88"/>
      <c r="D680" s="82">
        <v>6000.0</v>
      </c>
      <c r="E680" s="88">
        <f t="shared" si="23"/>
        <v>42000</v>
      </c>
      <c r="F680" s="82" t="s">
        <v>572</v>
      </c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</row>
    <row r="681">
      <c r="A681" s="150">
        <v>45825.0</v>
      </c>
      <c r="B681" s="63" t="s">
        <v>573</v>
      </c>
      <c r="C681" s="88"/>
      <c r="D681" s="82">
        <v>9000.0</v>
      </c>
      <c r="E681" s="88">
        <f t="shared" si="23"/>
        <v>51000</v>
      </c>
      <c r="F681" s="82" t="s">
        <v>574</v>
      </c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</row>
    <row r="682">
      <c r="A682" s="150">
        <v>45825.0</v>
      </c>
      <c r="B682" s="82" t="s">
        <v>575</v>
      </c>
      <c r="C682" s="88"/>
      <c r="D682" s="82">
        <v>6000.0</v>
      </c>
      <c r="E682" s="88">
        <f t="shared" si="23"/>
        <v>57000</v>
      </c>
      <c r="F682" s="82" t="s">
        <v>576</v>
      </c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</row>
    <row r="683">
      <c r="A683" s="150">
        <v>45825.0</v>
      </c>
      <c r="B683" s="69" t="s">
        <v>190</v>
      </c>
      <c r="C683" s="88"/>
      <c r="D683" s="82">
        <v>3000.0</v>
      </c>
      <c r="E683" s="88">
        <f t="shared" si="23"/>
        <v>60000</v>
      </c>
      <c r="F683" s="82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</row>
    <row r="684">
      <c r="A684" s="141" t="s">
        <v>577</v>
      </c>
      <c r="B684" s="152" t="s">
        <v>51</v>
      </c>
      <c r="C684" s="88"/>
      <c r="D684" s="82">
        <v>3000.0</v>
      </c>
      <c r="E684" s="88">
        <f t="shared" si="23"/>
        <v>63000</v>
      </c>
      <c r="F684" s="88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</row>
    <row r="685">
      <c r="A685" s="141">
        <v>45826.0</v>
      </c>
      <c r="B685" s="70" t="s">
        <v>554</v>
      </c>
      <c r="C685" s="88"/>
      <c r="D685" s="82">
        <v>3000.0</v>
      </c>
      <c r="E685" s="88">
        <f t="shared" si="23"/>
        <v>66000</v>
      </c>
      <c r="F685" s="88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</row>
    <row r="686">
      <c r="A686" s="141">
        <v>45826.0</v>
      </c>
      <c r="B686" s="152" t="s">
        <v>53</v>
      </c>
      <c r="C686" s="88"/>
      <c r="D686" s="82">
        <v>3000.0</v>
      </c>
      <c r="E686" s="88">
        <f t="shared" si="23"/>
        <v>69000</v>
      </c>
      <c r="F686" s="88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</row>
    <row r="687">
      <c r="A687" s="141">
        <v>45826.0</v>
      </c>
      <c r="B687" s="152" t="s">
        <v>222</v>
      </c>
      <c r="C687" s="88"/>
      <c r="D687" s="82">
        <v>3000.0</v>
      </c>
      <c r="E687" s="111">
        <f t="shared" si="23"/>
        <v>72000</v>
      </c>
      <c r="F687" s="88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</row>
    <row r="688">
      <c r="A688" s="153">
        <v>45831.0</v>
      </c>
      <c r="B688" s="69" t="s">
        <v>48</v>
      </c>
      <c r="C688" s="88"/>
      <c r="D688" s="40">
        <v>3000.0</v>
      </c>
      <c r="E688" s="88">
        <f t="shared" si="23"/>
        <v>75000</v>
      </c>
      <c r="F688" s="82" t="s">
        <v>97</v>
      </c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</row>
    <row r="689">
      <c r="A689" s="141">
        <v>45832.0</v>
      </c>
      <c r="B689" s="69" t="s">
        <v>346</v>
      </c>
      <c r="C689" s="88"/>
      <c r="D689" s="82">
        <v>3000.0</v>
      </c>
      <c r="E689" s="88">
        <f t="shared" si="23"/>
        <v>78000</v>
      </c>
      <c r="F689" s="88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</row>
    <row r="690">
      <c r="A690" s="141">
        <v>45832.0</v>
      </c>
      <c r="B690" s="69" t="s">
        <v>41</v>
      </c>
      <c r="C690" s="88"/>
      <c r="D690" s="82">
        <v>3000.0</v>
      </c>
      <c r="E690" s="88">
        <f t="shared" si="23"/>
        <v>81000</v>
      </c>
      <c r="F690" s="88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</row>
    <row r="691">
      <c r="A691" s="141">
        <v>45832.0</v>
      </c>
      <c r="B691" s="69" t="s">
        <v>406</v>
      </c>
      <c r="C691" s="88"/>
      <c r="D691" s="82">
        <v>3000.0</v>
      </c>
      <c r="E691" s="88">
        <f t="shared" si="23"/>
        <v>84000</v>
      </c>
      <c r="F691" s="88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</row>
    <row r="692">
      <c r="A692" s="141">
        <v>45832.0</v>
      </c>
      <c r="B692" s="66" t="s">
        <v>113</v>
      </c>
      <c r="C692" s="88"/>
      <c r="D692" s="82">
        <v>3000.0</v>
      </c>
      <c r="E692" s="88">
        <f t="shared" si="23"/>
        <v>87000</v>
      </c>
      <c r="F692" s="88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</row>
    <row r="693">
      <c r="A693" s="141">
        <v>45832.0</v>
      </c>
      <c r="B693" s="69" t="s">
        <v>119</v>
      </c>
      <c r="C693" s="88"/>
      <c r="D693" s="82">
        <v>3000.0</v>
      </c>
      <c r="E693" s="88">
        <f t="shared" si="23"/>
        <v>90000</v>
      </c>
      <c r="F693" s="82" t="s">
        <v>97</v>
      </c>
      <c r="G693" s="40" t="s">
        <v>578</v>
      </c>
      <c r="H693" s="41"/>
      <c r="I693" s="40">
        <v>5000.0</v>
      </c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</row>
    <row r="694">
      <c r="A694" s="141">
        <v>45835.0</v>
      </c>
      <c r="B694" s="69" t="s">
        <v>361</v>
      </c>
      <c r="C694" s="88"/>
      <c r="D694" s="82">
        <v>9000.0</v>
      </c>
      <c r="E694" s="88">
        <f t="shared" si="23"/>
        <v>99000</v>
      </c>
      <c r="F694" s="82" t="s">
        <v>579</v>
      </c>
      <c r="G694" s="40" t="s">
        <v>580</v>
      </c>
      <c r="H694" s="41"/>
      <c r="I694" s="40">
        <v>10000.0</v>
      </c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</row>
    <row r="695">
      <c r="A695" s="141">
        <v>45835.0</v>
      </c>
      <c r="B695" s="69" t="s">
        <v>106</v>
      </c>
      <c r="C695" s="88"/>
      <c r="D695" s="82">
        <v>3000.0</v>
      </c>
      <c r="E695" s="88">
        <f t="shared" si="23"/>
        <v>102000</v>
      </c>
      <c r="F695" s="88"/>
      <c r="G695" s="40" t="s">
        <v>39</v>
      </c>
      <c r="H695" s="41"/>
      <c r="I695" s="40">
        <v>30000.0</v>
      </c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</row>
    <row r="696">
      <c r="A696" s="141">
        <v>45835.0</v>
      </c>
      <c r="B696" s="82" t="s">
        <v>581</v>
      </c>
      <c r="C696" s="82">
        <v>1500.0</v>
      </c>
      <c r="D696" s="82">
        <v>0.0</v>
      </c>
      <c r="E696" s="88">
        <f t="shared" si="23"/>
        <v>100500</v>
      </c>
      <c r="F696" s="88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</row>
    <row r="697">
      <c r="A697" s="141">
        <v>45835.0</v>
      </c>
      <c r="B697" s="82" t="s">
        <v>582</v>
      </c>
      <c r="C697" s="82">
        <v>500.0</v>
      </c>
      <c r="D697" s="82">
        <v>0.0</v>
      </c>
      <c r="E697" s="104">
        <f t="shared" si="23"/>
        <v>100000</v>
      </c>
      <c r="F697" s="88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</row>
    <row r="698">
      <c r="A698" s="141">
        <v>45836.0</v>
      </c>
      <c r="B698" s="152" t="s">
        <v>40</v>
      </c>
      <c r="C698" s="88"/>
      <c r="D698" s="82">
        <v>3000.0</v>
      </c>
      <c r="E698" s="154">
        <f t="shared" si="23"/>
        <v>103000</v>
      </c>
      <c r="F698" s="88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</row>
    <row r="699">
      <c r="A699" s="141"/>
      <c r="B699" s="139"/>
      <c r="C699" s="88"/>
      <c r="D699" s="82"/>
      <c r="E699" s="88"/>
      <c r="F699" s="82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</row>
    <row r="700">
      <c r="A700" s="141"/>
      <c r="B700" s="139"/>
      <c r="C700" s="88"/>
      <c r="D700" s="82"/>
      <c r="E700" s="88"/>
      <c r="F700" s="82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</row>
    <row r="701">
      <c r="A701" s="141">
        <v>45839.0</v>
      </c>
      <c r="B701" s="139" t="s">
        <v>54</v>
      </c>
      <c r="C701" s="88"/>
      <c r="D701" s="82">
        <v>3000.0</v>
      </c>
      <c r="E701" s="82">
        <v>3000.0</v>
      </c>
      <c r="F701" s="82" t="s">
        <v>97</v>
      </c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</row>
    <row r="702">
      <c r="A702" s="141">
        <v>45839.0</v>
      </c>
      <c r="B702" s="63" t="s">
        <v>55</v>
      </c>
      <c r="C702" s="88"/>
      <c r="D702" s="82">
        <v>3000.0</v>
      </c>
      <c r="E702" s="88">
        <f t="shared" ref="E702:E727" si="24">(E701+D702)-C702</f>
        <v>6000</v>
      </c>
      <c r="F702" s="82" t="s">
        <v>97</v>
      </c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</row>
    <row r="703">
      <c r="A703" s="141">
        <v>45839.0</v>
      </c>
      <c r="B703" s="155" t="s">
        <v>583</v>
      </c>
      <c r="C703" s="156"/>
      <c r="D703" s="151">
        <v>9500.0</v>
      </c>
      <c r="E703" s="88">
        <f t="shared" si="24"/>
        <v>15500</v>
      </c>
      <c r="F703" s="97" t="s">
        <v>584</v>
      </c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157"/>
      <c r="AK703" s="157"/>
      <c r="AL703" s="157"/>
      <c r="AM703" s="157"/>
      <c r="AN703" s="157"/>
      <c r="AO703" s="157"/>
      <c r="AP703" s="157"/>
      <c r="AQ703" s="157"/>
    </row>
    <row r="704">
      <c r="A704" s="141">
        <v>45842.0</v>
      </c>
      <c r="B704" s="69" t="s">
        <v>406</v>
      </c>
      <c r="C704" s="88"/>
      <c r="D704" s="82">
        <v>3000.0</v>
      </c>
      <c r="E704" s="88">
        <f t="shared" si="24"/>
        <v>18500</v>
      </c>
      <c r="F704" s="88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</row>
    <row r="705">
      <c r="A705" s="141">
        <v>45846.0</v>
      </c>
      <c r="B705" s="139" t="s">
        <v>126</v>
      </c>
      <c r="C705" s="88"/>
      <c r="D705" s="82">
        <v>3000.0</v>
      </c>
      <c r="E705" s="88">
        <f t="shared" si="24"/>
        <v>21500</v>
      </c>
      <c r="F705" s="88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</row>
    <row r="706">
      <c r="A706" s="141">
        <v>45848.0</v>
      </c>
      <c r="B706" s="139" t="s">
        <v>43</v>
      </c>
      <c r="C706" s="88"/>
      <c r="D706" s="82">
        <v>3000.0</v>
      </c>
      <c r="E706" s="88">
        <f t="shared" si="24"/>
        <v>24500</v>
      </c>
      <c r="F706" s="88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</row>
    <row r="707">
      <c r="A707" s="141">
        <v>45848.0</v>
      </c>
      <c r="B707" s="139" t="s">
        <v>190</v>
      </c>
      <c r="C707" s="88"/>
      <c r="D707" s="82">
        <v>3000.0</v>
      </c>
      <c r="E707" s="88">
        <f t="shared" si="24"/>
        <v>27500</v>
      </c>
      <c r="F707" s="88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</row>
    <row r="708">
      <c r="A708" s="141">
        <v>45848.0</v>
      </c>
      <c r="B708" s="69" t="s">
        <v>380</v>
      </c>
      <c r="C708" s="88"/>
      <c r="D708" s="82">
        <v>3000.0</v>
      </c>
      <c r="E708" s="88">
        <f t="shared" si="24"/>
        <v>30500</v>
      </c>
      <c r="F708" s="88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</row>
    <row r="709">
      <c r="A709" s="141">
        <v>45848.0</v>
      </c>
      <c r="B709" s="70" t="s">
        <v>554</v>
      </c>
      <c r="C709" s="88"/>
      <c r="D709" s="82">
        <v>3000.0</v>
      </c>
      <c r="E709" s="88">
        <f t="shared" si="24"/>
        <v>33500</v>
      </c>
      <c r="F709" s="82" t="s">
        <v>97</v>
      </c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</row>
    <row r="710">
      <c r="A710" s="141">
        <v>45848.0</v>
      </c>
      <c r="B710" s="69" t="s">
        <v>411</v>
      </c>
      <c r="C710" s="88"/>
      <c r="D710" s="82">
        <v>3000.0</v>
      </c>
      <c r="E710" s="88">
        <f t="shared" si="24"/>
        <v>36500</v>
      </c>
      <c r="F710" s="88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</row>
    <row r="711">
      <c r="A711" s="141">
        <v>45848.0</v>
      </c>
      <c r="B711" s="63" t="s">
        <v>57</v>
      </c>
      <c r="C711" s="88"/>
      <c r="D711" s="82">
        <v>3000.0</v>
      </c>
      <c r="E711" s="88">
        <f t="shared" si="24"/>
        <v>39500</v>
      </c>
      <c r="F711" s="88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</row>
    <row r="712">
      <c r="A712" s="141">
        <v>45850.0</v>
      </c>
      <c r="B712" s="69" t="s">
        <v>40</v>
      </c>
      <c r="C712" s="88"/>
      <c r="D712" s="82">
        <v>3000.0</v>
      </c>
      <c r="E712" s="88">
        <f t="shared" si="24"/>
        <v>42500</v>
      </c>
      <c r="F712" s="88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</row>
    <row r="713">
      <c r="A713" s="141">
        <v>45850.0</v>
      </c>
      <c r="B713" s="69" t="s">
        <v>46</v>
      </c>
      <c r="C713" s="88"/>
      <c r="D713" s="158">
        <v>6000.0</v>
      </c>
      <c r="E713" s="88">
        <f t="shared" si="24"/>
        <v>48500</v>
      </c>
      <c r="F713" s="82" t="s">
        <v>585</v>
      </c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</row>
    <row r="714">
      <c r="A714" s="141">
        <v>45850.0</v>
      </c>
      <c r="B714" s="159" t="s">
        <v>586</v>
      </c>
      <c r="C714" s="88"/>
      <c r="D714" s="158">
        <v>9500.0</v>
      </c>
      <c r="E714" s="88">
        <f t="shared" si="24"/>
        <v>58000</v>
      </c>
      <c r="F714" s="97" t="s">
        <v>584</v>
      </c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</row>
    <row r="715">
      <c r="A715" s="141">
        <v>45853.0</v>
      </c>
      <c r="B715" s="82" t="s">
        <v>575</v>
      </c>
      <c r="C715" s="88"/>
      <c r="D715" s="82">
        <v>3000.0</v>
      </c>
      <c r="E715" s="88">
        <f t="shared" si="24"/>
        <v>61000</v>
      </c>
      <c r="F715" s="88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</row>
    <row r="716">
      <c r="A716" s="141">
        <v>45853.0</v>
      </c>
      <c r="B716" s="69" t="s">
        <v>425</v>
      </c>
      <c r="C716" s="88"/>
      <c r="D716" s="82">
        <v>3000.0</v>
      </c>
      <c r="E716" s="88">
        <f t="shared" si="24"/>
        <v>64000</v>
      </c>
      <c r="F716" s="82" t="s">
        <v>97</v>
      </c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</row>
    <row r="717">
      <c r="A717" s="141">
        <v>45853.0</v>
      </c>
      <c r="B717" s="63" t="s">
        <v>570</v>
      </c>
      <c r="C717" s="88"/>
      <c r="D717" s="82">
        <v>3000.0</v>
      </c>
      <c r="E717" s="88">
        <f t="shared" si="24"/>
        <v>67000</v>
      </c>
      <c r="F717" s="82" t="s">
        <v>97</v>
      </c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</row>
    <row r="718">
      <c r="A718" s="141">
        <v>45857.0</v>
      </c>
      <c r="B718" s="69" t="s">
        <v>106</v>
      </c>
      <c r="C718" s="88"/>
      <c r="D718" s="82">
        <v>3000.0</v>
      </c>
      <c r="E718" s="88">
        <f t="shared" si="24"/>
        <v>70000</v>
      </c>
      <c r="F718" s="88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</row>
    <row r="719">
      <c r="A719" s="141">
        <v>45860.0</v>
      </c>
      <c r="B719" s="69" t="s">
        <v>48</v>
      </c>
      <c r="C719" s="88"/>
      <c r="D719" s="82">
        <v>3000.0</v>
      </c>
      <c r="E719" s="88">
        <f t="shared" si="24"/>
        <v>73000</v>
      </c>
      <c r="F719" s="82" t="s">
        <v>97</v>
      </c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</row>
    <row r="720">
      <c r="A720" s="82" t="s">
        <v>587</v>
      </c>
      <c r="B720" s="69" t="s">
        <v>50</v>
      </c>
      <c r="C720" s="88"/>
      <c r="D720" s="82">
        <v>6000.0</v>
      </c>
      <c r="E720" s="88">
        <f t="shared" si="24"/>
        <v>79000</v>
      </c>
      <c r="F720" s="82" t="s">
        <v>588</v>
      </c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</row>
    <row r="721">
      <c r="A721" s="141">
        <v>45860.0</v>
      </c>
      <c r="B721" s="69" t="s">
        <v>424</v>
      </c>
      <c r="C721" s="88"/>
      <c r="D721" s="82">
        <v>3000.0</v>
      </c>
      <c r="E721" s="88">
        <f t="shared" si="24"/>
        <v>82000</v>
      </c>
      <c r="F721" s="82" t="s">
        <v>97</v>
      </c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</row>
    <row r="722">
      <c r="A722" s="141">
        <v>45860.0</v>
      </c>
      <c r="B722" s="69" t="s">
        <v>52</v>
      </c>
      <c r="C722" s="88"/>
      <c r="D722" s="82">
        <v>3000.0</v>
      </c>
      <c r="E722" s="88">
        <f t="shared" si="24"/>
        <v>85000</v>
      </c>
      <c r="F722" s="88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</row>
    <row r="723">
      <c r="A723" s="141">
        <v>45860.0</v>
      </c>
      <c r="B723" s="69" t="s">
        <v>346</v>
      </c>
      <c r="C723" s="88"/>
      <c r="D723" s="82">
        <v>3000.0</v>
      </c>
      <c r="E723" s="88">
        <f t="shared" si="24"/>
        <v>88000</v>
      </c>
      <c r="F723" s="88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</row>
    <row r="724">
      <c r="A724" s="141">
        <v>45860.0</v>
      </c>
      <c r="B724" s="82" t="s">
        <v>589</v>
      </c>
      <c r="C724" s="40">
        <v>1600.0</v>
      </c>
      <c r="D724" s="88"/>
      <c r="E724" s="88">
        <f t="shared" si="24"/>
        <v>86400</v>
      </c>
      <c r="F724" s="88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</row>
    <row r="725">
      <c r="A725" s="141">
        <v>45863.0</v>
      </c>
      <c r="B725" s="69" t="s">
        <v>51</v>
      </c>
      <c r="C725" s="88"/>
      <c r="D725" s="82">
        <v>3000.0</v>
      </c>
      <c r="E725" s="88">
        <f t="shared" si="24"/>
        <v>89400</v>
      </c>
      <c r="F725" s="88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</row>
    <row r="726">
      <c r="A726" s="141">
        <v>45863.0</v>
      </c>
      <c r="B726" s="69" t="s">
        <v>53</v>
      </c>
      <c r="C726" s="88"/>
      <c r="D726" s="82">
        <v>3000.0</v>
      </c>
      <c r="E726" s="88">
        <f t="shared" si="24"/>
        <v>92400</v>
      </c>
      <c r="F726" s="88"/>
      <c r="G726" s="41"/>
      <c r="H726" s="41">
        <f>98400-H721-H720</f>
        <v>98400</v>
      </c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</row>
    <row r="727">
      <c r="A727" s="141">
        <v>45865.0</v>
      </c>
      <c r="B727" s="69" t="s">
        <v>41</v>
      </c>
      <c r="C727" s="88"/>
      <c r="D727" s="82">
        <v>3000.0</v>
      </c>
      <c r="E727" s="88">
        <f t="shared" si="24"/>
        <v>95400</v>
      </c>
      <c r="F727" s="88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</row>
    <row r="728">
      <c r="A728" s="141">
        <v>45867.0</v>
      </c>
      <c r="B728" s="69" t="s">
        <v>222</v>
      </c>
      <c r="C728" s="88"/>
      <c r="D728" s="82">
        <v>3000.0</v>
      </c>
      <c r="E728" s="122">
        <f>E727+D728</f>
        <v>98400</v>
      </c>
      <c r="F728" s="82" t="s">
        <v>97</v>
      </c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</row>
    <row r="731">
      <c r="A731" s="141">
        <v>45870.0</v>
      </c>
      <c r="B731" s="139" t="s">
        <v>54</v>
      </c>
      <c r="C731" s="88"/>
      <c r="D731" s="82">
        <v>3000.0</v>
      </c>
      <c r="E731" s="82">
        <v>3000.0</v>
      </c>
      <c r="F731" s="82" t="s">
        <v>97</v>
      </c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</row>
    <row r="732">
      <c r="A732" s="141">
        <v>45870.0</v>
      </c>
      <c r="B732" s="63" t="s">
        <v>55</v>
      </c>
      <c r="C732" s="88"/>
      <c r="D732" s="82">
        <v>3000.0</v>
      </c>
      <c r="E732" s="88">
        <f t="shared" ref="E732:E753" si="25">(E731+D732)-C732</f>
        <v>6000</v>
      </c>
      <c r="F732" s="82" t="s">
        <v>97</v>
      </c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</row>
    <row r="733">
      <c r="A733" s="141">
        <v>45871.0</v>
      </c>
      <c r="B733" s="139" t="s">
        <v>43</v>
      </c>
      <c r="C733" s="88"/>
      <c r="D733" s="82">
        <v>3000.0</v>
      </c>
      <c r="E733" s="88">
        <f t="shared" si="25"/>
        <v>9000</v>
      </c>
      <c r="F733" s="88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</row>
    <row r="734">
      <c r="A734" s="141">
        <v>45874.0</v>
      </c>
      <c r="B734" s="70" t="s">
        <v>554</v>
      </c>
      <c r="C734" s="88"/>
      <c r="D734" s="82">
        <v>3000.0</v>
      </c>
      <c r="E734" s="88">
        <f t="shared" si="25"/>
        <v>12000</v>
      </c>
      <c r="F734" s="88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</row>
    <row r="735">
      <c r="A735" s="141">
        <v>45874.0</v>
      </c>
      <c r="B735" s="160" t="s">
        <v>411</v>
      </c>
      <c r="C735" s="88"/>
      <c r="D735" s="82">
        <v>3000.0</v>
      </c>
      <c r="E735" s="88">
        <f t="shared" si="25"/>
        <v>15000</v>
      </c>
      <c r="F735" s="88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</row>
    <row r="736">
      <c r="A736" s="141">
        <v>45877.0</v>
      </c>
      <c r="B736" s="69" t="s">
        <v>46</v>
      </c>
      <c r="C736" s="88"/>
      <c r="D736" s="82">
        <v>3000.0</v>
      </c>
      <c r="E736" s="88">
        <f t="shared" si="25"/>
        <v>18000</v>
      </c>
      <c r="F736" s="88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</row>
    <row r="737">
      <c r="A737" s="141">
        <v>45877.0</v>
      </c>
      <c r="B737" s="69" t="s">
        <v>41</v>
      </c>
      <c r="C737" s="88"/>
      <c r="D737" s="82">
        <v>3000.0</v>
      </c>
      <c r="E737" s="88">
        <f t="shared" si="25"/>
        <v>21000</v>
      </c>
      <c r="F737" s="88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</row>
    <row r="738">
      <c r="A738" s="141">
        <v>45878.0</v>
      </c>
      <c r="B738" s="69" t="s">
        <v>53</v>
      </c>
      <c r="C738" s="88"/>
      <c r="D738" s="70">
        <v>3000.0</v>
      </c>
      <c r="E738" s="88">
        <f t="shared" si="25"/>
        <v>24000</v>
      </c>
      <c r="F738" s="82" t="s">
        <v>590</v>
      </c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</row>
    <row r="739" ht="17.25" customHeight="1">
      <c r="A739" s="141">
        <v>45883.0</v>
      </c>
      <c r="B739" s="69" t="s">
        <v>346</v>
      </c>
      <c r="C739" s="88"/>
      <c r="D739" s="82">
        <v>3000.0</v>
      </c>
      <c r="E739" s="88">
        <f t="shared" si="25"/>
        <v>27000</v>
      </c>
      <c r="F739" s="88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</row>
    <row r="740">
      <c r="A740" s="141">
        <v>45884.0</v>
      </c>
      <c r="B740" s="63" t="s">
        <v>57</v>
      </c>
      <c r="C740" s="88"/>
      <c r="D740" s="82">
        <v>3000.0</v>
      </c>
      <c r="E740" s="88">
        <f t="shared" si="25"/>
        <v>30000</v>
      </c>
      <c r="F740" s="82" t="s">
        <v>97</v>
      </c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</row>
    <row r="741">
      <c r="A741" s="161">
        <v>45877.0</v>
      </c>
      <c r="B741" s="67" t="s">
        <v>406</v>
      </c>
      <c r="C741" s="162"/>
      <c r="D741" s="82">
        <v>3000.0</v>
      </c>
      <c r="E741" s="88">
        <f t="shared" si="25"/>
        <v>33000</v>
      </c>
      <c r="F741" s="88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</row>
    <row r="742">
      <c r="A742" s="161">
        <v>45877.0</v>
      </c>
      <c r="B742" s="99" t="s">
        <v>570</v>
      </c>
      <c r="C742" s="163"/>
      <c r="D742" s="82">
        <v>3000.0</v>
      </c>
      <c r="E742" s="88">
        <f t="shared" si="25"/>
        <v>36000</v>
      </c>
      <c r="F742" s="88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</row>
    <row r="743">
      <c r="A743" s="164">
        <v>45885.0</v>
      </c>
      <c r="B743" s="139" t="s">
        <v>190</v>
      </c>
      <c r="C743" s="165"/>
      <c r="D743" s="82">
        <v>3000.0</v>
      </c>
      <c r="E743" s="88">
        <f t="shared" si="25"/>
        <v>39000</v>
      </c>
      <c r="F743" s="88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</row>
    <row r="744">
      <c r="A744" s="166">
        <v>45888.0</v>
      </c>
      <c r="B744" s="69" t="s">
        <v>48</v>
      </c>
      <c r="C744" s="88"/>
      <c r="D744" s="82">
        <v>3000.0</v>
      </c>
      <c r="E744" s="88">
        <f t="shared" si="25"/>
        <v>42000</v>
      </c>
      <c r="F744" s="82" t="s">
        <v>97</v>
      </c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</row>
    <row r="745">
      <c r="A745" s="166">
        <v>45888.0</v>
      </c>
      <c r="B745" s="69" t="s">
        <v>52</v>
      </c>
      <c r="C745" s="88"/>
      <c r="D745" s="82">
        <v>3000.0</v>
      </c>
      <c r="E745" s="88">
        <f t="shared" si="25"/>
        <v>45000</v>
      </c>
      <c r="F745" s="88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</row>
    <row r="746">
      <c r="A746" s="166">
        <v>45888.0</v>
      </c>
      <c r="B746" s="69" t="s">
        <v>222</v>
      </c>
      <c r="C746" s="88"/>
      <c r="D746" s="82">
        <v>3000.0</v>
      </c>
      <c r="E746" s="88">
        <f t="shared" si="25"/>
        <v>48000</v>
      </c>
      <c r="F746" s="88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</row>
    <row r="747">
      <c r="A747" s="166">
        <v>45888.0</v>
      </c>
      <c r="B747" s="69" t="s">
        <v>52</v>
      </c>
      <c r="C747" s="88"/>
      <c r="D747" s="82">
        <v>3000.0</v>
      </c>
      <c r="E747" s="88">
        <f t="shared" si="25"/>
        <v>51000</v>
      </c>
      <c r="F747" s="88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</row>
    <row r="748">
      <c r="A748" s="166">
        <v>45888.0</v>
      </c>
      <c r="B748" s="69" t="s">
        <v>361</v>
      </c>
      <c r="C748" s="88"/>
      <c r="D748" s="82">
        <v>3000.0</v>
      </c>
      <c r="E748" s="88">
        <f t="shared" si="25"/>
        <v>54000</v>
      </c>
      <c r="F748" s="82" t="s">
        <v>97</v>
      </c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</row>
    <row r="749">
      <c r="A749" s="141">
        <v>45891.0</v>
      </c>
      <c r="B749" s="69" t="s">
        <v>50</v>
      </c>
      <c r="C749" s="88"/>
      <c r="D749" s="82">
        <v>3000.0</v>
      </c>
      <c r="E749" s="88">
        <f t="shared" si="25"/>
        <v>57000</v>
      </c>
      <c r="F749" s="82" t="s">
        <v>97</v>
      </c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</row>
    <row r="750">
      <c r="A750" s="141">
        <v>45891.0</v>
      </c>
      <c r="B750" s="82" t="s">
        <v>575</v>
      </c>
      <c r="C750" s="88"/>
      <c r="D750" s="82">
        <v>3000.0</v>
      </c>
      <c r="E750" s="88">
        <f t="shared" si="25"/>
        <v>60000</v>
      </c>
      <c r="F750" s="82" t="s">
        <v>591</v>
      </c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</row>
    <row r="751">
      <c r="A751" s="141">
        <v>45896.0</v>
      </c>
      <c r="B751" s="69" t="s">
        <v>40</v>
      </c>
      <c r="C751" s="88"/>
      <c r="D751" s="82">
        <v>3000.0</v>
      </c>
      <c r="E751" s="88">
        <f t="shared" si="25"/>
        <v>63000</v>
      </c>
      <c r="F751" s="88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</row>
    <row r="752">
      <c r="A752" s="141">
        <v>45891.0</v>
      </c>
      <c r="B752" s="165" t="s">
        <v>592</v>
      </c>
      <c r="C752" s="162">
        <v>500.0</v>
      </c>
      <c r="D752" s="82">
        <v>0.0</v>
      </c>
      <c r="E752" s="88">
        <f t="shared" si="25"/>
        <v>62500</v>
      </c>
      <c r="F752" s="88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</row>
    <row r="753">
      <c r="A753" s="141">
        <v>45891.0</v>
      </c>
      <c r="B753" s="165" t="s">
        <v>589</v>
      </c>
      <c r="C753" s="167">
        <v>1600.0</v>
      </c>
      <c r="D753" s="82">
        <v>0.0</v>
      </c>
      <c r="E753" s="122">
        <f t="shared" si="25"/>
        <v>60900</v>
      </c>
      <c r="F753" s="88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</row>
    <row r="756">
      <c r="A756" s="141">
        <v>45901.0</v>
      </c>
      <c r="B756" s="139" t="s">
        <v>54</v>
      </c>
      <c r="C756" s="88"/>
      <c r="D756" s="82">
        <v>3000.0</v>
      </c>
      <c r="E756" s="82">
        <v>3000.0</v>
      </c>
      <c r="F756" s="82" t="s">
        <v>97</v>
      </c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</row>
    <row r="757">
      <c r="A757" s="141">
        <v>45901.0</v>
      </c>
      <c r="B757" s="63" t="s">
        <v>55</v>
      </c>
      <c r="C757" s="88"/>
      <c r="D757" s="82">
        <v>3000.0</v>
      </c>
      <c r="E757" s="88">
        <f t="shared" ref="E757:E789" si="26">(E756+D757)-C757</f>
        <v>6000</v>
      </c>
      <c r="F757" s="82" t="s">
        <v>97</v>
      </c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</row>
    <row r="758">
      <c r="A758" s="141">
        <v>45902.0</v>
      </c>
      <c r="B758" s="63" t="s">
        <v>593</v>
      </c>
      <c r="C758" s="88"/>
      <c r="D758" s="82">
        <v>6000.0</v>
      </c>
      <c r="E758" s="88">
        <f t="shared" si="26"/>
        <v>12000</v>
      </c>
      <c r="F758" s="82" t="s">
        <v>594</v>
      </c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</row>
    <row r="759">
      <c r="A759" s="141">
        <v>45903.0</v>
      </c>
      <c r="B759" s="69" t="s">
        <v>50</v>
      </c>
      <c r="C759" s="88"/>
      <c r="D759" s="82">
        <v>3000.0</v>
      </c>
      <c r="E759" s="88">
        <f t="shared" si="26"/>
        <v>15000</v>
      </c>
      <c r="F759" s="82" t="s">
        <v>97</v>
      </c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</row>
    <row r="760">
      <c r="A760" s="143">
        <v>45905.0</v>
      </c>
      <c r="B760" s="69" t="s">
        <v>41</v>
      </c>
      <c r="C760" s="88"/>
      <c r="D760" s="82">
        <v>3000.0</v>
      </c>
      <c r="E760" s="88">
        <f t="shared" si="26"/>
        <v>18000</v>
      </c>
      <c r="F760" s="88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</row>
    <row r="761">
      <c r="A761" s="143">
        <v>45905.0</v>
      </c>
      <c r="B761" s="155" t="s">
        <v>583</v>
      </c>
      <c r="C761" s="88"/>
      <c r="D761" s="82">
        <v>3000.0</v>
      </c>
      <c r="E761" s="88">
        <f t="shared" si="26"/>
        <v>21000</v>
      </c>
      <c r="F761" s="88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</row>
    <row r="762">
      <c r="A762" s="143">
        <v>45905.0</v>
      </c>
      <c r="B762" s="69" t="s">
        <v>126</v>
      </c>
      <c r="C762" s="88"/>
      <c r="D762" s="82">
        <v>3000.0</v>
      </c>
      <c r="E762" s="88">
        <f t="shared" si="26"/>
        <v>24000</v>
      </c>
      <c r="F762" s="82" t="s">
        <v>595</v>
      </c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</row>
    <row r="763">
      <c r="A763" s="141">
        <v>45906.0</v>
      </c>
      <c r="B763" s="69" t="s">
        <v>424</v>
      </c>
      <c r="C763" s="88"/>
      <c r="D763" s="82">
        <v>6000.0</v>
      </c>
      <c r="E763" s="88">
        <f t="shared" si="26"/>
        <v>30000</v>
      </c>
      <c r="F763" s="82" t="s">
        <v>596</v>
      </c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</row>
    <row r="764">
      <c r="A764" s="141">
        <v>45906.0</v>
      </c>
      <c r="B764" s="70" t="s">
        <v>554</v>
      </c>
      <c r="C764" s="88"/>
      <c r="D764" s="82">
        <v>3000.0</v>
      </c>
      <c r="E764" s="88">
        <f t="shared" si="26"/>
        <v>33000</v>
      </c>
      <c r="F764" s="82" t="s">
        <v>97</v>
      </c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</row>
    <row r="765">
      <c r="A765" s="143">
        <v>45907.0</v>
      </c>
      <c r="B765" s="69" t="s">
        <v>53</v>
      </c>
      <c r="C765" s="88"/>
      <c r="D765" s="82">
        <v>3000.0</v>
      </c>
      <c r="E765" s="88">
        <f t="shared" si="26"/>
        <v>36000</v>
      </c>
      <c r="F765" s="82" t="s">
        <v>97</v>
      </c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</row>
    <row r="766">
      <c r="A766" s="143">
        <v>45909.0</v>
      </c>
      <c r="B766" s="63" t="s">
        <v>57</v>
      </c>
      <c r="C766" s="88"/>
      <c r="D766" s="82">
        <v>3000.0</v>
      </c>
      <c r="E766" s="88">
        <f t="shared" si="26"/>
        <v>39000</v>
      </c>
      <c r="F766" s="88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</row>
    <row r="767">
      <c r="A767" s="143">
        <v>45909.0</v>
      </c>
      <c r="B767" s="69" t="s">
        <v>406</v>
      </c>
      <c r="C767" s="88"/>
      <c r="D767" s="82">
        <v>3000.0</v>
      </c>
      <c r="E767" s="88">
        <f t="shared" si="26"/>
        <v>42000</v>
      </c>
      <c r="F767" s="88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</row>
    <row r="768">
      <c r="A768" s="143">
        <v>45909.0</v>
      </c>
      <c r="B768" s="139" t="s">
        <v>190</v>
      </c>
      <c r="C768" s="88"/>
      <c r="D768" s="82">
        <v>3000.0</v>
      </c>
      <c r="E768" s="88">
        <f t="shared" si="26"/>
        <v>45000</v>
      </c>
      <c r="F768" s="88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</row>
    <row r="769">
      <c r="A769" s="143">
        <v>45909.0</v>
      </c>
      <c r="B769" s="139" t="s">
        <v>43</v>
      </c>
      <c r="C769" s="88"/>
      <c r="D769" s="82">
        <v>3000.0</v>
      </c>
      <c r="E769" s="88">
        <f t="shared" si="26"/>
        <v>48000</v>
      </c>
      <c r="F769" s="88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</row>
    <row r="770">
      <c r="A770" s="143">
        <v>45909.0</v>
      </c>
      <c r="B770" s="70" t="s">
        <v>597</v>
      </c>
      <c r="C770" s="88"/>
      <c r="D770" s="82">
        <v>9500.0</v>
      </c>
      <c r="E770" s="88">
        <f t="shared" si="26"/>
        <v>57500</v>
      </c>
      <c r="F770" s="82" t="s">
        <v>598</v>
      </c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</row>
    <row r="771">
      <c r="A771" s="143">
        <v>45911.0</v>
      </c>
      <c r="B771" s="69" t="s">
        <v>40</v>
      </c>
      <c r="C771" s="88"/>
      <c r="D771" s="82">
        <v>3000.0</v>
      </c>
      <c r="E771" s="88">
        <f t="shared" si="26"/>
        <v>60500</v>
      </c>
      <c r="F771" s="88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</row>
    <row r="772">
      <c r="A772" s="141">
        <v>45912.0</v>
      </c>
      <c r="B772" s="63" t="s">
        <v>573</v>
      </c>
      <c r="C772" s="88"/>
      <c r="D772" s="82">
        <v>6000.0</v>
      </c>
      <c r="E772" s="88">
        <f t="shared" si="26"/>
        <v>66500</v>
      </c>
      <c r="F772" s="82" t="s">
        <v>599</v>
      </c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</row>
    <row r="773">
      <c r="A773" s="141">
        <v>45913.0</v>
      </c>
      <c r="B773" s="82" t="s">
        <v>575</v>
      </c>
      <c r="C773" s="88"/>
      <c r="D773" s="82">
        <v>3000.0</v>
      </c>
      <c r="E773" s="88">
        <f t="shared" si="26"/>
        <v>69500</v>
      </c>
      <c r="F773" s="88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</row>
    <row r="774">
      <c r="A774" s="141">
        <v>45913.0</v>
      </c>
      <c r="B774" s="63" t="s">
        <v>570</v>
      </c>
      <c r="C774" s="88"/>
      <c r="D774" s="82">
        <v>3000.0</v>
      </c>
      <c r="E774" s="88">
        <f t="shared" si="26"/>
        <v>72500</v>
      </c>
      <c r="F774" s="82" t="s">
        <v>97</v>
      </c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</row>
    <row r="775">
      <c r="A775" s="141">
        <v>45916.0</v>
      </c>
      <c r="B775" s="63" t="s">
        <v>58</v>
      </c>
      <c r="C775" s="88"/>
      <c r="D775" s="82">
        <v>9500.0</v>
      </c>
      <c r="E775" s="104">
        <f t="shared" si="26"/>
        <v>82000</v>
      </c>
      <c r="F775" s="82" t="s">
        <v>598</v>
      </c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</row>
    <row r="776">
      <c r="A776" s="141">
        <v>45916.0</v>
      </c>
      <c r="B776" s="165" t="s">
        <v>589</v>
      </c>
      <c r="C776" s="82">
        <v>1600.0</v>
      </c>
      <c r="D776" s="82">
        <v>0.0</v>
      </c>
      <c r="E776" s="104">
        <f t="shared" si="26"/>
        <v>80400</v>
      </c>
      <c r="F776" s="82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</row>
    <row r="777">
      <c r="A777" s="141"/>
      <c r="B777" s="159"/>
      <c r="C777" s="162"/>
      <c r="D777" s="82">
        <v>0.0</v>
      </c>
      <c r="E777" s="104">
        <f t="shared" si="26"/>
        <v>80400</v>
      </c>
      <c r="F777" s="82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</row>
    <row r="778">
      <c r="A778" s="141"/>
      <c r="B778" s="159"/>
      <c r="C778" s="159"/>
      <c r="D778" s="82">
        <v>0.0</v>
      </c>
      <c r="E778" s="104">
        <f t="shared" si="26"/>
        <v>80400</v>
      </c>
      <c r="F778" s="82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</row>
    <row r="779">
      <c r="A779" s="141">
        <v>45916.0</v>
      </c>
      <c r="B779" s="159" t="s">
        <v>600</v>
      </c>
      <c r="C779" s="167">
        <v>12000.0</v>
      </c>
      <c r="D779" s="82">
        <v>0.0</v>
      </c>
      <c r="E779" s="104">
        <f t="shared" si="26"/>
        <v>68400</v>
      </c>
      <c r="F779" s="82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</row>
    <row r="780">
      <c r="A780" s="143">
        <v>45919.0</v>
      </c>
      <c r="B780" s="168" t="s">
        <v>411</v>
      </c>
      <c r="C780" s="88"/>
      <c r="D780" s="82">
        <v>3000.0</v>
      </c>
      <c r="E780" s="104">
        <f t="shared" si="26"/>
        <v>71400</v>
      </c>
      <c r="F780" s="82" t="s">
        <v>97</v>
      </c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</row>
    <row r="781">
      <c r="A781" s="143">
        <v>45919.0</v>
      </c>
      <c r="B781" s="82" t="s">
        <v>601</v>
      </c>
      <c r="C781" s="88"/>
      <c r="D781" s="82">
        <v>9500.0</v>
      </c>
      <c r="E781" s="104">
        <f t="shared" si="26"/>
        <v>80900</v>
      </c>
      <c r="F781" s="82" t="s">
        <v>598</v>
      </c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</row>
    <row r="782">
      <c r="A782" s="143">
        <v>45919.0</v>
      </c>
      <c r="B782" s="69" t="s">
        <v>126</v>
      </c>
      <c r="C782" s="88"/>
      <c r="D782" s="82">
        <v>3000.0</v>
      </c>
      <c r="E782" s="104">
        <f t="shared" si="26"/>
        <v>83900</v>
      </c>
      <c r="F782" s="88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</row>
    <row r="783">
      <c r="A783" s="143">
        <v>45920.0</v>
      </c>
      <c r="B783" s="69" t="s">
        <v>361</v>
      </c>
      <c r="C783" s="88"/>
      <c r="D783" s="82">
        <v>3000.0</v>
      </c>
      <c r="E783" s="104">
        <f t="shared" si="26"/>
        <v>86900</v>
      </c>
      <c r="F783" s="82" t="s">
        <v>97</v>
      </c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</row>
    <row r="784">
      <c r="A784" s="143">
        <v>45920.0</v>
      </c>
      <c r="B784" s="82" t="s">
        <v>59</v>
      </c>
      <c r="C784" s="88"/>
      <c r="D784" s="82">
        <v>9500.0</v>
      </c>
      <c r="E784" s="104">
        <f t="shared" si="26"/>
        <v>96400</v>
      </c>
      <c r="F784" s="82" t="s">
        <v>602</v>
      </c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</row>
    <row r="785">
      <c r="A785" s="141">
        <v>45923.0</v>
      </c>
      <c r="B785" s="159" t="s">
        <v>586</v>
      </c>
      <c r="C785" s="88"/>
      <c r="D785" s="82">
        <v>3000.0</v>
      </c>
      <c r="E785" s="104">
        <f t="shared" si="26"/>
        <v>99400</v>
      </c>
      <c r="F785" s="88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</row>
    <row r="786">
      <c r="A786" s="141">
        <v>45923.0</v>
      </c>
      <c r="B786" s="63" t="s">
        <v>60</v>
      </c>
      <c r="C786" s="88"/>
      <c r="D786" s="82">
        <v>9500.0</v>
      </c>
      <c r="E786" s="104">
        <f t="shared" si="26"/>
        <v>108900</v>
      </c>
      <c r="F786" s="82" t="s">
        <v>603</v>
      </c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</row>
    <row r="787">
      <c r="A787" s="150">
        <v>45926.0</v>
      </c>
      <c r="B787" s="70" t="s">
        <v>604</v>
      </c>
      <c r="C787" s="88"/>
      <c r="D787" s="82">
        <v>9500.0</v>
      </c>
      <c r="E787" s="104">
        <f t="shared" si="26"/>
        <v>118400</v>
      </c>
      <c r="F787" s="82" t="s">
        <v>602</v>
      </c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</row>
    <row r="788">
      <c r="A788" s="123">
        <v>45928.0</v>
      </c>
      <c r="B788" s="82" t="s">
        <v>605</v>
      </c>
      <c r="C788" s="82">
        <v>1850.0</v>
      </c>
      <c r="D788" s="82">
        <v>0.0</v>
      </c>
      <c r="E788" s="122">
        <f t="shared" si="26"/>
        <v>116550</v>
      </c>
      <c r="F788" s="82" t="s">
        <v>606</v>
      </c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</row>
    <row r="789">
      <c r="A789" s="88"/>
      <c r="B789" s="82" t="s">
        <v>607</v>
      </c>
      <c r="C789" s="82">
        <v>10000.0</v>
      </c>
      <c r="D789" s="88"/>
      <c r="E789" s="104">
        <f t="shared" si="26"/>
        <v>106550</v>
      </c>
      <c r="F789" s="88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169"/>
      <c r="AN790" s="169"/>
      <c r="AO790" s="169"/>
      <c r="AP790" s="169"/>
      <c r="AQ790" s="169"/>
    </row>
    <row r="791">
      <c r="A791" s="141">
        <v>45931.0</v>
      </c>
      <c r="B791" s="139" t="s">
        <v>54</v>
      </c>
      <c r="C791" s="88"/>
      <c r="D791" s="82">
        <v>3000.0</v>
      </c>
      <c r="E791" s="82">
        <v>3000.0</v>
      </c>
      <c r="F791" s="82" t="s">
        <v>97</v>
      </c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</row>
    <row r="792">
      <c r="A792" s="141">
        <v>45931.0</v>
      </c>
      <c r="B792" s="63" t="s">
        <v>55</v>
      </c>
      <c r="C792" s="88"/>
      <c r="D792" s="82">
        <v>3000.0</v>
      </c>
      <c r="E792" s="88">
        <f t="shared" ref="E792:E825" si="27">(E791+D792)-C792</f>
        <v>6000</v>
      </c>
      <c r="F792" s="82" t="s">
        <v>97</v>
      </c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</row>
    <row r="793">
      <c r="A793" s="141">
        <v>45934.0</v>
      </c>
      <c r="B793" s="69" t="s">
        <v>40</v>
      </c>
      <c r="C793" s="88"/>
      <c r="D793" s="82">
        <v>3000.0</v>
      </c>
      <c r="E793" s="88">
        <f t="shared" si="27"/>
        <v>9000</v>
      </c>
      <c r="F793" s="88"/>
      <c r="G793" s="41"/>
      <c r="H793" s="46" t="s">
        <v>608</v>
      </c>
      <c r="I793" s="40" t="s">
        <v>609</v>
      </c>
      <c r="J793" s="40" t="s">
        <v>84</v>
      </c>
      <c r="K793" s="40" t="s">
        <v>93</v>
      </c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</row>
    <row r="794">
      <c r="A794" s="141">
        <v>45934.0</v>
      </c>
      <c r="B794" s="63" t="s">
        <v>570</v>
      </c>
      <c r="C794" s="88"/>
      <c r="D794" s="82">
        <v>3000.0</v>
      </c>
      <c r="E794" s="88">
        <f t="shared" si="27"/>
        <v>12000</v>
      </c>
      <c r="F794" s="82" t="s">
        <v>97</v>
      </c>
      <c r="G794" s="44"/>
      <c r="H794" s="42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</row>
    <row r="795">
      <c r="A795" s="141">
        <v>45934.0</v>
      </c>
      <c r="B795" s="69" t="s">
        <v>53</v>
      </c>
      <c r="C795" s="88"/>
      <c r="D795" s="82">
        <v>3000.0</v>
      </c>
      <c r="E795" s="88">
        <f t="shared" si="27"/>
        <v>15000</v>
      </c>
      <c r="F795" s="82" t="s">
        <v>97</v>
      </c>
      <c r="G795" s="46"/>
      <c r="H795" s="170" t="s">
        <v>12</v>
      </c>
      <c r="I795" s="40">
        <v>3500.0</v>
      </c>
      <c r="J795" s="41"/>
      <c r="K795" s="40">
        <v>1.0</v>
      </c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</row>
    <row r="796">
      <c r="A796" s="141">
        <v>45934.0</v>
      </c>
      <c r="B796" s="171" t="s">
        <v>583</v>
      </c>
      <c r="C796" s="88"/>
      <c r="D796" s="82">
        <v>3000.0</v>
      </c>
      <c r="E796" s="88">
        <f t="shared" si="27"/>
        <v>18000</v>
      </c>
      <c r="F796" s="82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</row>
    <row r="797">
      <c r="A797" s="141">
        <v>45935.0</v>
      </c>
      <c r="B797" s="69" t="s">
        <v>50</v>
      </c>
      <c r="C797" s="88"/>
      <c r="D797" s="82">
        <v>3000.0</v>
      </c>
      <c r="E797" s="88">
        <f t="shared" si="27"/>
        <v>21000</v>
      </c>
      <c r="F797" s="82" t="s">
        <v>97</v>
      </c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</row>
    <row r="798">
      <c r="A798" s="141">
        <v>45936.0</v>
      </c>
      <c r="B798" s="158" t="s">
        <v>554</v>
      </c>
      <c r="C798" s="88"/>
      <c r="D798" s="82">
        <v>3000.0</v>
      </c>
      <c r="E798" s="88">
        <f t="shared" si="27"/>
        <v>24000</v>
      </c>
      <c r="F798" s="82" t="s">
        <v>97</v>
      </c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</row>
    <row r="799">
      <c r="A799" s="141">
        <v>45937.0</v>
      </c>
      <c r="B799" s="139" t="s">
        <v>43</v>
      </c>
      <c r="C799" s="88"/>
      <c r="D799" s="82">
        <v>3000.0</v>
      </c>
      <c r="E799" s="88">
        <f t="shared" si="27"/>
        <v>27000</v>
      </c>
      <c r="F799" s="88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</row>
    <row r="800">
      <c r="A800" s="141">
        <v>45937.0</v>
      </c>
      <c r="B800" s="139" t="s">
        <v>190</v>
      </c>
      <c r="C800" s="88"/>
      <c r="D800" s="82">
        <v>3000.0</v>
      </c>
      <c r="E800" s="88">
        <f t="shared" si="27"/>
        <v>30000</v>
      </c>
      <c r="F800" s="88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</row>
    <row r="801">
      <c r="A801" s="141">
        <v>45937.0</v>
      </c>
      <c r="B801" s="69" t="s">
        <v>406</v>
      </c>
      <c r="C801" s="88"/>
      <c r="D801" s="82">
        <v>3000.0</v>
      </c>
      <c r="E801" s="88">
        <f t="shared" si="27"/>
        <v>33000</v>
      </c>
      <c r="F801" s="88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</row>
    <row r="802">
      <c r="A802" s="141">
        <v>45941.0</v>
      </c>
      <c r="B802" s="69" t="s">
        <v>46</v>
      </c>
      <c r="C802" s="88"/>
      <c r="D802" s="82">
        <v>3000.0</v>
      </c>
      <c r="E802" s="88">
        <f t="shared" si="27"/>
        <v>36000</v>
      </c>
      <c r="F802" s="88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</row>
    <row r="803">
      <c r="A803" s="141">
        <v>45941.0</v>
      </c>
      <c r="B803" s="69" t="s">
        <v>126</v>
      </c>
      <c r="C803" s="88"/>
      <c r="D803" s="82">
        <v>3000.0</v>
      </c>
      <c r="E803" s="88">
        <f t="shared" si="27"/>
        <v>39000</v>
      </c>
      <c r="F803" s="88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</row>
    <row r="804">
      <c r="A804" s="141">
        <v>45941.0</v>
      </c>
      <c r="B804" s="69" t="s">
        <v>41</v>
      </c>
      <c r="C804" s="88"/>
      <c r="D804" s="82">
        <v>3000.0</v>
      </c>
      <c r="E804" s="88">
        <f t="shared" si="27"/>
        <v>42000</v>
      </c>
      <c r="F804" s="88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</row>
    <row r="805">
      <c r="A805" s="141">
        <v>45943.0</v>
      </c>
      <c r="B805" s="69" t="s">
        <v>48</v>
      </c>
      <c r="C805" s="88"/>
      <c r="D805" s="82">
        <v>6000.0</v>
      </c>
      <c r="E805" s="88">
        <f t="shared" si="27"/>
        <v>48000</v>
      </c>
      <c r="F805" s="82" t="s">
        <v>610</v>
      </c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</row>
    <row r="806">
      <c r="A806" s="141">
        <v>45944.0</v>
      </c>
      <c r="B806" s="69" t="s">
        <v>52</v>
      </c>
      <c r="C806" s="88"/>
      <c r="D806" s="82">
        <v>6000.0</v>
      </c>
      <c r="E806" s="88">
        <f t="shared" si="27"/>
        <v>54000</v>
      </c>
      <c r="F806" s="82" t="s">
        <v>611</v>
      </c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</row>
    <row r="807">
      <c r="A807" s="172">
        <v>45944.0</v>
      </c>
      <c r="B807" s="158" t="s">
        <v>61</v>
      </c>
      <c r="C807" s="173"/>
      <c r="D807" s="158">
        <v>9500.0</v>
      </c>
      <c r="E807" s="173">
        <f t="shared" si="27"/>
        <v>63500</v>
      </c>
      <c r="F807" s="158" t="s">
        <v>612</v>
      </c>
      <c r="G807" s="174"/>
      <c r="H807" s="174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  <c r="AA807" s="175"/>
      <c r="AB807" s="175"/>
      <c r="AC807" s="175"/>
      <c r="AD807" s="175"/>
      <c r="AE807" s="175"/>
      <c r="AF807" s="175"/>
      <c r="AG807" s="175"/>
      <c r="AH807" s="175"/>
      <c r="AI807" s="175"/>
      <c r="AJ807" s="175"/>
      <c r="AK807" s="175"/>
      <c r="AL807" s="175"/>
      <c r="AM807" s="175"/>
      <c r="AN807" s="175"/>
      <c r="AO807" s="175"/>
      <c r="AP807" s="175"/>
      <c r="AQ807" s="175"/>
    </row>
    <row r="808">
      <c r="A808" s="141">
        <v>45948.0</v>
      </c>
      <c r="B808" s="176" t="s">
        <v>597</v>
      </c>
      <c r="C808" s="88"/>
      <c r="D808" s="82">
        <v>3000.0</v>
      </c>
      <c r="E808" s="88">
        <f t="shared" si="27"/>
        <v>66500</v>
      </c>
      <c r="F808" s="82" t="s">
        <v>613</v>
      </c>
      <c r="G808" s="40"/>
      <c r="H808" s="40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</row>
    <row r="809">
      <c r="A809" s="141">
        <v>45948.0</v>
      </c>
      <c r="B809" s="82" t="s">
        <v>614</v>
      </c>
      <c r="C809" s="88"/>
      <c r="D809" s="82">
        <v>9500.0</v>
      </c>
      <c r="E809" s="88">
        <f t="shared" si="27"/>
        <v>76000</v>
      </c>
      <c r="F809" s="82" t="s">
        <v>615</v>
      </c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</row>
    <row r="810">
      <c r="A810" s="141">
        <v>45948.0</v>
      </c>
      <c r="B810" s="158" t="s">
        <v>575</v>
      </c>
      <c r="C810" s="88"/>
      <c r="D810" s="82">
        <v>3000.0</v>
      </c>
      <c r="E810" s="88">
        <f t="shared" si="27"/>
        <v>79000</v>
      </c>
      <c r="F810" s="88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</row>
    <row r="811">
      <c r="A811" s="141">
        <v>45953.0</v>
      </c>
      <c r="B811" s="139" t="s">
        <v>222</v>
      </c>
      <c r="C811" s="88"/>
      <c r="D811" s="82">
        <v>6000.0</v>
      </c>
      <c r="E811" s="88">
        <f t="shared" si="27"/>
        <v>85000</v>
      </c>
      <c r="F811" s="82" t="s">
        <v>610</v>
      </c>
      <c r="G811" s="40"/>
      <c r="H811" s="40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</row>
    <row r="812">
      <c r="A812" s="141">
        <v>45954.0</v>
      </c>
      <c r="B812" s="139" t="s">
        <v>57</v>
      </c>
      <c r="C812" s="88"/>
      <c r="D812" s="82">
        <v>3000.0</v>
      </c>
      <c r="E812" s="88">
        <f t="shared" si="27"/>
        <v>88000</v>
      </c>
      <c r="F812" s="82" t="s">
        <v>39</v>
      </c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</row>
    <row r="813">
      <c r="A813" s="141">
        <v>45954.0</v>
      </c>
      <c r="B813" s="70" t="s">
        <v>616</v>
      </c>
      <c r="C813" s="88"/>
      <c r="D813" s="82">
        <v>9500.0</v>
      </c>
      <c r="E813" s="88">
        <f t="shared" si="27"/>
        <v>97500</v>
      </c>
      <c r="F813" s="82" t="s">
        <v>617</v>
      </c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</row>
    <row r="814">
      <c r="A814" s="141">
        <v>45954.0</v>
      </c>
      <c r="B814" s="139" t="s">
        <v>106</v>
      </c>
      <c r="C814" s="88"/>
      <c r="D814" s="82">
        <v>6000.0</v>
      </c>
      <c r="E814" s="88">
        <f t="shared" si="27"/>
        <v>103500</v>
      </c>
      <c r="F814" s="82" t="s">
        <v>611</v>
      </c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</row>
    <row r="815">
      <c r="A815" s="141">
        <v>45954.0</v>
      </c>
      <c r="B815" s="165" t="s">
        <v>402</v>
      </c>
      <c r="C815" s="162">
        <v>1600.0</v>
      </c>
      <c r="D815" s="88"/>
      <c r="E815" s="88">
        <f t="shared" si="27"/>
        <v>101900</v>
      </c>
      <c r="F815" s="88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</row>
    <row r="816">
      <c r="A816" s="141">
        <v>45954.0</v>
      </c>
      <c r="B816" s="165" t="s">
        <v>618</v>
      </c>
      <c r="C816" s="162">
        <v>4655.0</v>
      </c>
      <c r="D816" s="88"/>
      <c r="E816" s="88">
        <f t="shared" si="27"/>
        <v>97245</v>
      </c>
      <c r="F816" s="88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</row>
    <row r="817">
      <c r="A817" s="141">
        <v>45954.0</v>
      </c>
      <c r="B817" s="165" t="s">
        <v>619</v>
      </c>
      <c r="C817" s="162">
        <v>2000.0</v>
      </c>
      <c r="D817" s="88"/>
      <c r="E817" s="88">
        <f t="shared" si="27"/>
        <v>95245</v>
      </c>
      <c r="F817" s="88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</row>
    <row r="818">
      <c r="A818" s="141">
        <v>45954.0</v>
      </c>
      <c r="B818" s="177" t="s">
        <v>620</v>
      </c>
      <c r="C818" s="162">
        <v>440.0</v>
      </c>
      <c r="D818" s="88"/>
      <c r="E818" s="88">
        <f t="shared" si="27"/>
        <v>94805</v>
      </c>
      <c r="F818" s="88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</row>
    <row r="819">
      <c r="A819" s="141">
        <v>45954.0</v>
      </c>
      <c r="B819" s="165" t="s">
        <v>621</v>
      </c>
      <c r="C819" s="162">
        <v>2000.0</v>
      </c>
      <c r="D819" s="88"/>
      <c r="E819" s="88">
        <f t="shared" si="27"/>
        <v>92805</v>
      </c>
      <c r="F819" s="88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</row>
    <row r="820">
      <c r="A820" s="141">
        <v>45954.0</v>
      </c>
      <c r="B820" s="165" t="s">
        <v>622</v>
      </c>
      <c r="C820" s="162">
        <v>4500.0</v>
      </c>
      <c r="D820" s="88"/>
      <c r="E820" s="88">
        <f t="shared" si="27"/>
        <v>88305</v>
      </c>
      <c r="F820" s="88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</row>
    <row r="821">
      <c r="A821" s="141">
        <v>45954.0</v>
      </c>
      <c r="B821" s="165" t="s">
        <v>623</v>
      </c>
      <c r="C821" s="162">
        <v>605.0</v>
      </c>
      <c r="D821" s="88"/>
      <c r="E821" s="88">
        <f t="shared" si="27"/>
        <v>87700</v>
      </c>
      <c r="F821" s="88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</row>
    <row r="822">
      <c r="A822" s="178">
        <v>45938.0</v>
      </c>
      <c r="B822" s="99" t="s">
        <v>58</v>
      </c>
      <c r="C822" s="165"/>
      <c r="D822" s="162">
        <v>3000.0</v>
      </c>
      <c r="E822" s="88">
        <f t="shared" si="27"/>
        <v>90700</v>
      </c>
      <c r="F822" s="165" t="s">
        <v>613</v>
      </c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</row>
    <row r="823">
      <c r="A823" s="179" t="s">
        <v>624</v>
      </c>
      <c r="B823" s="67" t="s">
        <v>361</v>
      </c>
      <c r="C823" s="165"/>
      <c r="D823" s="162">
        <v>3000.0</v>
      </c>
      <c r="E823" s="88">
        <f t="shared" si="27"/>
        <v>93700</v>
      </c>
      <c r="F823" s="165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</row>
    <row r="824">
      <c r="A824" s="179" t="s">
        <v>624</v>
      </c>
      <c r="B824" s="180" t="s">
        <v>586</v>
      </c>
      <c r="C824" s="165"/>
      <c r="D824" s="162">
        <v>3000.0</v>
      </c>
      <c r="E824" s="88">
        <f t="shared" si="27"/>
        <v>96700</v>
      </c>
      <c r="F824" s="165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</row>
    <row r="825">
      <c r="A825" s="60">
        <v>45960.0</v>
      </c>
      <c r="B825" s="40" t="s">
        <v>625</v>
      </c>
      <c r="C825" s="40">
        <v>2000.0</v>
      </c>
      <c r="D825" s="41"/>
      <c r="E825" s="122">
        <f t="shared" si="27"/>
        <v>94700</v>
      </c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</row>
    <row r="826">
      <c r="A826" s="41"/>
      <c r="B826" s="181"/>
      <c r="C826" s="42"/>
      <c r="D826" s="41"/>
      <c r="E826" s="41"/>
      <c r="F826" s="41"/>
      <c r="G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169"/>
      <c r="AN827" s="169"/>
      <c r="AO827" s="169"/>
      <c r="AP827" s="169"/>
      <c r="AQ827" s="169"/>
    </row>
    <row r="828">
      <c r="A828" s="141">
        <v>45962.0</v>
      </c>
      <c r="B828" s="139" t="s">
        <v>53</v>
      </c>
      <c r="C828" s="82">
        <v>0.0</v>
      </c>
      <c r="D828" s="82">
        <v>3000.0</v>
      </c>
      <c r="E828" s="82">
        <v>3000.0</v>
      </c>
      <c r="F828" s="82" t="s">
        <v>97</v>
      </c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</row>
    <row r="829">
      <c r="A829" s="141">
        <v>45962.0</v>
      </c>
      <c r="B829" s="139" t="s">
        <v>54</v>
      </c>
      <c r="C829" s="82">
        <v>0.0</v>
      </c>
      <c r="D829" s="82">
        <v>3000.0</v>
      </c>
      <c r="E829" s="88">
        <f t="shared" ref="E829:E852" si="28">(E828+D829)-C829</f>
        <v>6000</v>
      </c>
      <c r="F829" s="82" t="s">
        <v>97</v>
      </c>
      <c r="G829" s="40"/>
      <c r="H829" s="40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</row>
    <row r="830">
      <c r="A830" s="141">
        <v>45962.0</v>
      </c>
      <c r="B830" s="139" t="s">
        <v>55</v>
      </c>
      <c r="C830" s="82">
        <v>0.0</v>
      </c>
      <c r="D830" s="82">
        <v>3000.0</v>
      </c>
      <c r="E830" s="88">
        <f t="shared" si="28"/>
        <v>9000</v>
      </c>
      <c r="F830" s="82" t="s">
        <v>97</v>
      </c>
      <c r="H830" s="46" t="s">
        <v>608</v>
      </c>
      <c r="I830" s="40" t="s">
        <v>609</v>
      </c>
      <c r="J830" s="40" t="s">
        <v>84</v>
      </c>
      <c r="K830" s="40" t="s">
        <v>93</v>
      </c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</row>
    <row r="831">
      <c r="A831" s="141">
        <v>45963.0</v>
      </c>
      <c r="B831" s="63" t="s">
        <v>531</v>
      </c>
      <c r="C831" s="82">
        <v>0.0</v>
      </c>
      <c r="D831" s="82">
        <v>3000.0</v>
      </c>
      <c r="E831" s="88">
        <f t="shared" si="28"/>
        <v>12000</v>
      </c>
      <c r="F831" s="88"/>
      <c r="H831" s="182" t="s">
        <v>626</v>
      </c>
      <c r="I831" s="41"/>
      <c r="J831" s="41">
        <f>sum(D828:D852)</f>
        <v>69500</v>
      </c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</row>
    <row r="832">
      <c r="A832" s="141">
        <v>45965.0</v>
      </c>
      <c r="B832" s="139" t="s">
        <v>40</v>
      </c>
      <c r="C832" s="82">
        <v>0.0</v>
      </c>
      <c r="D832" s="82">
        <v>3000.0</v>
      </c>
      <c r="E832" s="88">
        <f t="shared" si="28"/>
        <v>15000</v>
      </c>
      <c r="F832" s="88"/>
      <c r="H832" s="182" t="s">
        <v>11</v>
      </c>
      <c r="I832" s="41">
        <f>19*3000</f>
        <v>57000</v>
      </c>
      <c r="J832" s="41"/>
      <c r="K832" s="40">
        <v>19.0</v>
      </c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</row>
    <row r="833">
      <c r="A833" s="141">
        <v>45965.0</v>
      </c>
      <c r="B833" s="158" t="s">
        <v>554</v>
      </c>
      <c r="C833" s="82">
        <v>0.0</v>
      </c>
      <c r="D833" s="82">
        <v>3000.0</v>
      </c>
      <c r="E833" s="88">
        <f t="shared" si="28"/>
        <v>18000</v>
      </c>
      <c r="F833" s="82" t="s">
        <v>97</v>
      </c>
      <c r="H833" s="182" t="s">
        <v>12</v>
      </c>
      <c r="I833" s="40">
        <v>9000.0</v>
      </c>
      <c r="J833" s="41"/>
      <c r="K833" s="40">
        <v>3.0</v>
      </c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</row>
    <row r="834">
      <c r="A834" s="141">
        <v>45965.0</v>
      </c>
      <c r="B834" s="139" t="s">
        <v>43</v>
      </c>
      <c r="C834" s="82">
        <v>0.0</v>
      </c>
      <c r="D834" s="82">
        <v>3000.0</v>
      </c>
      <c r="E834" s="88">
        <f t="shared" si="28"/>
        <v>21000</v>
      </c>
      <c r="F834" s="82" t="s">
        <v>97</v>
      </c>
      <c r="H834" s="182" t="s">
        <v>260</v>
      </c>
      <c r="I834" s="40">
        <v>3500.0</v>
      </c>
      <c r="J834" s="41"/>
      <c r="K834" s="40">
        <v>1.0</v>
      </c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</row>
    <row r="835">
      <c r="A835" s="141">
        <v>45968.0</v>
      </c>
      <c r="B835" s="183" t="s">
        <v>57</v>
      </c>
      <c r="C835" s="82">
        <v>0.0</v>
      </c>
      <c r="D835" s="82">
        <v>3000.0</v>
      </c>
      <c r="E835" s="88">
        <f t="shared" si="28"/>
        <v>24000</v>
      </c>
      <c r="F835" s="82" t="s">
        <v>97</v>
      </c>
      <c r="G835" s="40"/>
      <c r="I835" s="41"/>
      <c r="J835" s="41">
        <f>sum(I832:I834)</f>
        <v>69500</v>
      </c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</row>
    <row r="836">
      <c r="A836" s="141">
        <v>45969.0</v>
      </c>
      <c r="B836" s="184" t="s">
        <v>62</v>
      </c>
      <c r="C836" s="82">
        <v>0.0</v>
      </c>
      <c r="D836" s="82">
        <v>9500.0</v>
      </c>
      <c r="E836" s="88">
        <f t="shared" si="28"/>
        <v>33500</v>
      </c>
      <c r="F836" s="82" t="s">
        <v>627</v>
      </c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</row>
    <row r="837">
      <c r="A837" s="141">
        <v>45969.0</v>
      </c>
      <c r="B837" s="183" t="s">
        <v>41</v>
      </c>
      <c r="C837" s="82">
        <v>0.0</v>
      </c>
      <c r="D837" s="82">
        <v>3000.0</v>
      </c>
      <c r="E837" s="88">
        <f t="shared" si="28"/>
        <v>36500</v>
      </c>
      <c r="F837" s="88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</row>
    <row r="838">
      <c r="A838" s="141">
        <v>45969.0</v>
      </c>
      <c r="B838" s="183" t="s">
        <v>570</v>
      </c>
      <c r="C838" s="82">
        <v>0.0</v>
      </c>
      <c r="D838" s="82">
        <v>3000.0</v>
      </c>
      <c r="E838" s="88">
        <f t="shared" si="28"/>
        <v>39500</v>
      </c>
      <c r="F838" s="88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</row>
    <row r="839">
      <c r="A839" s="141">
        <v>45975.0</v>
      </c>
      <c r="B839" s="183" t="s">
        <v>406</v>
      </c>
      <c r="C839" s="82">
        <v>0.0</v>
      </c>
      <c r="D839" s="82">
        <v>3000.0</v>
      </c>
      <c r="E839" s="88">
        <f t="shared" si="28"/>
        <v>42500</v>
      </c>
      <c r="F839" s="88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</row>
    <row r="840">
      <c r="A840" s="141">
        <v>45975.0</v>
      </c>
      <c r="B840" s="171" t="s">
        <v>583</v>
      </c>
      <c r="C840" s="82">
        <v>0.0</v>
      </c>
      <c r="D840" s="82">
        <v>3000.0</v>
      </c>
      <c r="E840" s="88">
        <f t="shared" si="28"/>
        <v>45500</v>
      </c>
      <c r="F840" s="88"/>
      <c r="G840" s="54"/>
      <c r="H840" s="185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</row>
    <row r="841">
      <c r="A841" s="141">
        <v>45975.0</v>
      </c>
      <c r="B841" s="186" t="s">
        <v>601</v>
      </c>
      <c r="C841" s="82">
        <v>0.0</v>
      </c>
      <c r="D841" s="82">
        <v>3000.0</v>
      </c>
      <c r="E841" s="88">
        <f t="shared" si="28"/>
        <v>48500</v>
      </c>
      <c r="F841" s="82" t="s">
        <v>97</v>
      </c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</row>
    <row r="842">
      <c r="A842" s="172">
        <v>45976.0</v>
      </c>
      <c r="B842" s="187" t="s">
        <v>61</v>
      </c>
      <c r="C842" s="158">
        <v>0.0</v>
      </c>
      <c r="D842" s="158">
        <v>3000.0</v>
      </c>
      <c r="E842" s="173">
        <f t="shared" si="28"/>
        <v>51500</v>
      </c>
      <c r="F842" s="158" t="s">
        <v>628</v>
      </c>
      <c r="G842" s="188"/>
      <c r="H842" s="188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  <c r="AA842" s="175"/>
      <c r="AB842" s="175"/>
      <c r="AC842" s="175"/>
      <c r="AD842" s="175"/>
      <c r="AE842" s="175"/>
      <c r="AF842" s="175"/>
      <c r="AG842" s="175"/>
      <c r="AH842" s="175"/>
      <c r="AI842" s="175"/>
      <c r="AJ842" s="175"/>
      <c r="AK842" s="175"/>
      <c r="AL842" s="175"/>
      <c r="AM842" s="175"/>
      <c r="AN842" s="175"/>
      <c r="AO842" s="175"/>
      <c r="AP842" s="175"/>
      <c r="AQ842" s="175"/>
    </row>
    <row r="843">
      <c r="A843" s="141">
        <v>45979.0</v>
      </c>
      <c r="B843" s="183" t="s">
        <v>126</v>
      </c>
      <c r="C843" s="82">
        <v>0.0</v>
      </c>
      <c r="D843" s="82">
        <v>3000.0</v>
      </c>
      <c r="E843" s="88">
        <f t="shared" si="28"/>
        <v>54500</v>
      </c>
      <c r="F843" s="88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</row>
    <row r="844">
      <c r="A844" s="141">
        <v>45986.0</v>
      </c>
      <c r="B844" s="183" t="s">
        <v>48</v>
      </c>
      <c r="C844" s="82">
        <v>0.0</v>
      </c>
      <c r="D844" s="82">
        <v>3000.0</v>
      </c>
      <c r="E844" s="88">
        <f t="shared" si="28"/>
        <v>57500</v>
      </c>
      <c r="F844" s="82" t="s">
        <v>97</v>
      </c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</row>
    <row r="845">
      <c r="A845" s="141">
        <v>45990.0</v>
      </c>
      <c r="B845" s="183" t="s">
        <v>46</v>
      </c>
      <c r="C845" s="82">
        <v>0.0</v>
      </c>
      <c r="D845" s="82">
        <v>3000.0</v>
      </c>
      <c r="E845" s="88">
        <f t="shared" si="28"/>
        <v>60500</v>
      </c>
      <c r="F845" s="88"/>
      <c r="G845" s="40"/>
      <c r="H845" s="40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</row>
    <row r="846">
      <c r="A846" s="141">
        <v>45990.0</v>
      </c>
      <c r="B846" s="184" t="s">
        <v>58</v>
      </c>
      <c r="C846" s="82">
        <v>0.0</v>
      </c>
      <c r="D846" s="82">
        <v>3000.0</v>
      </c>
      <c r="E846" s="88">
        <f t="shared" si="28"/>
        <v>63500</v>
      </c>
      <c r="F846" s="82" t="s">
        <v>629</v>
      </c>
      <c r="G846" s="40"/>
      <c r="H846" s="40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</row>
    <row r="847">
      <c r="A847" s="141">
        <v>45962.0</v>
      </c>
      <c r="B847" s="189" t="s">
        <v>361</v>
      </c>
      <c r="C847" s="82">
        <v>0.0</v>
      </c>
      <c r="D847" s="82">
        <v>3000.0</v>
      </c>
      <c r="E847" s="88">
        <f t="shared" si="28"/>
        <v>66500</v>
      </c>
      <c r="F847" s="82" t="s">
        <v>97</v>
      </c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</row>
    <row r="848">
      <c r="A848" s="190">
        <v>45963.0</v>
      </c>
      <c r="B848" s="191" t="s">
        <v>190</v>
      </c>
      <c r="C848" s="82">
        <v>0.0</v>
      </c>
      <c r="D848" s="192">
        <v>3000.0</v>
      </c>
      <c r="E848" s="88">
        <f t="shared" si="28"/>
        <v>69500</v>
      </c>
      <c r="F848" s="193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</row>
    <row r="849">
      <c r="A849" s="190">
        <v>45963.0</v>
      </c>
      <c r="B849" s="82" t="s">
        <v>630</v>
      </c>
      <c r="C849" s="82">
        <f>4000+28000</f>
        <v>32000</v>
      </c>
      <c r="D849" s="88"/>
      <c r="E849" s="88">
        <f t="shared" si="28"/>
        <v>37500</v>
      </c>
      <c r="F849" s="88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</row>
    <row r="850">
      <c r="A850" s="190">
        <v>45963.0</v>
      </c>
      <c r="B850" s="82" t="s">
        <v>631</v>
      </c>
      <c r="C850" s="82">
        <v>9000.0</v>
      </c>
      <c r="D850" s="88"/>
      <c r="E850" s="88">
        <f t="shared" si="28"/>
        <v>28500</v>
      </c>
      <c r="F850" s="88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</row>
    <row r="851">
      <c r="A851" s="190">
        <v>45963.0</v>
      </c>
      <c r="B851" s="82" t="s">
        <v>632</v>
      </c>
      <c r="C851" s="82">
        <v>80.0</v>
      </c>
      <c r="D851" s="88"/>
      <c r="E851" s="88">
        <f t="shared" si="28"/>
        <v>28420</v>
      </c>
      <c r="F851" s="88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</row>
    <row r="852">
      <c r="A852" s="190">
        <v>45963.0</v>
      </c>
      <c r="B852" s="165" t="s">
        <v>402</v>
      </c>
      <c r="C852" s="186">
        <v>1600.0</v>
      </c>
      <c r="D852" s="88"/>
      <c r="E852" s="88">
        <f t="shared" si="28"/>
        <v>26820</v>
      </c>
      <c r="F852" s="88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</row>
    <row r="855">
      <c r="A855" s="141">
        <v>45962.0</v>
      </c>
      <c r="B855" s="183" t="s">
        <v>54</v>
      </c>
      <c r="C855" s="88"/>
      <c r="D855" s="82">
        <v>3000.0</v>
      </c>
      <c r="E855" s="82">
        <v>3000.0</v>
      </c>
      <c r="F855" s="82" t="s">
        <v>97</v>
      </c>
      <c r="H855" s="46" t="s">
        <v>608</v>
      </c>
      <c r="I855" s="40" t="s">
        <v>609</v>
      </c>
      <c r="J855" s="40" t="s">
        <v>84</v>
      </c>
      <c r="K855" s="40" t="s">
        <v>93</v>
      </c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</row>
    <row r="856">
      <c r="A856" s="141">
        <v>45992.0</v>
      </c>
      <c r="B856" s="183" t="s">
        <v>55</v>
      </c>
      <c r="C856" s="88"/>
      <c r="D856" s="82">
        <v>3000.0</v>
      </c>
      <c r="E856" s="88">
        <f t="shared" ref="E856:E883" si="29">E855+(D856-C856)</f>
        <v>6000</v>
      </c>
      <c r="F856" s="82" t="s">
        <v>97</v>
      </c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</row>
    <row r="857">
      <c r="A857" s="141">
        <v>45997.0</v>
      </c>
      <c r="B857" s="194" t="s">
        <v>51</v>
      </c>
      <c r="C857" s="88"/>
      <c r="D857" s="82">
        <v>3000.0</v>
      </c>
      <c r="E857" s="88">
        <f t="shared" si="29"/>
        <v>9000</v>
      </c>
      <c r="F857" s="82"/>
      <c r="H857" s="182" t="s">
        <v>626</v>
      </c>
      <c r="I857" s="41"/>
      <c r="J857" s="41">
        <f>sum(D855:D883)</f>
        <v>72500</v>
      </c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</row>
    <row r="858">
      <c r="A858" s="141">
        <v>45997.0</v>
      </c>
      <c r="B858" s="184" t="s">
        <v>60</v>
      </c>
      <c r="C858" s="88"/>
      <c r="D858" s="82">
        <v>3000.0</v>
      </c>
      <c r="E858" s="88">
        <f t="shared" si="29"/>
        <v>12000</v>
      </c>
      <c r="F858" s="88"/>
      <c r="H858" s="182" t="s">
        <v>11</v>
      </c>
      <c r="I858" s="40">
        <v>6000.0</v>
      </c>
      <c r="J858" s="41"/>
      <c r="K858" s="40">
        <v>2.0</v>
      </c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</row>
    <row r="859">
      <c r="A859" s="141">
        <v>46001.0</v>
      </c>
      <c r="B859" s="183" t="s">
        <v>222</v>
      </c>
      <c r="C859" s="88"/>
      <c r="D859" s="82">
        <v>6000.0</v>
      </c>
      <c r="E859" s="88">
        <f t="shared" si="29"/>
        <v>18000</v>
      </c>
      <c r="F859" s="82" t="s">
        <v>633</v>
      </c>
      <c r="H859" s="182" t="s">
        <v>12</v>
      </c>
      <c r="I859" s="41">
        <f>3000*19</f>
        <v>57000</v>
      </c>
      <c r="J859" s="41"/>
      <c r="K859" s="40">
        <v>19.0</v>
      </c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</row>
    <row r="860">
      <c r="A860" s="141">
        <v>46001.0</v>
      </c>
      <c r="B860" s="183" t="s">
        <v>570</v>
      </c>
      <c r="C860" s="88"/>
      <c r="D860" s="82">
        <v>3000.0</v>
      </c>
      <c r="E860" s="88">
        <f t="shared" si="29"/>
        <v>21000</v>
      </c>
      <c r="F860" s="88"/>
      <c r="H860" s="182" t="s">
        <v>634</v>
      </c>
      <c r="I860" s="41">
        <f>3000*3+500</f>
        <v>9500</v>
      </c>
      <c r="J860" s="41"/>
      <c r="K860" s="40">
        <v>3.0</v>
      </c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</row>
    <row r="861">
      <c r="A861" s="141">
        <v>46002.0</v>
      </c>
      <c r="B861" s="183" t="s">
        <v>43</v>
      </c>
      <c r="C861" s="88"/>
      <c r="D861" s="82">
        <v>3000.0</v>
      </c>
      <c r="E861" s="88">
        <f t="shared" si="29"/>
        <v>24000</v>
      </c>
      <c r="F861" s="88"/>
      <c r="I861" s="41"/>
      <c r="J861" s="41">
        <f>sum(I858:I860)</f>
        <v>72500</v>
      </c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</row>
    <row r="862">
      <c r="A862" s="141">
        <v>46003.0</v>
      </c>
      <c r="B862" s="183" t="s">
        <v>41</v>
      </c>
      <c r="C862" s="88"/>
      <c r="D862" s="82">
        <v>3000.0</v>
      </c>
      <c r="E862" s="88">
        <f t="shared" si="29"/>
        <v>27000</v>
      </c>
      <c r="F862" s="88"/>
      <c r="I862" s="40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</row>
    <row r="863">
      <c r="A863" s="141">
        <v>46003.0</v>
      </c>
      <c r="B863" s="183" t="s">
        <v>406</v>
      </c>
      <c r="C863" s="88"/>
      <c r="D863" s="82">
        <v>3000.0</v>
      </c>
      <c r="E863" s="88">
        <f t="shared" si="29"/>
        <v>30000</v>
      </c>
      <c r="F863" s="88"/>
      <c r="G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</row>
    <row r="864">
      <c r="A864" s="141">
        <v>46003.0</v>
      </c>
      <c r="B864" s="183" t="s">
        <v>57</v>
      </c>
      <c r="C864" s="88"/>
      <c r="D864" s="82">
        <v>3000.0</v>
      </c>
      <c r="E864" s="88">
        <f t="shared" si="29"/>
        <v>33000</v>
      </c>
      <c r="F864" s="88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</row>
    <row r="865">
      <c r="A865" s="172">
        <v>46007.0</v>
      </c>
      <c r="B865" s="187" t="s">
        <v>61</v>
      </c>
      <c r="C865" s="173"/>
      <c r="D865" s="158">
        <v>3000.0</v>
      </c>
      <c r="E865" s="173">
        <f t="shared" si="29"/>
        <v>36000</v>
      </c>
      <c r="F865" s="158" t="s">
        <v>635</v>
      </c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</row>
    <row r="866">
      <c r="A866" s="141">
        <v>46007.0</v>
      </c>
      <c r="B866" s="171" t="s">
        <v>583</v>
      </c>
      <c r="C866" s="88"/>
      <c r="D866" s="82">
        <v>3000.0</v>
      </c>
      <c r="E866" s="88">
        <f t="shared" si="29"/>
        <v>39000</v>
      </c>
      <c r="F866" s="88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</row>
    <row r="867">
      <c r="A867" s="141">
        <v>46007.0</v>
      </c>
      <c r="B867" s="184" t="s">
        <v>58</v>
      </c>
      <c r="C867" s="88"/>
      <c r="D867" s="82">
        <v>3000.0</v>
      </c>
      <c r="E867" s="88">
        <f t="shared" si="29"/>
        <v>42000</v>
      </c>
      <c r="F867" s="82" t="s">
        <v>636</v>
      </c>
      <c r="G867" s="40"/>
      <c r="H867" s="40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</row>
    <row r="868">
      <c r="A868" s="141">
        <v>46001.0</v>
      </c>
      <c r="B868" s="183" t="s">
        <v>50</v>
      </c>
      <c r="C868" s="88"/>
      <c r="D868" s="82">
        <v>3000.0</v>
      </c>
      <c r="E868" s="88">
        <f t="shared" si="29"/>
        <v>45000</v>
      </c>
      <c r="F868" s="82" t="s">
        <v>39</v>
      </c>
      <c r="G868" s="40"/>
      <c r="H868" s="40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</row>
    <row r="869">
      <c r="A869" s="141">
        <v>46009.0</v>
      </c>
      <c r="B869" s="183" t="s">
        <v>190</v>
      </c>
      <c r="C869" s="88"/>
      <c r="D869" s="82">
        <v>3000.0</v>
      </c>
      <c r="E869" s="88">
        <f t="shared" si="29"/>
        <v>48000</v>
      </c>
      <c r="F869" s="88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</row>
    <row r="870">
      <c r="A870" s="141">
        <v>46018.0</v>
      </c>
      <c r="B870" s="183" t="s">
        <v>46</v>
      </c>
      <c r="C870" s="88"/>
      <c r="D870" s="82">
        <v>3000.0</v>
      </c>
      <c r="E870" s="88">
        <f t="shared" si="29"/>
        <v>51000</v>
      </c>
      <c r="F870" s="82" t="s">
        <v>39</v>
      </c>
      <c r="G870" s="40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</row>
    <row r="871">
      <c r="A871" s="141">
        <v>46018.0</v>
      </c>
      <c r="B871" s="183" t="s">
        <v>53</v>
      </c>
      <c r="C871" s="88"/>
      <c r="D871" s="82">
        <v>3000.0</v>
      </c>
      <c r="E871" s="88">
        <f t="shared" si="29"/>
        <v>54000</v>
      </c>
      <c r="F871" s="82" t="s">
        <v>39</v>
      </c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</row>
    <row r="872">
      <c r="A872" s="141">
        <v>46019.0</v>
      </c>
      <c r="B872" s="186" t="s">
        <v>601</v>
      </c>
      <c r="C872" s="88"/>
      <c r="D872" s="82">
        <v>3000.0</v>
      </c>
      <c r="E872" s="88">
        <f t="shared" si="29"/>
        <v>57000</v>
      </c>
      <c r="F872" s="82" t="s">
        <v>39</v>
      </c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</row>
    <row r="873">
      <c r="A873" s="141">
        <v>46019.0</v>
      </c>
      <c r="B873" s="186" t="s">
        <v>614</v>
      </c>
      <c r="C873" s="88"/>
      <c r="D873" s="82">
        <v>3000.0</v>
      </c>
      <c r="E873" s="88">
        <f t="shared" si="29"/>
        <v>60000</v>
      </c>
      <c r="F873" s="82" t="s">
        <v>39</v>
      </c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</row>
    <row r="874">
      <c r="A874" s="141">
        <v>46019.0</v>
      </c>
      <c r="B874" s="183" t="s">
        <v>52</v>
      </c>
      <c r="C874" s="88"/>
      <c r="D874" s="82">
        <v>6000.0</v>
      </c>
      <c r="E874" s="88">
        <f t="shared" si="29"/>
        <v>66000</v>
      </c>
      <c r="F874" s="82" t="s">
        <v>637</v>
      </c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</row>
    <row r="875">
      <c r="A875" s="141">
        <v>46023.0</v>
      </c>
      <c r="B875" s="186" t="s">
        <v>59</v>
      </c>
      <c r="C875" s="88"/>
      <c r="D875" s="82">
        <v>6500.0</v>
      </c>
      <c r="E875" s="88">
        <f t="shared" si="29"/>
        <v>72500</v>
      </c>
      <c r="F875" s="82" t="s">
        <v>638</v>
      </c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</row>
    <row r="876">
      <c r="A876" s="141">
        <v>46023.0</v>
      </c>
      <c r="B876" s="82" t="s">
        <v>639</v>
      </c>
      <c r="C876" s="82">
        <v>2970.0</v>
      </c>
      <c r="D876" s="82">
        <v>0.0</v>
      </c>
      <c r="E876" s="88">
        <f t="shared" si="29"/>
        <v>69530</v>
      </c>
      <c r="F876" s="88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</row>
    <row r="877">
      <c r="A877" s="141">
        <v>46023.0</v>
      </c>
      <c r="B877" s="82" t="s">
        <v>640</v>
      </c>
      <c r="C877" s="82">
        <v>1100.0</v>
      </c>
      <c r="D877" s="82">
        <v>0.0</v>
      </c>
      <c r="E877" s="88">
        <f t="shared" si="29"/>
        <v>68430</v>
      </c>
      <c r="F877" s="88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</row>
    <row r="878">
      <c r="A878" s="141">
        <v>46023.0</v>
      </c>
      <c r="B878" s="165" t="s">
        <v>402</v>
      </c>
      <c r="C878" s="186">
        <v>1600.0</v>
      </c>
      <c r="D878" s="82">
        <v>0.0</v>
      </c>
      <c r="E878" s="88">
        <f t="shared" si="29"/>
        <v>66830</v>
      </c>
      <c r="F878" s="88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</row>
    <row r="879">
      <c r="A879" s="141">
        <v>46023.0</v>
      </c>
      <c r="B879" s="186" t="s">
        <v>641</v>
      </c>
      <c r="C879" s="186">
        <v>1000.0</v>
      </c>
      <c r="D879" s="186">
        <v>0.0</v>
      </c>
      <c r="E879" s="88">
        <f t="shared" si="29"/>
        <v>65830</v>
      </c>
      <c r="F879" s="195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</row>
    <row r="880">
      <c r="A880" s="141">
        <v>46023.0</v>
      </c>
      <c r="B880" s="82" t="s">
        <v>642</v>
      </c>
      <c r="C880" s="82">
        <v>3500.0</v>
      </c>
      <c r="D880" s="186">
        <v>0.0</v>
      </c>
      <c r="E880" s="88">
        <f t="shared" si="29"/>
        <v>62330</v>
      </c>
      <c r="F880" s="195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</row>
    <row r="881">
      <c r="A881" s="141">
        <v>46023.0</v>
      </c>
      <c r="B881" s="82" t="s">
        <v>643</v>
      </c>
      <c r="C881" s="82">
        <v>1000.0</v>
      </c>
      <c r="D881" s="82">
        <v>0.0</v>
      </c>
      <c r="E881" s="88">
        <f t="shared" si="29"/>
        <v>61330</v>
      </c>
      <c r="F881" s="88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</row>
    <row r="882">
      <c r="A882" s="141">
        <v>46023.0</v>
      </c>
      <c r="B882" s="186" t="s">
        <v>644</v>
      </c>
      <c r="C882" s="186">
        <v>2000.0</v>
      </c>
      <c r="D882" s="82">
        <v>0.0</v>
      </c>
      <c r="E882" s="88">
        <f t="shared" si="29"/>
        <v>59330</v>
      </c>
      <c r="F882" s="88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</row>
    <row r="883">
      <c r="A883" s="141">
        <v>46023.0</v>
      </c>
      <c r="B883" s="82" t="s">
        <v>645</v>
      </c>
      <c r="C883" s="186">
        <v>8400.0</v>
      </c>
      <c r="D883" s="82">
        <v>0.0</v>
      </c>
      <c r="E883" s="122">
        <f t="shared" si="29"/>
        <v>50930</v>
      </c>
      <c r="F883" s="88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169"/>
      <c r="AN885" s="169"/>
      <c r="AO885" s="169"/>
      <c r="AP885" s="169"/>
      <c r="AQ885" s="169"/>
    </row>
    <row r="886">
      <c r="A886" s="141">
        <v>46023.0</v>
      </c>
      <c r="B886" s="183" t="s">
        <v>54</v>
      </c>
      <c r="C886" s="88"/>
      <c r="D886" s="196">
        <v>3000.0</v>
      </c>
      <c r="E886" s="82">
        <v>3000.0</v>
      </c>
      <c r="F886" s="82" t="s">
        <v>39</v>
      </c>
      <c r="G886" s="174"/>
      <c r="H886" s="174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</row>
    <row r="887">
      <c r="A887" s="141">
        <v>46023.0</v>
      </c>
      <c r="B887" s="183" t="s">
        <v>55</v>
      </c>
      <c r="C887" s="88"/>
      <c r="D887" s="196">
        <v>3000.0</v>
      </c>
      <c r="E887" s="88">
        <f t="shared" ref="E887:E915" si="30">(E886+D887)-C887</f>
        <v>6000</v>
      </c>
      <c r="F887" s="82" t="s">
        <v>39</v>
      </c>
      <c r="G887" s="44"/>
      <c r="H887" s="46" t="s">
        <v>608</v>
      </c>
      <c r="I887" s="40" t="s">
        <v>609</v>
      </c>
      <c r="J887" s="40" t="s">
        <v>84</v>
      </c>
      <c r="K887" s="40" t="s">
        <v>93</v>
      </c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</row>
    <row r="888">
      <c r="A888" s="141">
        <v>46023.0</v>
      </c>
      <c r="B888" s="197" t="s">
        <v>616</v>
      </c>
      <c r="C888" s="88"/>
      <c r="D888" s="198">
        <v>3000.0</v>
      </c>
      <c r="E888" s="88">
        <f t="shared" si="30"/>
        <v>9000</v>
      </c>
      <c r="F888" s="82" t="s">
        <v>646</v>
      </c>
      <c r="G888" s="40"/>
      <c r="H888" s="40" t="s">
        <v>626</v>
      </c>
      <c r="I888" s="41"/>
      <c r="J888" s="41">
        <f>sum(D886:D915)</f>
        <v>112000</v>
      </c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</row>
    <row r="889">
      <c r="A889" s="141">
        <v>46024.0</v>
      </c>
      <c r="B889" s="183" t="s">
        <v>40</v>
      </c>
      <c r="C889" s="88"/>
      <c r="D889" s="198">
        <v>3000.0</v>
      </c>
      <c r="E889" s="88">
        <f t="shared" si="30"/>
        <v>12000</v>
      </c>
      <c r="F889" s="82" t="s">
        <v>646</v>
      </c>
      <c r="G889" s="174"/>
      <c r="H889" s="48" t="s">
        <v>12</v>
      </c>
      <c r="I889" s="41">
        <f>3000*5</f>
        <v>15000</v>
      </c>
      <c r="J889" s="41"/>
      <c r="K889" s="40">
        <v>5.0</v>
      </c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</row>
    <row r="890">
      <c r="A890" s="141">
        <v>46026.0</v>
      </c>
      <c r="B890" s="183" t="s">
        <v>361</v>
      </c>
      <c r="C890" s="88"/>
      <c r="D890" s="198">
        <v>3000.0</v>
      </c>
      <c r="E890" s="88">
        <f t="shared" si="30"/>
        <v>15000</v>
      </c>
      <c r="F890" s="82" t="s">
        <v>646</v>
      </c>
      <c r="G890" s="40"/>
      <c r="H890" s="62" t="s">
        <v>634</v>
      </c>
      <c r="I890" s="41">
        <f>3500*18</f>
        <v>63000</v>
      </c>
      <c r="J890" s="41"/>
      <c r="K890" s="40">
        <v>18.0</v>
      </c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</row>
    <row r="891">
      <c r="A891" s="141">
        <v>46026.0</v>
      </c>
      <c r="B891" s="194" t="s">
        <v>368</v>
      </c>
      <c r="C891" s="88"/>
      <c r="D891" s="196">
        <v>3500.0</v>
      </c>
      <c r="E891" s="88">
        <f t="shared" si="30"/>
        <v>18500</v>
      </c>
      <c r="F891" s="82" t="s">
        <v>647</v>
      </c>
      <c r="H891" s="199" t="s">
        <v>14</v>
      </c>
      <c r="I891" s="41">
        <f>3500*3</f>
        <v>10500</v>
      </c>
      <c r="J891" s="41"/>
      <c r="K891" s="40">
        <v>3.0</v>
      </c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</row>
    <row r="892">
      <c r="A892" s="141">
        <v>46026.0</v>
      </c>
      <c r="B892" s="197" t="s">
        <v>604</v>
      </c>
      <c r="C892" s="88"/>
      <c r="D892" s="196">
        <v>3500.0</v>
      </c>
      <c r="E892" s="88">
        <f t="shared" si="30"/>
        <v>22000</v>
      </c>
      <c r="F892" s="88"/>
      <c r="G892" s="40"/>
      <c r="H892" s="40" t="s">
        <v>260</v>
      </c>
      <c r="I892" s="41">
        <f>D893+D907+D915</f>
        <v>28000</v>
      </c>
      <c r="J892" s="41"/>
      <c r="K892" s="40">
        <v>3.0</v>
      </c>
      <c r="L892" s="40" t="s">
        <v>648</v>
      </c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</row>
    <row r="893">
      <c r="A893" s="141">
        <v>46026.0</v>
      </c>
      <c r="B893" s="82" t="s">
        <v>649</v>
      </c>
      <c r="C893" s="88"/>
      <c r="D893" s="200">
        <v>10500.0</v>
      </c>
      <c r="E893" s="88">
        <f t="shared" si="30"/>
        <v>32500</v>
      </c>
      <c r="F893" s="201" t="s">
        <v>650</v>
      </c>
      <c r="H893" s="182" t="s">
        <v>15</v>
      </c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</row>
    <row r="894">
      <c r="A894" s="141">
        <v>46028.0</v>
      </c>
      <c r="B894" s="183" t="s">
        <v>43</v>
      </c>
      <c r="C894" s="88"/>
      <c r="D894" s="196">
        <v>3500.0</v>
      </c>
      <c r="E894" s="88">
        <f t="shared" si="30"/>
        <v>36000</v>
      </c>
      <c r="F894" s="88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</row>
    <row r="895">
      <c r="A895" s="172">
        <v>46028.0</v>
      </c>
      <c r="B895" s="187" t="s">
        <v>61</v>
      </c>
      <c r="C895" s="173"/>
      <c r="D895" s="202">
        <v>3500.0</v>
      </c>
      <c r="E895" s="173">
        <f t="shared" si="30"/>
        <v>39500</v>
      </c>
      <c r="F895" s="82" t="s">
        <v>651</v>
      </c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</row>
    <row r="896">
      <c r="A896" s="141">
        <v>46028.0</v>
      </c>
      <c r="B896" s="183" t="s">
        <v>50</v>
      </c>
      <c r="C896" s="88"/>
      <c r="D896" s="196">
        <v>3500.0</v>
      </c>
      <c r="E896" s="88">
        <f t="shared" si="30"/>
        <v>43000</v>
      </c>
      <c r="F896" s="82" t="s">
        <v>647</v>
      </c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</row>
    <row r="897">
      <c r="A897" s="141">
        <v>46028.0</v>
      </c>
      <c r="B897" s="183" t="s">
        <v>41</v>
      </c>
      <c r="C897" s="88"/>
      <c r="D897" s="196">
        <v>3500.0</v>
      </c>
      <c r="E897" s="88">
        <f t="shared" si="30"/>
        <v>46500</v>
      </c>
      <c r="F897" s="88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</row>
    <row r="898">
      <c r="A898" s="141">
        <v>46032.0</v>
      </c>
      <c r="B898" s="183" t="s">
        <v>222</v>
      </c>
      <c r="C898" s="88"/>
      <c r="D898" s="196">
        <v>3500.0</v>
      </c>
      <c r="E898" s="88">
        <f t="shared" si="30"/>
        <v>50000</v>
      </c>
      <c r="F898" s="88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</row>
    <row r="899">
      <c r="A899" s="141">
        <v>46034.0</v>
      </c>
      <c r="B899" s="183" t="s">
        <v>48</v>
      </c>
      <c r="C899" s="88"/>
      <c r="D899" s="198">
        <v>3000.0</v>
      </c>
      <c r="E899" s="88">
        <f t="shared" si="30"/>
        <v>53000</v>
      </c>
      <c r="F899" s="82" t="s">
        <v>652</v>
      </c>
      <c r="G899" s="40"/>
      <c r="H899" s="40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</row>
    <row r="900">
      <c r="A900" s="141">
        <v>46038.0</v>
      </c>
      <c r="B900" s="184" t="s">
        <v>60</v>
      </c>
      <c r="C900" s="88"/>
      <c r="D900" s="196">
        <v>3500.0</v>
      </c>
      <c r="E900" s="88">
        <f t="shared" si="30"/>
        <v>56500</v>
      </c>
      <c r="F900" s="88"/>
      <c r="G900" s="40"/>
      <c r="H900" s="40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</row>
    <row r="901">
      <c r="A901" s="141">
        <v>46039.0</v>
      </c>
      <c r="B901" s="183" t="s">
        <v>57</v>
      </c>
      <c r="C901" s="88"/>
      <c r="D901" s="196">
        <v>3500.0</v>
      </c>
      <c r="E901" s="88">
        <f t="shared" si="30"/>
        <v>60000</v>
      </c>
      <c r="F901" s="88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</row>
    <row r="902">
      <c r="A902" s="141">
        <v>46039.0</v>
      </c>
      <c r="B902" s="184" t="s">
        <v>58</v>
      </c>
      <c r="C902" s="88"/>
      <c r="D902" s="202">
        <v>3500.0</v>
      </c>
      <c r="E902" s="88">
        <f t="shared" si="30"/>
        <v>63500</v>
      </c>
      <c r="F902" s="82" t="s">
        <v>653</v>
      </c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</row>
    <row r="903">
      <c r="A903" s="141">
        <v>46039.0</v>
      </c>
      <c r="B903" s="194" t="s">
        <v>51</v>
      </c>
      <c r="C903" s="88"/>
      <c r="D903" s="196">
        <v>3500.0</v>
      </c>
      <c r="E903" s="88">
        <f t="shared" si="30"/>
        <v>67000</v>
      </c>
      <c r="F903" s="88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</row>
    <row r="904">
      <c r="A904" s="141">
        <v>46039.0</v>
      </c>
      <c r="B904" s="183" t="s">
        <v>52</v>
      </c>
      <c r="C904" s="88"/>
      <c r="D904" s="196">
        <v>3500.0</v>
      </c>
      <c r="E904" s="88">
        <f t="shared" si="30"/>
        <v>70500</v>
      </c>
      <c r="F904" s="88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</row>
    <row r="905">
      <c r="A905" s="141">
        <v>46039.0</v>
      </c>
      <c r="B905" s="183" t="s">
        <v>46</v>
      </c>
      <c r="C905" s="88"/>
      <c r="D905" s="196">
        <v>3500.0</v>
      </c>
      <c r="E905" s="88">
        <f t="shared" si="30"/>
        <v>74000</v>
      </c>
      <c r="F905" s="88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</row>
    <row r="906">
      <c r="A906" s="141">
        <v>46039.0</v>
      </c>
      <c r="B906" s="183" t="s">
        <v>40</v>
      </c>
      <c r="C906" s="88"/>
      <c r="D906" s="196">
        <v>3500.0</v>
      </c>
      <c r="E906" s="88">
        <f t="shared" si="30"/>
        <v>77500</v>
      </c>
      <c r="F906" s="88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</row>
    <row r="907">
      <c r="A907" s="141">
        <v>46042.0</v>
      </c>
      <c r="B907" s="184" t="s">
        <v>63</v>
      </c>
      <c r="C907" s="88"/>
      <c r="D907" s="82">
        <v>7000.0</v>
      </c>
      <c r="E907" s="88">
        <f t="shared" si="30"/>
        <v>84500</v>
      </c>
      <c r="F907" s="82" t="s">
        <v>654</v>
      </c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</row>
    <row r="908">
      <c r="A908" s="141">
        <v>46043.0</v>
      </c>
      <c r="B908" s="183" t="s">
        <v>406</v>
      </c>
      <c r="C908" s="88"/>
      <c r="D908" s="203">
        <v>3500.0</v>
      </c>
      <c r="E908" s="88">
        <f t="shared" si="30"/>
        <v>88000</v>
      </c>
      <c r="F908" s="88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</row>
    <row r="909">
      <c r="A909" s="141">
        <v>46043.0</v>
      </c>
      <c r="B909" s="165" t="s">
        <v>402</v>
      </c>
      <c r="C909" s="82">
        <v>1500.0</v>
      </c>
      <c r="D909" s="82">
        <v>0.0</v>
      </c>
      <c r="E909" s="88">
        <f t="shared" si="30"/>
        <v>86500</v>
      </c>
      <c r="F909" s="88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</row>
    <row r="910">
      <c r="A910" s="141">
        <v>46043.0</v>
      </c>
      <c r="B910" s="82" t="s">
        <v>655</v>
      </c>
      <c r="C910" s="82">
        <v>470.0</v>
      </c>
      <c r="D910" s="82">
        <v>0.0</v>
      </c>
      <c r="E910" s="88">
        <f t="shared" si="30"/>
        <v>86030</v>
      </c>
      <c r="F910" s="88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</row>
    <row r="911">
      <c r="A911" s="141">
        <v>46043.0</v>
      </c>
      <c r="B911" s="40" t="s">
        <v>656</v>
      </c>
      <c r="C911" s="40">
        <v>1300.0</v>
      </c>
      <c r="D911" s="40">
        <v>0.0</v>
      </c>
      <c r="E911" s="88">
        <f t="shared" si="30"/>
        <v>84730</v>
      </c>
      <c r="F911" s="88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</row>
    <row r="912">
      <c r="A912" s="143">
        <v>46050.0</v>
      </c>
      <c r="B912" s="183" t="s">
        <v>190</v>
      </c>
      <c r="C912" s="88"/>
      <c r="D912" s="121">
        <v>3500.0</v>
      </c>
      <c r="E912" s="88">
        <f t="shared" si="30"/>
        <v>88230</v>
      </c>
      <c r="F912" s="88"/>
      <c r="G912" s="40"/>
      <c r="H912" s="40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</row>
    <row r="913">
      <c r="A913" s="141">
        <v>46052.0</v>
      </c>
      <c r="B913" s="183" t="s">
        <v>126</v>
      </c>
      <c r="C913" s="88"/>
      <c r="D913" s="121">
        <v>6500.0</v>
      </c>
      <c r="E913" s="88">
        <f t="shared" si="30"/>
        <v>94730</v>
      </c>
      <c r="F913" s="82" t="s">
        <v>657</v>
      </c>
      <c r="G913" s="40"/>
      <c r="H913" s="40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</row>
    <row r="914">
      <c r="A914" s="141">
        <v>46052.0</v>
      </c>
      <c r="B914" s="186" t="s">
        <v>601</v>
      </c>
      <c r="C914" s="88"/>
      <c r="D914" s="121">
        <v>3500.0</v>
      </c>
      <c r="E914" s="88">
        <f t="shared" si="30"/>
        <v>98230</v>
      </c>
      <c r="F914" s="88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</row>
    <row r="915">
      <c r="A915" s="204">
        <v>46052.0</v>
      </c>
      <c r="B915" s="194" t="s">
        <v>45</v>
      </c>
      <c r="C915" s="104"/>
      <c r="D915" s="205">
        <v>10500.0</v>
      </c>
      <c r="E915" s="104">
        <f t="shared" si="30"/>
        <v>108730</v>
      </c>
      <c r="F915" s="70" t="s">
        <v>658</v>
      </c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</row>
    <row r="916">
      <c r="A916" s="141"/>
      <c r="B916" s="183"/>
      <c r="C916" s="88"/>
      <c r="D916" s="82"/>
      <c r="E916" s="88"/>
      <c r="F916" s="82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</row>
    <row r="917">
      <c r="A917" s="206"/>
      <c r="B917" s="207"/>
      <c r="C917" s="154"/>
      <c r="D917" s="208"/>
      <c r="E917" s="154"/>
      <c r="F917" s="208"/>
      <c r="G917" s="209"/>
      <c r="H917" s="20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  <c r="AD917" s="169"/>
      <c r="AE917" s="169"/>
      <c r="AF917" s="169"/>
      <c r="AG917" s="169"/>
      <c r="AH917" s="169"/>
      <c r="AI917" s="169"/>
      <c r="AJ917" s="169"/>
      <c r="AK917" s="169"/>
      <c r="AL917" s="169"/>
      <c r="AM917" s="169"/>
      <c r="AN917" s="169"/>
      <c r="AO917" s="169"/>
      <c r="AP917" s="169"/>
      <c r="AQ917" s="169"/>
    </row>
    <row r="918">
      <c r="A918" s="141"/>
      <c r="B918" s="183"/>
      <c r="C918" s="88"/>
      <c r="D918" s="82"/>
      <c r="E918" s="88"/>
      <c r="F918" s="9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</row>
    <row r="919">
      <c r="A919" s="141">
        <v>46054.0</v>
      </c>
      <c r="B919" s="183" t="s">
        <v>54</v>
      </c>
      <c r="C919" s="88"/>
      <c r="D919" s="70">
        <v>3500.0</v>
      </c>
      <c r="E919" s="82">
        <v>3500.0</v>
      </c>
      <c r="F919" s="82" t="s">
        <v>97</v>
      </c>
      <c r="H919" s="46" t="s">
        <v>608</v>
      </c>
      <c r="I919" s="40" t="s">
        <v>609</v>
      </c>
      <c r="J919" s="40" t="s">
        <v>84</v>
      </c>
      <c r="K919" s="40" t="s">
        <v>93</v>
      </c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</row>
    <row r="920">
      <c r="A920" s="141">
        <v>46054.0</v>
      </c>
      <c r="B920" s="183" t="s">
        <v>55</v>
      </c>
      <c r="C920" s="88"/>
      <c r="D920" s="70">
        <v>3500.0</v>
      </c>
      <c r="E920" s="88">
        <f t="shared" ref="E920:E938" si="31">(E919+D920)-C920</f>
        <v>7000</v>
      </c>
      <c r="F920" s="82" t="s">
        <v>97</v>
      </c>
      <c r="G920" s="40"/>
      <c r="H920" s="40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</row>
    <row r="921">
      <c r="A921" s="141">
        <v>46056.0</v>
      </c>
      <c r="B921" s="183" t="s">
        <v>50</v>
      </c>
      <c r="C921" s="88"/>
      <c r="D921" s="70">
        <v>3500.0</v>
      </c>
      <c r="E921" s="88">
        <f t="shared" si="31"/>
        <v>10500</v>
      </c>
      <c r="F921" s="82" t="s">
        <v>97</v>
      </c>
      <c r="G921" s="210"/>
      <c r="H921" s="182" t="s">
        <v>626</v>
      </c>
      <c r="J921" s="41">
        <f>sum(D919:D937)</f>
        <v>77000</v>
      </c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</row>
    <row r="922">
      <c r="A922" s="141">
        <v>46056.0</v>
      </c>
      <c r="B922" s="183" t="s">
        <v>43</v>
      </c>
      <c r="C922" s="88"/>
      <c r="D922" s="70">
        <v>3500.0</v>
      </c>
      <c r="E922" s="88">
        <f t="shared" si="31"/>
        <v>14000</v>
      </c>
      <c r="F922" s="88"/>
      <c r="G922" s="40"/>
      <c r="H922" s="182" t="s">
        <v>659</v>
      </c>
      <c r="I922" s="55">
        <f>3500*3</f>
        <v>10500</v>
      </c>
      <c r="J922" s="41"/>
      <c r="K922" s="40" t="s">
        <v>660</v>
      </c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</row>
    <row r="923">
      <c r="A923" s="141">
        <v>46058.0</v>
      </c>
      <c r="B923" s="184" t="s">
        <v>60</v>
      </c>
      <c r="C923" s="88"/>
      <c r="D923" s="70">
        <v>3500.0</v>
      </c>
      <c r="E923" s="88">
        <f t="shared" si="31"/>
        <v>17500</v>
      </c>
      <c r="F923" s="88"/>
      <c r="H923" s="182" t="s">
        <v>661</v>
      </c>
      <c r="I923" s="211">
        <f>17*3500</f>
        <v>59500</v>
      </c>
      <c r="J923" s="41"/>
      <c r="K923" s="40" t="s">
        <v>662</v>
      </c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</row>
    <row r="924">
      <c r="A924" s="141">
        <v>42405.0</v>
      </c>
      <c r="B924" s="183" t="s">
        <v>53</v>
      </c>
      <c r="C924" s="88"/>
      <c r="D924" s="70">
        <v>3000.0</v>
      </c>
      <c r="E924" s="88">
        <f t="shared" si="31"/>
        <v>20500</v>
      </c>
      <c r="F924" s="82" t="s">
        <v>663</v>
      </c>
      <c r="H924" s="182" t="s">
        <v>664</v>
      </c>
      <c r="I924" s="212">
        <f>3500*2</f>
        <v>7000</v>
      </c>
      <c r="J924" s="41"/>
      <c r="K924" s="40" t="s">
        <v>665</v>
      </c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</row>
    <row r="925">
      <c r="A925" s="141">
        <v>46061.0</v>
      </c>
      <c r="B925" s="183" t="s">
        <v>48</v>
      </c>
      <c r="C925" s="88"/>
      <c r="D925" s="70">
        <v>7000.0</v>
      </c>
      <c r="E925" s="88">
        <f t="shared" si="31"/>
        <v>27500</v>
      </c>
      <c r="F925" s="82" t="s">
        <v>666</v>
      </c>
      <c r="I925" s="55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</row>
    <row r="926">
      <c r="A926" s="141">
        <v>46063.0</v>
      </c>
      <c r="B926" s="183" t="s">
        <v>40</v>
      </c>
      <c r="C926" s="88"/>
      <c r="D926" s="70">
        <v>3500.0</v>
      </c>
      <c r="E926" s="88">
        <f t="shared" si="31"/>
        <v>31000</v>
      </c>
      <c r="F926" s="88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</row>
    <row r="927">
      <c r="A927" s="172">
        <v>46063.0</v>
      </c>
      <c r="B927" s="187" t="s">
        <v>61</v>
      </c>
      <c r="C927" s="173"/>
      <c r="D927" s="213">
        <v>3500.0</v>
      </c>
      <c r="E927" s="173">
        <f t="shared" si="31"/>
        <v>34500</v>
      </c>
      <c r="F927" s="82" t="s">
        <v>653</v>
      </c>
      <c r="G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</row>
    <row r="928">
      <c r="A928" s="141">
        <v>46063.0</v>
      </c>
      <c r="B928" s="183" t="s">
        <v>406</v>
      </c>
      <c r="C928" s="88"/>
      <c r="D928" s="70">
        <v>3500.0</v>
      </c>
      <c r="E928" s="88">
        <f t="shared" si="31"/>
        <v>38000</v>
      </c>
      <c r="F928" s="88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</row>
    <row r="929">
      <c r="A929" s="141">
        <v>46063.0</v>
      </c>
      <c r="B929" s="184" t="s">
        <v>58</v>
      </c>
      <c r="C929" s="88"/>
      <c r="D929" s="213">
        <v>3500.0</v>
      </c>
      <c r="E929" s="88">
        <f t="shared" si="31"/>
        <v>41500</v>
      </c>
      <c r="F929" s="82" t="s">
        <v>667</v>
      </c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</row>
    <row r="930">
      <c r="A930" s="141">
        <v>46063.0</v>
      </c>
      <c r="B930" s="197" t="s">
        <v>604</v>
      </c>
      <c r="C930" s="88"/>
      <c r="D930" s="70">
        <v>3500.0</v>
      </c>
      <c r="E930" s="88">
        <f t="shared" si="31"/>
        <v>45000</v>
      </c>
      <c r="F930" s="88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</row>
    <row r="931">
      <c r="A931" s="141">
        <v>46068.0</v>
      </c>
      <c r="B931" s="183" t="s">
        <v>41</v>
      </c>
      <c r="C931" s="88"/>
      <c r="D931" s="70">
        <v>3500.0</v>
      </c>
      <c r="E931" s="88">
        <f t="shared" si="31"/>
        <v>48500</v>
      </c>
      <c r="F931" s="88"/>
      <c r="G931" s="40"/>
      <c r="H931" s="40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</row>
    <row r="932">
      <c r="A932" s="141">
        <v>46068.0</v>
      </c>
      <c r="B932" s="184" t="s">
        <v>62</v>
      </c>
      <c r="C932" s="88"/>
      <c r="D932" s="70">
        <v>7000.0</v>
      </c>
      <c r="E932" s="88">
        <f t="shared" si="31"/>
        <v>55500</v>
      </c>
      <c r="F932" s="82" t="s">
        <v>668</v>
      </c>
      <c r="G932" s="40"/>
      <c r="H932" s="40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</row>
    <row r="933">
      <c r="A933" s="141">
        <v>46076.0</v>
      </c>
      <c r="B933" s="183" t="s">
        <v>53</v>
      </c>
      <c r="C933" s="88"/>
      <c r="D933" s="70">
        <v>4000.0</v>
      </c>
      <c r="E933" s="88">
        <f t="shared" si="31"/>
        <v>59500</v>
      </c>
      <c r="F933" s="82" t="s">
        <v>97</v>
      </c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</row>
    <row r="934">
      <c r="A934" s="141">
        <v>46077.0</v>
      </c>
      <c r="B934" s="183" t="s">
        <v>57</v>
      </c>
      <c r="C934" s="88"/>
      <c r="D934" s="70">
        <v>3500.0</v>
      </c>
      <c r="E934" s="88">
        <f t="shared" si="31"/>
        <v>63000</v>
      </c>
      <c r="F934" s="82" t="s">
        <v>97</v>
      </c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</row>
    <row r="935">
      <c r="A935" s="141">
        <v>46079.0</v>
      </c>
      <c r="B935" s="183" t="s">
        <v>361</v>
      </c>
      <c r="C935" s="88"/>
      <c r="D935" s="70">
        <v>7000.0</v>
      </c>
      <c r="E935" s="88">
        <f t="shared" si="31"/>
        <v>70000</v>
      </c>
      <c r="F935" s="82" t="s">
        <v>97</v>
      </c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</row>
    <row r="936">
      <c r="A936" s="141">
        <v>46078.0</v>
      </c>
      <c r="B936" s="183" t="s">
        <v>126</v>
      </c>
      <c r="C936" s="88"/>
      <c r="D936" s="70">
        <v>3500.0</v>
      </c>
      <c r="E936" s="88">
        <f t="shared" si="31"/>
        <v>73500</v>
      </c>
      <c r="F936" s="88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</row>
    <row r="937">
      <c r="A937" s="141">
        <v>46080.0</v>
      </c>
      <c r="B937" s="194" t="s">
        <v>51</v>
      </c>
      <c r="C937" s="88"/>
      <c r="D937" s="70">
        <v>3500.0</v>
      </c>
      <c r="E937" s="88">
        <f t="shared" si="31"/>
        <v>77000</v>
      </c>
      <c r="F937" s="88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</row>
    <row r="938">
      <c r="A938" s="41"/>
      <c r="B938" s="44" t="s">
        <v>402</v>
      </c>
      <c r="C938" s="40">
        <v>1700.0</v>
      </c>
      <c r="D938" s="54">
        <v>0.0</v>
      </c>
      <c r="E938" s="88">
        <f t="shared" si="31"/>
        <v>75300</v>
      </c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</row>
    <row r="942">
      <c r="A942" s="141">
        <v>46082.0</v>
      </c>
      <c r="B942" s="183" t="s">
        <v>54</v>
      </c>
      <c r="C942" s="88"/>
      <c r="D942" s="82">
        <v>3500.0</v>
      </c>
      <c r="E942" s="82">
        <v>3500.0</v>
      </c>
      <c r="F942" s="82" t="s">
        <v>97</v>
      </c>
      <c r="G942" s="46" t="s">
        <v>608</v>
      </c>
      <c r="H942" s="40" t="s">
        <v>609</v>
      </c>
      <c r="I942" s="40" t="s">
        <v>84</v>
      </c>
      <c r="J942" s="40" t="s">
        <v>93</v>
      </c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</row>
    <row r="943">
      <c r="A943" s="141">
        <v>46082.0</v>
      </c>
      <c r="B943" s="183" t="s">
        <v>55</v>
      </c>
      <c r="C943" s="88"/>
      <c r="D943" s="82">
        <v>3500.0</v>
      </c>
      <c r="E943" s="88">
        <f t="shared" ref="E943:E954" si="32">(E942+D943)-C943</f>
        <v>7000</v>
      </c>
      <c r="F943" s="82" t="s">
        <v>97</v>
      </c>
      <c r="G943" s="40"/>
      <c r="H943" s="40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</row>
    <row r="944">
      <c r="A944" s="141">
        <v>46082.0</v>
      </c>
      <c r="B944" s="183" t="s">
        <v>53</v>
      </c>
      <c r="C944" s="88"/>
      <c r="D944" s="82">
        <v>3500.0</v>
      </c>
      <c r="E944" s="88">
        <f t="shared" si="32"/>
        <v>10500</v>
      </c>
      <c r="F944" s="82" t="s">
        <v>97</v>
      </c>
      <c r="G944" s="40" t="s">
        <v>626</v>
      </c>
      <c r="I944" s="40">
        <f>sum(D942:D965)</f>
        <v>84000</v>
      </c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</row>
    <row r="945">
      <c r="A945" s="141">
        <v>46084.0</v>
      </c>
      <c r="B945" s="183" t="s">
        <v>43</v>
      </c>
      <c r="C945" s="88"/>
      <c r="D945" s="82">
        <v>3500.0</v>
      </c>
      <c r="E945" s="88">
        <f t="shared" si="32"/>
        <v>14000</v>
      </c>
      <c r="F945" s="88"/>
      <c r="G945" s="40" t="s">
        <v>15</v>
      </c>
      <c r="H945" s="41">
        <f>19*3500</f>
        <v>66500</v>
      </c>
      <c r="I945" s="41"/>
      <c r="J945" s="40" t="s">
        <v>669</v>
      </c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</row>
    <row r="946">
      <c r="A946" s="214">
        <v>46084.0</v>
      </c>
      <c r="B946" s="215" t="s">
        <v>61</v>
      </c>
      <c r="C946" s="216"/>
      <c r="D946" s="112">
        <v>3500.0</v>
      </c>
      <c r="E946" s="216">
        <f t="shared" si="32"/>
        <v>17500</v>
      </c>
      <c r="F946" s="112" t="s">
        <v>667</v>
      </c>
      <c r="G946" s="48" t="s">
        <v>659</v>
      </c>
      <c r="H946" s="217">
        <f>D948</f>
        <v>3500</v>
      </c>
      <c r="I946" s="217"/>
      <c r="J946" s="48" t="s">
        <v>670</v>
      </c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17"/>
      <c r="AD946" s="217"/>
      <c r="AE946" s="217"/>
      <c r="AF946" s="217"/>
      <c r="AG946" s="217"/>
      <c r="AH946" s="217"/>
      <c r="AI946" s="217"/>
      <c r="AJ946" s="217"/>
      <c r="AK946" s="217"/>
      <c r="AL946" s="217"/>
      <c r="AM946" s="217"/>
      <c r="AN946" s="217"/>
      <c r="AO946" s="217"/>
      <c r="AP946" s="217"/>
      <c r="AQ946" s="217"/>
    </row>
    <row r="947">
      <c r="A947" s="141">
        <v>46085.0</v>
      </c>
      <c r="B947" s="183" t="s">
        <v>40</v>
      </c>
      <c r="C947" s="88"/>
      <c r="D947" s="82">
        <v>3500.0</v>
      </c>
      <c r="E947" s="88">
        <f t="shared" si="32"/>
        <v>21000</v>
      </c>
      <c r="F947" s="88"/>
      <c r="G947" s="40" t="s">
        <v>661</v>
      </c>
      <c r="H947" s="40">
        <f>3500*2</f>
        <v>7000</v>
      </c>
      <c r="I947" s="41"/>
      <c r="J947" s="40" t="s">
        <v>665</v>
      </c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</row>
    <row r="948">
      <c r="A948" s="204">
        <v>46085.0</v>
      </c>
      <c r="B948" s="194" t="s">
        <v>222</v>
      </c>
      <c r="C948" s="104"/>
      <c r="D948" s="70">
        <v>3500.0</v>
      </c>
      <c r="E948" s="104">
        <f t="shared" si="32"/>
        <v>24500</v>
      </c>
      <c r="F948" s="70" t="s">
        <v>671</v>
      </c>
      <c r="G948" s="54" t="s">
        <v>16</v>
      </c>
      <c r="H948" s="54">
        <v>7000.0</v>
      </c>
      <c r="I948" s="55"/>
      <c r="J948" s="54" t="s">
        <v>665</v>
      </c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</row>
    <row r="949">
      <c r="A949" s="141">
        <v>46087.0</v>
      </c>
      <c r="B949" s="183" t="s">
        <v>48</v>
      </c>
      <c r="C949" s="88"/>
      <c r="D949" s="82">
        <v>3500.0</v>
      </c>
      <c r="E949" s="88">
        <f t="shared" si="32"/>
        <v>28000</v>
      </c>
      <c r="F949" s="82" t="s">
        <v>97</v>
      </c>
      <c r="G949" s="41"/>
      <c r="H949" s="41"/>
      <c r="I949" s="41">
        <f>sum(H945:H948)</f>
        <v>84000</v>
      </c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</row>
    <row r="950">
      <c r="A950" s="141">
        <v>46088.0</v>
      </c>
      <c r="B950" s="183" t="s">
        <v>222</v>
      </c>
      <c r="C950" s="88"/>
      <c r="D950" s="82">
        <v>3500.0</v>
      </c>
      <c r="E950" s="88">
        <f t="shared" si="32"/>
        <v>31500</v>
      </c>
      <c r="F950" s="88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</row>
    <row r="951">
      <c r="A951" s="141">
        <v>46088.0</v>
      </c>
      <c r="B951" s="184" t="s">
        <v>63</v>
      </c>
      <c r="C951" s="88"/>
      <c r="D951" s="82">
        <v>3500.0</v>
      </c>
      <c r="E951" s="88">
        <f t="shared" si="32"/>
        <v>35000</v>
      </c>
      <c r="F951" s="82" t="s">
        <v>667</v>
      </c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</row>
    <row r="952">
      <c r="A952" s="141">
        <v>46087.0</v>
      </c>
      <c r="B952" s="184" t="s">
        <v>60</v>
      </c>
      <c r="C952" s="88"/>
      <c r="D952" s="82">
        <v>3500.0</v>
      </c>
      <c r="E952" s="88">
        <f t="shared" si="32"/>
        <v>38500</v>
      </c>
      <c r="F952" s="88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</row>
    <row r="953">
      <c r="A953" s="141">
        <v>46087.0</v>
      </c>
      <c r="B953" s="183" t="s">
        <v>57</v>
      </c>
      <c r="C953" s="88"/>
      <c r="D953" s="82">
        <v>3500.0</v>
      </c>
      <c r="E953" s="88">
        <f t="shared" si="32"/>
        <v>42000</v>
      </c>
      <c r="F953" s="88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</row>
    <row r="954">
      <c r="A954" s="88"/>
      <c r="B954" s="165" t="s">
        <v>402</v>
      </c>
      <c r="C954" s="82">
        <v>1600.0</v>
      </c>
      <c r="D954" s="88"/>
      <c r="E954" s="122">
        <f t="shared" si="32"/>
        <v>40400</v>
      </c>
      <c r="F954" s="88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</row>
    <row r="955">
      <c r="A955" s="88"/>
      <c r="B955" s="88"/>
      <c r="C955" s="88"/>
      <c r="D955" s="88"/>
      <c r="E955" s="88"/>
      <c r="F955" s="88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</row>
    <row r="956">
      <c r="A956" s="141">
        <v>46095.0</v>
      </c>
      <c r="B956" s="186" t="s">
        <v>601</v>
      </c>
      <c r="C956" s="88"/>
      <c r="D956" s="82">
        <v>7000.0</v>
      </c>
      <c r="E956" s="82">
        <v>7000.0</v>
      </c>
      <c r="F956" s="82" t="s">
        <v>672</v>
      </c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</row>
    <row r="957">
      <c r="A957" s="141">
        <v>46095.0</v>
      </c>
      <c r="B957" s="194" t="s">
        <v>51</v>
      </c>
      <c r="C957" s="88"/>
      <c r="D957" s="82">
        <v>3500.0</v>
      </c>
      <c r="E957" s="88">
        <f t="shared" ref="E957:E965" si="33">(E956+D957)-C957</f>
        <v>10500</v>
      </c>
      <c r="F957" s="88"/>
      <c r="G957" s="40"/>
      <c r="H957" s="40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</row>
    <row r="958">
      <c r="A958" s="214">
        <v>46096.0</v>
      </c>
      <c r="B958" s="218" t="s">
        <v>45</v>
      </c>
      <c r="C958" s="216"/>
      <c r="D958" s="112">
        <v>3500.0</v>
      </c>
      <c r="E958" s="216">
        <f t="shared" si="33"/>
        <v>14000</v>
      </c>
      <c r="F958" s="112" t="s">
        <v>673</v>
      </c>
      <c r="G958" s="219"/>
      <c r="H958" s="220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17"/>
      <c r="AD958" s="217"/>
      <c r="AE958" s="217"/>
      <c r="AF958" s="217"/>
      <c r="AG958" s="217"/>
      <c r="AH958" s="217"/>
      <c r="AI958" s="217"/>
      <c r="AJ958" s="217"/>
      <c r="AK958" s="217"/>
      <c r="AL958" s="217"/>
      <c r="AM958" s="217"/>
      <c r="AN958" s="217"/>
      <c r="AO958" s="217"/>
      <c r="AP958" s="217"/>
      <c r="AQ958" s="217"/>
    </row>
    <row r="959">
      <c r="A959" s="141">
        <v>46091.0</v>
      </c>
      <c r="B959" s="183" t="s">
        <v>50</v>
      </c>
      <c r="C959" s="88"/>
      <c r="D959" s="82">
        <v>3500.0</v>
      </c>
      <c r="E959" s="88">
        <f t="shared" si="33"/>
        <v>17500</v>
      </c>
      <c r="F959" s="82" t="s">
        <v>39</v>
      </c>
      <c r="G959" s="221"/>
      <c r="H959" s="222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</row>
    <row r="960">
      <c r="A960" s="141">
        <v>46096.0</v>
      </c>
      <c r="B960" s="186" t="s">
        <v>59</v>
      </c>
      <c r="C960" s="88"/>
      <c r="D960" s="82">
        <v>7000.0</v>
      </c>
      <c r="E960" s="88">
        <f t="shared" si="33"/>
        <v>24500</v>
      </c>
      <c r="F960" s="82" t="s">
        <v>672</v>
      </c>
      <c r="G960" s="221"/>
      <c r="H960" s="222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</row>
    <row r="961">
      <c r="A961" s="141">
        <v>46098.0</v>
      </c>
      <c r="B961" s="223" t="s">
        <v>406</v>
      </c>
      <c r="C961" s="88"/>
      <c r="D961" s="82">
        <v>3500.0</v>
      </c>
      <c r="E961" s="88">
        <f t="shared" si="33"/>
        <v>28000</v>
      </c>
      <c r="F961" s="88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</row>
    <row r="962">
      <c r="A962" s="141">
        <v>46098.0</v>
      </c>
      <c r="B962" s="184" t="s">
        <v>62</v>
      </c>
      <c r="C962" s="88"/>
      <c r="D962" s="82">
        <v>3500.0</v>
      </c>
      <c r="E962" s="88">
        <f t="shared" si="33"/>
        <v>31500</v>
      </c>
      <c r="F962" s="88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</row>
    <row r="963">
      <c r="A963" s="141">
        <v>46098.0</v>
      </c>
      <c r="B963" s="183" t="s">
        <v>46</v>
      </c>
      <c r="C963" s="88"/>
      <c r="D963" s="82">
        <v>3500.0</v>
      </c>
      <c r="E963" s="88">
        <f t="shared" si="33"/>
        <v>35000</v>
      </c>
      <c r="F963" s="82" t="s">
        <v>39</v>
      </c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</row>
    <row r="964">
      <c r="A964" s="141">
        <v>46098.0</v>
      </c>
      <c r="B964" s="183" t="s">
        <v>361</v>
      </c>
      <c r="C964" s="88"/>
      <c r="D964" s="82">
        <v>3500.0</v>
      </c>
      <c r="E964" s="88">
        <f t="shared" si="33"/>
        <v>38500</v>
      </c>
      <c r="F964" s="82" t="s">
        <v>39</v>
      </c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</row>
    <row r="965">
      <c r="A965" s="141">
        <v>46108.0</v>
      </c>
      <c r="B965" s="183" t="s">
        <v>41</v>
      </c>
      <c r="C965" s="88"/>
      <c r="D965" s="82">
        <v>3500.0</v>
      </c>
      <c r="E965" s="122">
        <f t="shared" si="33"/>
        <v>42000</v>
      </c>
      <c r="F965" s="88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</row>
    <row r="966">
      <c r="A966" s="88"/>
      <c r="B966" s="88"/>
      <c r="C966" s="88"/>
      <c r="D966" s="88"/>
      <c r="E966" s="88"/>
      <c r="F966" s="88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</row>
    <row r="968">
      <c r="A968" s="41"/>
      <c r="B968" s="41"/>
      <c r="C968" s="41"/>
      <c r="D968" s="41"/>
      <c r="E968" s="41"/>
      <c r="F968" s="41"/>
      <c r="G968" s="46" t="s">
        <v>608</v>
      </c>
      <c r="H968" s="40" t="s">
        <v>609</v>
      </c>
      <c r="I968" s="40" t="s">
        <v>84</v>
      </c>
      <c r="J968" s="40" t="s">
        <v>93</v>
      </c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</row>
    <row r="969">
      <c r="A969" s="214">
        <v>46113.0</v>
      </c>
      <c r="B969" s="218" t="s">
        <v>54</v>
      </c>
      <c r="C969" s="216"/>
      <c r="D969" s="112">
        <v>3500.0</v>
      </c>
      <c r="E969" s="112">
        <v>3000.0</v>
      </c>
      <c r="F969" s="112" t="s">
        <v>39</v>
      </c>
      <c r="G969" s="48" t="s">
        <v>626</v>
      </c>
      <c r="H969" s="224"/>
      <c r="I969" s="48">
        <f>sum(D969:D986)</f>
        <v>66500</v>
      </c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17"/>
      <c r="AD969" s="217"/>
      <c r="AE969" s="217"/>
      <c r="AF969" s="217"/>
      <c r="AG969" s="217"/>
      <c r="AH969" s="217"/>
      <c r="AI969" s="217"/>
      <c r="AJ969" s="217"/>
      <c r="AK969" s="217"/>
      <c r="AL969" s="217"/>
      <c r="AM969" s="217"/>
      <c r="AN969" s="217"/>
      <c r="AO969" s="217"/>
      <c r="AP969" s="217"/>
      <c r="AQ969" s="217"/>
    </row>
    <row r="970">
      <c r="A970" s="214">
        <v>46113.0</v>
      </c>
      <c r="B970" s="218" t="s">
        <v>55</v>
      </c>
      <c r="C970" s="216"/>
      <c r="D970" s="112">
        <v>3500.0</v>
      </c>
      <c r="E970" s="216">
        <f t="shared" ref="E970:E986" si="34">(E969+D970)-C970</f>
        <v>6500</v>
      </c>
      <c r="F970" s="112" t="s">
        <v>39</v>
      </c>
      <c r="G970" s="48"/>
      <c r="H970" s="48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17"/>
      <c r="AD970" s="217"/>
      <c r="AE970" s="217"/>
      <c r="AF970" s="217"/>
      <c r="AG970" s="217"/>
      <c r="AH970" s="217"/>
      <c r="AI970" s="217"/>
      <c r="AJ970" s="217"/>
      <c r="AK970" s="217"/>
      <c r="AL970" s="217"/>
      <c r="AM970" s="217"/>
      <c r="AN970" s="217"/>
      <c r="AO970" s="217"/>
      <c r="AP970" s="217"/>
      <c r="AQ970" s="217"/>
    </row>
    <row r="971">
      <c r="A971" s="214">
        <v>46113.0</v>
      </c>
      <c r="B971" s="218" t="s">
        <v>53</v>
      </c>
      <c r="C971" s="216"/>
      <c r="D971" s="112">
        <v>3500.0</v>
      </c>
      <c r="E971" s="216">
        <f t="shared" si="34"/>
        <v>10000</v>
      </c>
      <c r="F971" s="112" t="s">
        <v>39</v>
      </c>
      <c r="G971" s="48" t="s">
        <v>16</v>
      </c>
      <c r="H971" s="217">
        <f>15*3500</f>
        <v>52500</v>
      </c>
      <c r="I971" s="217"/>
      <c r="J971" s="48" t="s">
        <v>674</v>
      </c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17"/>
      <c r="AD971" s="217"/>
      <c r="AE971" s="217"/>
      <c r="AF971" s="217"/>
      <c r="AG971" s="217"/>
      <c r="AH971" s="217"/>
      <c r="AI971" s="217"/>
      <c r="AJ971" s="217"/>
      <c r="AK971" s="217"/>
      <c r="AL971" s="217"/>
      <c r="AM971" s="217"/>
      <c r="AN971" s="217"/>
      <c r="AO971" s="217"/>
      <c r="AP971" s="217"/>
      <c r="AQ971" s="217"/>
    </row>
    <row r="972">
      <c r="A972" s="214">
        <v>46116.0</v>
      </c>
      <c r="B972" s="218" t="s">
        <v>43</v>
      </c>
      <c r="C972" s="216"/>
      <c r="D972" s="112">
        <v>3500.0</v>
      </c>
      <c r="E972" s="216">
        <f t="shared" si="34"/>
        <v>13500</v>
      </c>
      <c r="F972" s="216"/>
      <c r="G972" s="48" t="s">
        <v>17</v>
      </c>
      <c r="H972" s="48">
        <f>2*3500</f>
        <v>7000</v>
      </c>
      <c r="I972" s="217"/>
      <c r="J972" s="48" t="s">
        <v>665</v>
      </c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17"/>
      <c r="AD972" s="217"/>
      <c r="AE972" s="217"/>
      <c r="AF972" s="217"/>
      <c r="AG972" s="217"/>
      <c r="AH972" s="217"/>
      <c r="AI972" s="217"/>
      <c r="AJ972" s="217"/>
      <c r="AK972" s="217"/>
      <c r="AL972" s="217"/>
      <c r="AM972" s="217"/>
      <c r="AN972" s="217"/>
      <c r="AO972" s="217"/>
      <c r="AP972" s="217"/>
      <c r="AQ972" s="217"/>
    </row>
    <row r="973">
      <c r="A973" s="225">
        <v>46116.0</v>
      </c>
      <c r="B973" s="226" t="s">
        <v>45</v>
      </c>
      <c r="C973" s="227"/>
      <c r="D973" s="228">
        <v>3500.0</v>
      </c>
      <c r="E973" s="227">
        <f t="shared" si="34"/>
        <v>17000</v>
      </c>
      <c r="F973" s="228" t="s">
        <v>675</v>
      </c>
      <c r="G973" s="229" t="s">
        <v>676</v>
      </c>
      <c r="H973" s="229">
        <f>10500-3500</f>
        <v>7000</v>
      </c>
      <c r="I973" s="230">
        <f>sum(H971:H973)</f>
        <v>66500</v>
      </c>
      <c r="J973" s="229" t="s">
        <v>670</v>
      </c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  <c r="AF973" s="230"/>
      <c r="AG973" s="230"/>
      <c r="AH973" s="230"/>
      <c r="AI973" s="230"/>
      <c r="AJ973" s="230"/>
      <c r="AK973" s="230"/>
      <c r="AL973" s="230"/>
      <c r="AM973" s="230"/>
      <c r="AN973" s="230"/>
      <c r="AO973" s="230"/>
      <c r="AP973" s="230"/>
      <c r="AQ973" s="230"/>
    </row>
    <row r="974">
      <c r="A974" s="214">
        <v>46119.0</v>
      </c>
      <c r="B974" s="218" t="s">
        <v>42</v>
      </c>
      <c r="C974" s="216"/>
      <c r="D974" s="112">
        <v>10500.0</v>
      </c>
      <c r="E974" s="216">
        <f t="shared" si="34"/>
        <v>27500</v>
      </c>
      <c r="F974" s="112" t="s">
        <v>677</v>
      </c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17"/>
      <c r="AD974" s="217"/>
      <c r="AE974" s="217"/>
      <c r="AF974" s="217"/>
      <c r="AG974" s="217"/>
      <c r="AH974" s="217"/>
      <c r="AI974" s="217"/>
      <c r="AJ974" s="217"/>
      <c r="AK974" s="217"/>
      <c r="AL974" s="217"/>
      <c r="AM974" s="217"/>
      <c r="AN974" s="217"/>
      <c r="AO974" s="217"/>
      <c r="AP974" s="217"/>
      <c r="AQ974" s="217"/>
    </row>
    <row r="975">
      <c r="A975" s="214">
        <v>46119.0</v>
      </c>
      <c r="B975" s="218" t="s">
        <v>50</v>
      </c>
      <c r="C975" s="216"/>
      <c r="D975" s="112">
        <v>3500.0</v>
      </c>
      <c r="E975" s="216">
        <f t="shared" si="34"/>
        <v>31000</v>
      </c>
      <c r="F975" s="112" t="s">
        <v>39</v>
      </c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17"/>
      <c r="AD975" s="217"/>
      <c r="AE975" s="217"/>
      <c r="AF975" s="217"/>
      <c r="AG975" s="217"/>
      <c r="AH975" s="217"/>
      <c r="AI975" s="217"/>
      <c r="AJ975" s="217"/>
      <c r="AK975" s="217"/>
      <c r="AL975" s="217"/>
      <c r="AM975" s="217"/>
      <c r="AN975" s="217"/>
      <c r="AO975" s="217"/>
      <c r="AP975" s="217"/>
      <c r="AQ975" s="217"/>
    </row>
    <row r="976">
      <c r="A976" s="141">
        <v>46119.0</v>
      </c>
      <c r="B976" s="183" t="s">
        <v>406</v>
      </c>
      <c r="C976" s="88"/>
      <c r="D976" s="82">
        <v>3500.0</v>
      </c>
      <c r="E976" s="88">
        <f t="shared" si="34"/>
        <v>34500</v>
      </c>
      <c r="F976" s="88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</row>
    <row r="977">
      <c r="A977" s="225">
        <v>46119.0</v>
      </c>
      <c r="B977" s="231" t="s">
        <v>61</v>
      </c>
      <c r="C977" s="227"/>
      <c r="D977" s="228">
        <v>3500.0</v>
      </c>
      <c r="E977" s="227">
        <f t="shared" si="34"/>
        <v>38000</v>
      </c>
      <c r="F977" s="228" t="s">
        <v>678</v>
      </c>
      <c r="G977" s="230"/>
      <c r="H977" s="230"/>
      <c r="I977" s="230"/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  <c r="AF977" s="230"/>
      <c r="AG977" s="230"/>
      <c r="AH977" s="230"/>
      <c r="AI977" s="230"/>
      <c r="AJ977" s="230"/>
      <c r="AK977" s="230"/>
      <c r="AL977" s="230"/>
      <c r="AM977" s="230"/>
      <c r="AN977" s="230"/>
      <c r="AO977" s="230"/>
      <c r="AP977" s="230"/>
      <c r="AQ977" s="230"/>
    </row>
    <row r="978">
      <c r="A978" s="214">
        <v>46119.0</v>
      </c>
      <c r="B978" s="232" t="s">
        <v>60</v>
      </c>
      <c r="C978" s="216"/>
      <c r="D978" s="112">
        <v>3500.0</v>
      </c>
      <c r="E978" s="216">
        <f t="shared" si="34"/>
        <v>41500</v>
      </c>
      <c r="F978" s="216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7"/>
      <c r="AE978" s="217"/>
      <c r="AF978" s="217"/>
      <c r="AG978" s="217"/>
      <c r="AH978" s="217"/>
      <c r="AI978" s="217"/>
      <c r="AJ978" s="217"/>
      <c r="AK978" s="217"/>
      <c r="AL978" s="217"/>
      <c r="AM978" s="217"/>
      <c r="AN978" s="217"/>
      <c r="AO978" s="217"/>
      <c r="AP978" s="217"/>
      <c r="AQ978" s="217"/>
    </row>
    <row r="979">
      <c r="A979" s="214">
        <v>46121.0</v>
      </c>
      <c r="B979" s="218" t="s">
        <v>57</v>
      </c>
      <c r="C979" s="216"/>
      <c r="D979" s="112">
        <v>3500.0</v>
      </c>
      <c r="E979" s="216">
        <f t="shared" si="34"/>
        <v>45000</v>
      </c>
      <c r="F979" s="112" t="s">
        <v>39</v>
      </c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17"/>
      <c r="AD979" s="217"/>
      <c r="AE979" s="217"/>
      <c r="AF979" s="217"/>
      <c r="AG979" s="217"/>
      <c r="AH979" s="217"/>
      <c r="AI979" s="217"/>
      <c r="AJ979" s="217"/>
      <c r="AK979" s="217"/>
      <c r="AL979" s="217"/>
      <c r="AM979" s="217"/>
      <c r="AN979" s="217"/>
      <c r="AO979" s="217"/>
      <c r="AP979" s="217"/>
      <c r="AQ979" s="217"/>
    </row>
    <row r="980">
      <c r="A980" s="214">
        <v>46121.0</v>
      </c>
      <c r="B980" s="218" t="s">
        <v>40</v>
      </c>
      <c r="C980" s="216"/>
      <c r="D980" s="112">
        <v>3500.0</v>
      </c>
      <c r="E980" s="216">
        <f t="shared" si="34"/>
        <v>48500</v>
      </c>
      <c r="F980" s="216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17"/>
      <c r="AD980" s="217"/>
      <c r="AE980" s="217"/>
      <c r="AF980" s="217"/>
      <c r="AG980" s="217"/>
      <c r="AH980" s="217"/>
      <c r="AI980" s="217"/>
      <c r="AJ980" s="217"/>
      <c r="AK980" s="217"/>
      <c r="AL980" s="217"/>
      <c r="AM980" s="217"/>
      <c r="AN980" s="217"/>
      <c r="AO980" s="217"/>
      <c r="AP980" s="217"/>
      <c r="AQ980" s="217"/>
    </row>
    <row r="981">
      <c r="A981" s="214">
        <v>46122.0</v>
      </c>
      <c r="B981" s="218" t="s">
        <v>41</v>
      </c>
      <c r="C981" s="216"/>
      <c r="D981" s="112">
        <v>3500.0</v>
      </c>
      <c r="E981" s="216">
        <f t="shared" si="34"/>
        <v>52000</v>
      </c>
      <c r="F981" s="216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17"/>
      <c r="AD981" s="217"/>
      <c r="AE981" s="217"/>
      <c r="AF981" s="217"/>
      <c r="AG981" s="217"/>
      <c r="AH981" s="217"/>
      <c r="AI981" s="217"/>
      <c r="AJ981" s="217"/>
      <c r="AK981" s="217"/>
      <c r="AL981" s="217"/>
      <c r="AM981" s="217"/>
      <c r="AN981" s="217"/>
      <c r="AO981" s="217"/>
      <c r="AP981" s="217"/>
      <c r="AQ981" s="217"/>
    </row>
    <row r="982">
      <c r="A982" s="214">
        <v>46122.0</v>
      </c>
      <c r="B982" s="218" t="s">
        <v>51</v>
      </c>
      <c r="C982" s="216"/>
      <c r="D982" s="112">
        <v>3500.0</v>
      </c>
      <c r="E982" s="216">
        <f t="shared" si="34"/>
        <v>55500</v>
      </c>
      <c r="F982" s="216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17"/>
      <c r="AD982" s="217"/>
      <c r="AE982" s="217"/>
      <c r="AF982" s="217"/>
      <c r="AG982" s="217"/>
      <c r="AH982" s="217"/>
      <c r="AI982" s="217"/>
      <c r="AJ982" s="217"/>
      <c r="AK982" s="217"/>
      <c r="AL982" s="217"/>
      <c r="AM982" s="217"/>
      <c r="AN982" s="217"/>
      <c r="AO982" s="217"/>
      <c r="AP982" s="217"/>
      <c r="AQ982" s="217"/>
    </row>
    <row r="983">
      <c r="A983" s="214">
        <v>46122.0</v>
      </c>
      <c r="B983" s="215" t="s">
        <v>601</v>
      </c>
      <c r="C983" s="216"/>
      <c r="D983" s="112">
        <v>3500.0</v>
      </c>
      <c r="E983" s="216">
        <f t="shared" si="34"/>
        <v>59000</v>
      </c>
      <c r="F983" s="216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17"/>
      <c r="AD983" s="217"/>
      <c r="AE983" s="217"/>
      <c r="AF983" s="217"/>
      <c r="AG983" s="217"/>
      <c r="AH983" s="217"/>
      <c r="AI983" s="217"/>
      <c r="AJ983" s="217"/>
      <c r="AK983" s="217"/>
      <c r="AL983" s="217"/>
      <c r="AM983" s="217"/>
      <c r="AN983" s="217"/>
      <c r="AO983" s="217"/>
      <c r="AP983" s="217"/>
      <c r="AQ983" s="217"/>
    </row>
    <row r="984">
      <c r="A984" s="214">
        <v>46122.0</v>
      </c>
      <c r="B984" s="218" t="s">
        <v>62</v>
      </c>
      <c r="C984" s="216"/>
      <c r="D984" s="112">
        <v>3500.0</v>
      </c>
      <c r="E984" s="216">
        <f t="shared" si="34"/>
        <v>62500</v>
      </c>
      <c r="F984" s="216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17"/>
      <c r="AD984" s="217"/>
      <c r="AE984" s="217"/>
      <c r="AF984" s="217"/>
      <c r="AG984" s="217"/>
      <c r="AH984" s="217"/>
      <c r="AI984" s="217"/>
      <c r="AJ984" s="217"/>
      <c r="AK984" s="217"/>
      <c r="AL984" s="217"/>
      <c r="AM984" s="217"/>
      <c r="AN984" s="217"/>
      <c r="AO984" s="217"/>
      <c r="AP984" s="217"/>
      <c r="AQ984" s="217"/>
    </row>
    <row r="985">
      <c r="A985" s="214">
        <v>46122.0</v>
      </c>
      <c r="B985" s="218" t="s">
        <v>63</v>
      </c>
      <c r="C985" s="216"/>
      <c r="D985" s="112">
        <v>3500.0</v>
      </c>
      <c r="E985" s="216">
        <f t="shared" si="34"/>
        <v>66000</v>
      </c>
      <c r="F985" s="112" t="s">
        <v>679</v>
      </c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17"/>
      <c r="AD985" s="217"/>
      <c r="AE985" s="217"/>
      <c r="AF985" s="217"/>
      <c r="AG985" s="217"/>
      <c r="AH985" s="217"/>
      <c r="AI985" s="217"/>
      <c r="AJ985" s="217"/>
      <c r="AK985" s="217"/>
      <c r="AL985" s="217"/>
      <c r="AM985" s="217"/>
      <c r="AN985" s="217"/>
      <c r="AO985" s="217"/>
      <c r="AP985" s="217"/>
      <c r="AQ985" s="217"/>
    </row>
    <row r="986">
      <c r="A986" s="141">
        <v>46122.0</v>
      </c>
      <c r="B986" s="82" t="s">
        <v>680</v>
      </c>
      <c r="C986" s="82">
        <v>1500.0</v>
      </c>
      <c r="D986" s="88"/>
      <c r="E986" s="122">
        <f t="shared" si="34"/>
        <v>64500</v>
      </c>
      <c r="F986" s="88"/>
      <c r="G986" s="40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</row>
    <row r="987">
      <c r="A987" s="104"/>
      <c r="B987" s="104"/>
      <c r="C987" s="104"/>
      <c r="D987" s="104"/>
      <c r="E987" s="104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</row>
    <row r="988">
      <c r="A988" s="214">
        <v>46129.0</v>
      </c>
      <c r="B988" s="218" t="s">
        <v>46</v>
      </c>
      <c r="C988" s="216"/>
      <c r="D988" s="112">
        <v>7000.0</v>
      </c>
      <c r="E988" s="112">
        <v>7000.0</v>
      </c>
      <c r="F988" s="112" t="s">
        <v>681</v>
      </c>
      <c r="G988" s="233" t="s">
        <v>608</v>
      </c>
      <c r="H988" s="48" t="s">
        <v>609</v>
      </c>
      <c r="I988" s="48" t="s">
        <v>84</v>
      </c>
      <c r="J988" s="48" t="s">
        <v>93</v>
      </c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17"/>
      <c r="AD988" s="217"/>
      <c r="AE988" s="217"/>
      <c r="AF988" s="217"/>
      <c r="AG988" s="217"/>
      <c r="AH988" s="217"/>
      <c r="AI988" s="217"/>
      <c r="AJ988" s="217"/>
      <c r="AK988" s="217"/>
      <c r="AL988" s="217"/>
      <c r="AM988" s="217"/>
      <c r="AN988" s="217"/>
      <c r="AO988" s="217"/>
      <c r="AP988" s="217"/>
      <c r="AQ988" s="217"/>
    </row>
    <row r="989">
      <c r="A989" s="234">
        <v>46129.0</v>
      </c>
      <c r="B989" s="235" t="s">
        <v>58</v>
      </c>
      <c r="C989" s="236"/>
      <c r="D989" s="110">
        <v>3500.0</v>
      </c>
      <c r="E989" s="236">
        <f t="shared" ref="E989:E1003" si="35">(E988+D989)-C989</f>
        <v>10500</v>
      </c>
      <c r="F989" s="110" t="s">
        <v>22</v>
      </c>
      <c r="G989" s="40" t="s">
        <v>626</v>
      </c>
      <c r="I989" s="40">
        <v>129000.0</v>
      </c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</row>
    <row r="990">
      <c r="A990" s="141">
        <v>46129.0</v>
      </c>
      <c r="B990" s="237" t="s">
        <v>64</v>
      </c>
      <c r="C990" s="88"/>
      <c r="D990" s="70">
        <v>10500.0</v>
      </c>
      <c r="E990" s="88">
        <f t="shared" si="35"/>
        <v>21000</v>
      </c>
      <c r="F990" s="82" t="s">
        <v>682</v>
      </c>
      <c r="G990" s="182" t="s">
        <v>260</v>
      </c>
      <c r="H990" s="238">
        <f>D990+D991+D992+D993+D995+D996+D997+D998+D999+D1003</f>
        <v>105000</v>
      </c>
      <c r="I990" s="41"/>
      <c r="J990" s="40" t="s">
        <v>683</v>
      </c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</row>
    <row r="991">
      <c r="A991" s="141">
        <v>46133.0</v>
      </c>
      <c r="B991" s="239" t="s">
        <v>65</v>
      </c>
      <c r="C991" s="88"/>
      <c r="D991" s="70">
        <v>10500.0</v>
      </c>
      <c r="E991" s="88">
        <f t="shared" si="35"/>
        <v>31500</v>
      </c>
      <c r="F991" s="82" t="s">
        <v>684</v>
      </c>
      <c r="G991" s="40" t="s">
        <v>685</v>
      </c>
      <c r="H991" s="240">
        <f>D1002</f>
        <v>7000</v>
      </c>
      <c r="I991" s="41"/>
      <c r="J991" s="40" t="s">
        <v>670</v>
      </c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</row>
    <row r="992">
      <c r="A992" s="141">
        <v>46137.0</v>
      </c>
      <c r="B992" s="82" t="s">
        <v>66</v>
      </c>
      <c r="C992" s="88"/>
      <c r="D992" s="70">
        <v>10500.0</v>
      </c>
      <c r="E992" s="88">
        <f t="shared" si="35"/>
        <v>42000</v>
      </c>
      <c r="F992" s="82" t="s">
        <v>686</v>
      </c>
      <c r="G992" s="40" t="s">
        <v>687</v>
      </c>
      <c r="H992" s="240">
        <f>D1000+D1001</f>
        <v>6500</v>
      </c>
      <c r="I992" s="41"/>
      <c r="J992" s="40" t="s">
        <v>665</v>
      </c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</row>
    <row r="993">
      <c r="A993" s="141">
        <v>46137.0</v>
      </c>
      <c r="B993" s="184" t="s">
        <v>67</v>
      </c>
      <c r="C993" s="88"/>
      <c r="D993" s="70">
        <v>10500.0</v>
      </c>
      <c r="E993" s="88">
        <f t="shared" si="35"/>
        <v>52500</v>
      </c>
      <c r="F993" s="82" t="s">
        <v>684</v>
      </c>
      <c r="G993" s="182" t="s">
        <v>15</v>
      </c>
      <c r="H993" s="241">
        <v>3500.0</v>
      </c>
      <c r="I993" s="41"/>
      <c r="J993" s="40" t="s">
        <v>670</v>
      </c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</row>
    <row r="994">
      <c r="A994" s="88"/>
      <c r="B994" s="82" t="s">
        <v>688</v>
      </c>
      <c r="C994" s="82">
        <v>3000.0</v>
      </c>
      <c r="D994" s="104"/>
      <c r="E994" s="88">
        <f t="shared" si="35"/>
        <v>49500</v>
      </c>
      <c r="F994" s="82" t="s">
        <v>689</v>
      </c>
      <c r="G994" s="40" t="s">
        <v>16</v>
      </c>
      <c r="H994" s="242">
        <v>7000.0</v>
      </c>
      <c r="I994" s="41">
        <f>sum(H990:H994)</f>
        <v>129000</v>
      </c>
      <c r="J994" s="40" t="s">
        <v>665</v>
      </c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</row>
    <row r="995">
      <c r="A995" s="141">
        <v>46140.0</v>
      </c>
      <c r="B995" s="197" t="s">
        <v>68</v>
      </c>
      <c r="C995" s="88"/>
      <c r="D995" s="70">
        <v>10500.0</v>
      </c>
      <c r="E995" s="88">
        <f t="shared" si="35"/>
        <v>60000</v>
      </c>
      <c r="F995" s="82" t="s">
        <v>684</v>
      </c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</row>
    <row r="996">
      <c r="A996" s="141">
        <v>46142.0</v>
      </c>
      <c r="B996" s="243" t="s">
        <v>69</v>
      </c>
      <c r="C996" s="88"/>
      <c r="D996" s="70">
        <v>10500.0</v>
      </c>
      <c r="E996" s="88">
        <f t="shared" si="35"/>
        <v>70500</v>
      </c>
      <c r="F996" s="82" t="s">
        <v>684</v>
      </c>
      <c r="G996" s="40"/>
      <c r="H996" s="40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</row>
    <row r="997">
      <c r="A997" s="141">
        <v>46142.0</v>
      </c>
      <c r="B997" s="243" t="s">
        <v>70</v>
      </c>
      <c r="C997" s="88"/>
      <c r="D997" s="70">
        <v>10500.0</v>
      </c>
      <c r="E997" s="88">
        <f t="shared" si="35"/>
        <v>81000</v>
      </c>
      <c r="F997" s="82" t="s">
        <v>684</v>
      </c>
      <c r="G997" s="40"/>
      <c r="H997" s="40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</row>
    <row r="998">
      <c r="A998" s="141">
        <v>46142.0</v>
      </c>
      <c r="B998" s="243" t="s">
        <v>71</v>
      </c>
      <c r="C998" s="88"/>
      <c r="D998" s="70">
        <v>10500.0</v>
      </c>
      <c r="E998" s="88">
        <f t="shared" si="35"/>
        <v>91500</v>
      </c>
      <c r="F998" s="82" t="s">
        <v>690</v>
      </c>
      <c r="G998" s="40"/>
      <c r="H998" s="40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</row>
    <row r="999">
      <c r="A999" s="141">
        <v>46142.0</v>
      </c>
      <c r="B999" s="194" t="s">
        <v>72</v>
      </c>
      <c r="C999" s="88"/>
      <c r="D999" s="70">
        <v>10500.0</v>
      </c>
      <c r="E999" s="88">
        <f t="shared" si="35"/>
        <v>102000</v>
      </c>
      <c r="F999" s="82" t="s">
        <v>684</v>
      </c>
      <c r="G999" s="40"/>
      <c r="H999" s="40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</row>
    <row r="1000">
      <c r="A1000" s="225">
        <v>46142.0</v>
      </c>
      <c r="B1000" s="226" t="s">
        <v>54</v>
      </c>
      <c r="C1000" s="227"/>
      <c r="D1000" s="70">
        <v>3000.0</v>
      </c>
      <c r="E1000" s="88">
        <f t="shared" si="35"/>
        <v>105000</v>
      </c>
      <c r="F1000" s="228" t="s">
        <v>691</v>
      </c>
      <c r="G1000" s="230"/>
      <c r="H1000" s="230"/>
      <c r="I1000" s="230"/>
      <c r="J1000" s="230"/>
      <c r="K1000" s="230"/>
      <c r="L1000" s="230"/>
      <c r="M1000" s="230"/>
      <c r="N1000" s="230"/>
      <c r="O1000" s="230"/>
      <c r="P1000" s="230"/>
      <c r="Q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  <c r="AF1000" s="230"/>
      <c r="AG1000" s="230"/>
      <c r="AH1000" s="230"/>
      <c r="AI1000" s="230"/>
      <c r="AJ1000" s="230"/>
      <c r="AK1000" s="230"/>
      <c r="AL1000" s="230"/>
      <c r="AM1000" s="230"/>
      <c r="AN1000" s="230"/>
      <c r="AO1000" s="230"/>
      <c r="AP1000" s="230"/>
      <c r="AQ1000" s="230"/>
    </row>
    <row r="1001">
      <c r="A1001" s="225">
        <v>46142.0</v>
      </c>
      <c r="B1001" s="226" t="s">
        <v>55</v>
      </c>
      <c r="C1001" s="227"/>
      <c r="D1001" s="70">
        <v>3500.0</v>
      </c>
      <c r="E1001" s="88">
        <f t="shared" si="35"/>
        <v>108500</v>
      </c>
      <c r="F1001" s="228" t="s">
        <v>691</v>
      </c>
      <c r="G1001" s="229"/>
      <c r="H1001" s="229"/>
      <c r="I1001" s="230"/>
      <c r="J1001" s="230"/>
      <c r="K1001" s="230"/>
      <c r="L1001" s="230"/>
      <c r="M1001" s="230"/>
      <c r="N1001" s="230"/>
      <c r="O1001" s="230"/>
      <c r="P1001" s="230"/>
      <c r="Q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  <c r="AF1001" s="230"/>
      <c r="AG1001" s="230"/>
      <c r="AH1001" s="230"/>
      <c r="AI1001" s="230"/>
      <c r="AJ1001" s="230"/>
      <c r="AK1001" s="230"/>
      <c r="AL1001" s="230"/>
      <c r="AM1001" s="230"/>
      <c r="AN1001" s="230"/>
      <c r="AO1001" s="230"/>
      <c r="AP1001" s="230"/>
      <c r="AQ1001" s="230"/>
    </row>
    <row r="1002">
      <c r="A1002" s="225">
        <v>46142.0</v>
      </c>
      <c r="B1002" s="226" t="s">
        <v>56</v>
      </c>
      <c r="C1002" s="227"/>
      <c r="D1002" s="70">
        <v>7000.0</v>
      </c>
      <c r="E1002" s="88">
        <f t="shared" si="35"/>
        <v>115500</v>
      </c>
      <c r="F1002" s="228" t="s">
        <v>692</v>
      </c>
      <c r="G1002" s="229"/>
      <c r="H1002" s="229"/>
      <c r="I1002" s="230"/>
      <c r="J1002" s="230"/>
      <c r="K1002" s="230"/>
      <c r="L1002" s="230"/>
      <c r="M1002" s="230"/>
      <c r="N1002" s="230"/>
      <c r="O1002" s="230"/>
      <c r="P1002" s="230"/>
      <c r="Q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  <c r="AF1002" s="230"/>
      <c r="AG1002" s="230"/>
      <c r="AH1002" s="230"/>
      <c r="AI1002" s="230"/>
      <c r="AJ1002" s="230"/>
      <c r="AK1002" s="230"/>
      <c r="AL1002" s="230"/>
      <c r="AM1002" s="230"/>
      <c r="AN1002" s="230"/>
      <c r="AO1002" s="230"/>
      <c r="AP1002" s="230"/>
      <c r="AQ1002" s="230"/>
    </row>
    <row r="1003">
      <c r="A1003" s="141">
        <v>46142.0</v>
      </c>
      <c r="B1003" s="82" t="s">
        <v>73</v>
      </c>
      <c r="C1003" s="88"/>
      <c r="D1003" s="70">
        <v>10500.0</v>
      </c>
      <c r="E1003" s="88">
        <f t="shared" si="35"/>
        <v>126000</v>
      </c>
      <c r="F1003" s="82" t="s">
        <v>684</v>
      </c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  <c r="AN1003" s="41"/>
      <c r="AO1003" s="41"/>
      <c r="AP1003" s="41"/>
      <c r="AQ1003" s="41"/>
    </row>
    <row r="1004">
      <c r="A1004" s="244"/>
      <c r="B1004" s="245"/>
      <c r="C1004" s="246"/>
      <c r="D1004" s="245"/>
      <c r="E1004" s="246"/>
      <c r="F1004" s="245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  <c r="AO1004" s="58"/>
      <c r="AP1004" s="58"/>
      <c r="AQ1004" s="58"/>
    </row>
    <row r="1005">
      <c r="A1005" s="141"/>
      <c r="B1005" s="82"/>
      <c r="C1005" s="88"/>
      <c r="D1005" s="82"/>
      <c r="E1005" s="88"/>
      <c r="F1005" s="82"/>
      <c r="G1005" s="247"/>
      <c r="H1005" s="54"/>
      <c r="I1005" s="54"/>
      <c r="J1005" s="54"/>
      <c r="K1005" s="55"/>
      <c r="L1005" s="55"/>
      <c r="M1005" s="55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N1005" s="41"/>
      <c r="AO1005" s="41"/>
      <c r="AP1005" s="41"/>
      <c r="AQ1005" s="41"/>
    </row>
    <row r="1006">
      <c r="A1006" s="248">
        <v>46143.0</v>
      </c>
      <c r="B1006" s="249" t="s">
        <v>75</v>
      </c>
      <c r="C1006" s="250"/>
      <c r="D1006" s="249">
        <v>7000.0</v>
      </c>
      <c r="E1006" s="249">
        <v>7000.0</v>
      </c>
      <c r="F1006" s="249" t="s">
        <v>693</v>
      </c>
      <c r="G1006" s="54"/>
      <c r="H1006" s="54"/>
      <c r="I1006" s="55"/>
      <c r="J1006" s="55"/>
      <c r="K1006" s="55"/>
      <c r="L1006" s="55"/>
      <c r="M1006" s="55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</row>
    <row r="1007">
      <c r="A1007" s="251">
        <v>46145.0</v>
      </c>
      <c r="B1007" s="183" t="s">
        <v>53</v>
      </c>
      <c r="C1007" s="173"/>
      <c r="D1007" s="158">
        <v>3500.0</v>
      </c>
      <c r="E1007" s="173">
        <f t="shared" ref="E1007:E1028" si="36">(E1006+D1007)-C1007</f>
        <v>10500</v>
      </c>
      <c r="F1007" s="158" t="s">
        <v>691</v>
      </c>
      <c r="G1007" s="54"/>
      <c r="H1007" s="54"/>
      <c r="I1007" s="54"/>
      <c r="J1007" s="55"/>
      <c r="K1007" s="55"/>
      <c r="L1007" s="55"/>
      <c r="M1007" s="5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  <c r="AA1007" s="175"/>
      <c r="AB1007" s="175"/>
      <c r="AC1007" s="175"/>
      <c r="AD1007" s="175"/>
      <c r="AE1007" s="175"/>
      <c r="AF1007" s="175"/>
      <c r="AG1007" s="175"/>
      <c r="AH1007" s="175"/>
      <c r="AI1007" s="175"/>
      <c r="AJ1007" s="175"/>
      <c r="AK1007" s="175"/>
      <c r="AL1007" s="175"/>
      <c r="AM1007" s="175"/>
      <c r="AN1007" s="175"/>
      <c r="AO1007" s="175"/>
      <c r="AP1007" s="175"/>
      <c r="AQ1007" s="175"/>
    </row>
    <row r="1008">
      <c r="A1008" s="141">
        <v>46147.0</v>
      </c>
      <c r="B1008" s="82" t="s">
        <v>76</v>
      </c>
      <c r="C1008" s="88"/>
      <c r="D1008" s="82">
        <v>10500.0</v>
      </c>
      <c r="E1008" s="173">
        <f t="shared" si="36"/>
        <v>21000</v>
      </c>
      <c r="F1008" s="249" t="s">
        <v>694</v>
      </c>
      <c r="G1008" s="54"/>
      <c r="H1008" s="54"/>
      <c r="I1008" s="54"/>
      <c r="J1008" s="55"/>
      <c r="K1008" s="55"/>
      <c r="L1008" s="55"/>
      <c r="M1008" s="55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  <c r="AM1008" s="41"/>
      <c r="AN1008" s="41"/>
      <c r="AO1008" s="41"/>
      <c r="AP1008" s="41"/>
      <c r="AQ1008" s="41"/>
    </row>
    <row r="1009">
      <c r="A1009" s="172">
        <v>46147.0</v>
      </c>
      <c r="B1009" s="183" t="s">
        <v>43</v>
      </c>
      <c r="C1009" s="173"/>
      <c r="D1009" s="158">
        <v>3500.0</v>
      </c>
      <c r="E1009" s="173">
        <f t="shared" si="36"/>
        <v>24500</v>
      </c>
      <c r="F1009" s="158" t="s">
        <v>695</v>
      </c>
      <c r="G1009" s="54"/>
      <c r="H1009" s="55"/>
      <c r="I1009" s="55"/>
      <c r="J1009" s="55"/>
      <c r="K1009" s="55"/>
      <c r="L1009" s="55"/>
      <c r="M1009" s="55"/>
      <c r="N1009" s="175"/>
      <c r="O1009" s="175"/>
      <c r="P1009" s="175"/>
      <c r="Q1009" s="175"/>
      <c r="R1009" s="175"/>
      <c r="S1009" s="175"/>
      <c r="T1009" s="175"/>
      <c r="U1009" s="175"/>
      <c r="V1009" s="175"/>
      <c r="W1009" s="175"/>
      <c r="X1009" s="175"/>
      <c r="Y1009" s="175"/>
      <c r="Z1009" s="175"/>
      <c r="AA1009" s="175"/>
      <c r="AB1009" s="175"/>
      <c r="AC1009" s="175"/>
      <c r="AD1009" s="175"/>
      <c r="AE1009" s="175"/>
      <c r="AF1009" s="175"/>
      <c r="AG1009" s="175"/>
      <c r="AH1009" s="175"/>
      <c r="AI1009" s="175"/>
      <c r="AJ1009" s="175"/>
      <c r="AK1009" s="175"/>
      <c r="AL1009" s="175"/>
      <c r="AM1009" s="175"/>
      <c r="AN1009" s="175"/>
      <c r="AO1009" s="175"/>
      <c r="AP1009" s="175"/>
      <c r="AQ1009" s="175"/>
    </row>
    <row r="1010">
      <c r="A1010" s="214">
        <v>46148.0</v>
      </c>
      <c r="B1010" s="218" t="s">
        <v>48</v>
      </c>
      <c r="C1010" s="216"/>
      <c r="D1010" s="112">
        <v>3500.0</v>
      </c>
      <c r="E1010" s="173">
        <f t="shared" si="36"/>
        <v>28000</v>
      </c>
      <c r="F1010" s="112" t="s">
        <v>696</v>
      </c>
      <c r="G1010" s="54"/>
      <c r="H1010" s="55"/>
      <c r="I1010" s="54"/>
      <c r="J1010" s="55"/>
      <c r="K1010" s="55"/>
      <c r="L1010" s="55"/>
      <c r="M1010" s="55"/>
      <c r="N1010" s="217"/>
      <c r="O1010" s="217"/>
      <c r="P1010" s="217"/>
      <c r="Q1010" s="217"/>
      <c r="R1010" s="217"/>
      <c r="S1010" s="217"/>
      <c r="T1010" s="217"/>
      <c r="U1010" s="217"/>
      <c r="V1010" s="217"/>
      <c r="W1010" s="217"/>
      <c r="X1010" s="217"/>
      <c r="Y1010" s="217"/>
      <c r="Z1010" s="217"/>
      <c r="AA1010" s="217"/>
      <c r="AB1010" s="217"/>
      <c r="AC1010" s="217"/>
      <c r="AD1010" s="217"/>
      <c r="AE1010" s="217"/>
      <c r="AF1010" s="217"/>
      <c r="AG1010" s="217"/>
      <c r="AH1010" s="217"/>
      <c r="AI1010" s="217"/>
      <c r="AJ1010" s="217"/>
      <c r="AK1010" s="217"/>
      <c r="AL1010" s="217"/>
      <c r="AM1010" s="217"/>
      <c r="AN1010" s="217"/>
      <c r="AO1010" s="217"/>
      <c r="AP1010" s="217"/>
      <c r="AQ1010" s="217"/>
    </row>
    <row r="1011">
      <c r="A1011" s="214">
        <v>46151.0</v>
      </c>
      <c r="B1011" s="215" t="s">
        <v>59</v>
      </c>
      <c r="C1011" s="216"/>
      <c r="D1011" s="112">
        <v>7000.0</v>
      </c>
      <c r="E1011" s="173">
        <f t="shared" si="36"/>
        <v>35000</v>
      </c>
      <c r="F1011" s="112" t="s">
        <v>697</v>
      </c>
      <c r="G1011" s="55"/>
      <c r="H1011" s="55"/>
      <c r="I1011" s="55"/>
      <c r="J1011" s="55"/>
      <c r="K1011" s="55"/>
      <c r="L1011" s="55"/>
      <c r="M1011" s="55"/>
      <c r="N1011" s="217"/>
      <c r="O1011" s="217"/>
      <c r="P1011" s="217"/>
      <c r="Q1011" s="217"/>
      <c r="R1011" s="217"/>
      <c r="S1011" s="217"/>
      <c r="T1011" s="217"/>
      <c r="U1011" s="217"/>
      <c r="V1011" s="217"/>
      <c r="W1011" s="217"/>
      <c r="X1011" s="217"/>
      <c r="Y1011" s="217"/>
      <c r="Z1011" s="217"/>
      <c r="AA1011" s="217"/>
      <c r="AB1011" s="217"/>
      <c r="AC1011" s="217"/>
      <c r="AD1011" s="217"/>
      <c r="AE1011" s="217"/>
      <c r="AF1011" s="217"/>
      <c r="AG1011" s="217"/>
      <c r="AH1011" s="217"/>
      <c r="AI1011" s="217"/>
      <c r="AJ1011" s="217"/>
      <c r="AK1011" s="217"/>
      <c r="AL1011" s="217"/>
      <c r="AM1011" s="217"/>
      <c r="AN1011" s="217"/>
      <c r="AO1011" s="217"/>
      <c r="AP1011" s="217"/>
      <c r="AQ1011" s="217"/>
    </row>
    <row r="1012">
      <c r="A1012" s="141">
        <v>46151.0</v>
      </c>
      <c r="B1012" s="183" t="s">
        <v>41</v>
      </c>
      <c r="C1012" s="88"/>
      <c r="D1012" s="82">
        <v>3500.0</v>
      </c>
      <c r="E1012" s="173">
        <f t="shared" si="36"/>
        <v>38500</v>
      </c>
      <c r="F1012" s="82" t="s">
        <v>695</v>
      </c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  <c r="AM1012" s="41"/>
      <c r="AN1012" s="41"/>
      <c r="AO1012" s="41"/>
      <c r="AP1012" s="41"/>
      <c r="AQ1012" s="41"/>
    </row>
    <row r="1013">
      <c r="A1013" s="141">
        <v>46151.0</v>
      </c>
      <c r="B1013" s="184" t="s">
        <v>58</v>
      </c>
      <c r="C1013" s="88"/>
      <c r="D1013" s="82">
        <v>3500.0</v>
      </c>
      <c r="E1013" s="173">
        <f t="shared" si="36"/>
        <v>42000</v>
      </c>
      <c r="F1013" s="82" t="s">
        <v>695</v>
      </c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  <c r="AI1013" s="41"/>
      <c r="AJ1013" s="41"/>
      <c r="AK1013" s="41"/>
      <c r="AL1013" s="41"/>
      <c r="AM1013" s="41"/>
      <c r="AN1013" s="41"/>
      <c r="AO1013" s="41"/>
      <c r="AP1013" s="41"/>
      <c r="AQ1013" s="41"/>
    </row>
    <row r="1014">
      <c r="A1014" s="141">
        <v>46151.0</v>
      </c>
      <c r="B1014" s="184" t="s">
        <v>63</v>
      </c>
      <c r="C1014" s="88"/>
      <c r="D1014" s="82">
        <v>3500.0</v>
      </c>
      <c r="E1014" s="173">
        <f t="shared" si="36"/>
        <v>45500</v>
      </c>
      <c r="F1014" s="82" t="s">
        <v>695</v>
      </c>
      <c r="G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  <c r="AI1014" s="41"/>
      <c r="AJ1014" s="41"/>
      <c r="AK1014" s="41"/>
      <c r="AL1014" s="41"/>
      <c r="AM1014" s="41"/>
      <c r="AN1014" s="41"/>
      <c r="AO1014" s="41"/>
      <c r="AP1014" s="41"/>
      <c r="AQ1014" s="41"/>
    </row>
    <row r="1015">
      <c r="A1015" s="141">
        <v>46151.0</v>
      </c>
      <c r="B1015" s="184" t="s">
        <v>62</v>
      </c>
      <c r="C1015" s="88"/>
      <c r="D1015" s="82">
        <v>3500.0</v>
      </c>
      <c r="E1015" s="173">
        <f t="shared" si="36"/>
        <v>49000</v>
      </c>
      <c r="F1015" s="82" t="s">
        <v>695</v>
      </c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  <c r="AI1015" s="41"/>
      <c r="AJ1015" s="41"/>
      <c r="AK1015" s="41"/>
      <c r="AL1015" s="41"/>
      <c r="AM1015" s="41"/>
      <c r="AN1015" s="41"/>
      <c r="AO1015" s="41"/>
      <c r="AP1015" s="41"/>
      <c r="AQ1015" s="41"/>
    </row>
    <row r="1016">
      <c r="A1016" s="141">
        <v>46151.0</v>
      </c>
      <c r="B1016" s="187" t="s">
        <v>61</v>
      </c>
      <c r="C1016" s="88"/>
      <c r="D1016" s="82">
        <v>3500.0</v>
      </c>
      <c r="E1016" s="173">
        <f t="shared" si="36"/>
        <v>52500</v>
      </c>
      <c r="F1016" s="82" t="s">
        <v>695</v>
      </c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/>
      <c r="AN1016" s="41"/>
      <c r="AO1016" s="41"/>
      <c r="AP1016" s="41"/>
      <c r="AQ1016" s="41"/>
    </row>
    <row r="1017">
      <c r="A1017" s="141">
        <v>46156.0</v>
      </c>
      <c r="B1017" s="183" t="s">
        <v>40</v>
      </c>
      <c r="C1017" s="88"/>
      <c r="D1017" s="82">
        <v>3500.0</v>
      </c>
      <c r="E1017" s="173">
        <f t="shared" si="36"/>
        <v>56000</v>
      </c>
      <c r="F1017" s="82" t="s">
        <v>695</v>
      </c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  <c r="AI1017" s="41"/>
      <c r="AJ1017" s="41"/>
      <c r="AK1017" s="41"/>
      <c r="AL1017" s="41"/>
      <c r="AM1017" s="41"/>
      <c r="AN1017" s="41"/>
      <c r="AO1017" s="41"/>
      <c r="AP1017" s="41"/>
      <c r="AQ1017" s="41"/>
    </row>
    <row r="1018">
      <c r="A1018" s="141">
        <v>46156.0</v>
      </c>
      <c r="B1018" s="82" t="s">
        <v>698</v>
      </c>
      <c r="C1018" s="82">
        <v>30000.0</v>
      </c>
      <c r="D1018" s="82"/>
      <c r="E1018" s="173">
        <f t="shared" si="36"/>
        <v>26000</v>
      </c>
      <c r="F1018" s="82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  <c r="AI1018" s="41"/>
      <c r="AJ1018" s="41"/>
      <c r="AK1018" s="41"/>
      <c r="AL1018" s="41"/>
      <c r="AM1018" s="41"/>
      <c r="AN1018" s="41"/>
      <c r="AO1018" s="41"/>
      <c r="AP1018" s="41"/>
      <c r="AQ1018" s="41"/>
    </row>
    <row r="1019">
      <c r="A1019" s="141">
        <v>46156.0</v>
      </c>
      <c r="B1019" s="82" t="s">
        <v>77</v>
      </c>
      <c r="C1019" s="88"/>
      <c r="D1019" s="82">
        <v>10500.0</v>
      </c>
      <c r="E1019" s="173">
        <f t="shared" si="36"/>
        <v>36500</v>
      </c>
      <c r="F1019" s="82" t="s">
        <v>699</v>
      </c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  <c r="AI1019" s="41"/>
      <c r="AJ1019" s="41"/>
      <c r="AK1019" s="41"/>
      <c r="AL1019" s="41"/>
      <c r="AM1019" s="41"/>
      <c r="AN1019" s="41"/>
      <c r="AO1019" s="41"/>
      <c r="AP1019" s="41"/>
      <c r="AQ1019" s="41"/>
    </row>
    <row r="1020">
      <c r="A1020" s="141">
        <v>46156.0</v>
      </c>
      <c r="B1020" s="82" t="s">
        <v>78</v>
      </c>
      <c r="C1020" s="88"/>
      <c r="D1020" s="82">
        <v>10500.0</v>
      </c>
      <c r="E1020" s="173">
        <f t="shared" si="36"/>
        <v>47000</v>
      </c>
      <c r="F1020" s="82" t="s">
        <v>699</v>
      </c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  <c r="AI1020" s="41"/>
      <c r="AJ1020" s="41"/>
      <c r="AK1020" s="41"/>
      <c r="AL1020" s="41"/>
      <c r="AM1020" s="41"/>
      <c r="AN1020" s="41"/>
      <c r="AO1020" s="41"/>
      <c r="AP1020" s="41"/>
      <c r="AQ1020" s="41"/>
    </row>
    <row r="1021">
      <c r="A1021" s="141">
        <v>46157.0</v>
      </c>
      <c r="B1021" s="183" t="s">
        <v>60</v>
      </c>
      <c r="C1021" s="88"/>
      <c r="D1021" s="82">
        <v>3500.0</v>
      </c>
      <c r="E1021" s="173">
        <f t="shared" si="36"/>
        <v>50500</v>
      </c>
      <c r="F1021" s="82" t="s">
        <v>695</v>
      </c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  <c r="AI1021" s="41"/>
      <c r="AJ1021" s="41"/>
      <c r="AK1021" s="41"/>
      <c r="AL1021" s="41"/>
      <c r="AM1021" s="41"/>
      <c r="AN1021" s="41"/>
      <c r="AO1021" s="41"/>
      <c r="AP1021" s="41"/>
      <c r="AQ1021" s="41"/>
    </row>
    <row r="1022">
      <c r="A1022" s="141">
        <v>46157.0</v>
      </c>
      <c r="B1022" s="183" t="s">
        <v>42</v>
      </c>
      <c r="C1022" s="88"/>
      <c r="D1022" s="82">
        <v>3500.0</v>
      </c>
      <c r="E1022" s="173">
        <f t="shared" si="36"/>
        <v>54000</v>
      </c>
      <c r="F1022" s="82" t="s">
        <v>695</v>
      </c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  <c r="AI1022" s="41"/>
      <c r="AJ1022" s="41"/>
      <c r="AK1022" s="41"/>
      <c r="AL1022" s="41"/>
      <c r="AM1022" s="41"/>
      <c r="AN1022" s="41"/>
      <c r="AO1022" s="41"/>
      <c r="AP1022" s="41"/>
      <c r="AQ1022" s="41"/>
    </row>
    <row r="1023">
      <c r="A1023" s="141">
        <v>46157.0</v>
      </c>
      <c r="B1023" s="82" t="s">
        <v>79</v>
      </c>
      <c r="C1023" s="88"/>
      <c r="D1023" s="82">
        <v>10500.0</v>
      </c>
      <c r="E1023" s="173">
        <f t="shared" si="36"/>
        <v>64500</v>
      </c>
      <c r="F1023" s="82" t="s">
        <v>699</v>
      </c>
      <c r="G1023" s="41"/>
      <c r="H1023" s="41"/>
      <c r="I1023" s="41"/>
      <c r="J1023" s="41"/>
      <c r="K1023" s="41"/>
      <c r="L1023" s="40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  <c r="AI1023" s="41"/>
      <c r="AJ1023" s="41"/>
      <c r="AK1023" s="41"/>
      <c r="AL1023" s="41"/>
      <c r="AM1023" s="41"/>
      <c r="AN1023" s="41"/>
      <c r="AO1023" s="41"/>
      <c r="AP1023" s="41"/>
      <c r="AQ1023" s="41"/>
    </row>
    <row r="1024">
      <c r="A1024" s="141">
        <v>46157.0</v>
      </c>
      <c r="B1024" s="252" t="s">
        <v>36</v>
      </c>
      <c r="C1024" s="173"/>
      <c r="D1024" s="158">
        <v>3500.0</v>
      </c>
      <c r="E1024" s="173">
        <f t="shared" si="36"/>
        <v>68000</v>
      </c>
      <c r="F1024" s="82" t="s">
        <v>700</v>
      </c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</row>
    <row r="1025">
      <c r="A1025" s="141">
        <v>46158.0</v>
      </c>
      <c r="B1025" s="184" t="s">
        <v>80</v>
      </c>
      <c r="C1025" s="88"/>
      <c r="D1025" s="82">
        <v>10500.0</v>
      </c>
      <c r="E1025" s="173">
        <f t="shared" si="36"/>
        <v>78500</v>
      </c>
      <c r="F1025" s="82" t="s">
        <v>699</v>
      </c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  <c r="AI1025" s="41"/>
      <c r="AJ1025" s="41"/>
      <c r="AK1025" s="41"/>
      <c r="AL1025" s="41"/>
      <c r="AM1025" s="41"/>
      <c r="AN1025" s="41"/>
      <c r="AO1025" s="41"/>
      <c r="AP1025" s="41"/>
      <c r="AQ1025" s="41"/>
    </row>
    <row r="1026">
      <c r="A1026" s="141">
        <v>46158.0</v>
      </c>
      <c r="B1026" s="184" t="s">
        <v>81</v>
      </c>
      <c r="C1026" s="88"/>
      <c r="D1026" s="82">
        <v>3500.0</v>
      </c>
      <c r="E1026" s="173">
        <f t="shared" si="36"/>
        <v>82000</v>
      </c>
      <c r="F1026" s="82" t="s">
        <v>701</v>
      </c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  <c r="AI1026" s="41"/>
      <c r="AJ1026" s="41"/>
      <c r="AK1026" s="41"/>
      <c r="AL1026" s="41"/>
      <c r="AM1026" s="41"/>
      <c r="AN1026" s="41"/>
      <c r="AO1026" s="41"/>
      <c r="AP1026" s="41"/>
      <c r="AQ1026" s="41"/>
    </row>
    <row r="1027">
      <c r="A1027" s="141">
        <v>46161.0</v>
      </c>
      <c r="B1027" s="183" t="s">
        <v>50</v>
      </c>
      <c r="C1027" s="88"/>
      <c r="D1027" s="82">
        <v>3500.0</v>
      </c>
      <c r="E1027" s="104">
        <f t="shared" si="36"/>
        <v>85500</v>
      </c>
      <c r="F1027" s="82" t="s">
        <v>702</v>
      </c>
      <c r="G1027" s="41"/>
      <c r="H1027" s="182" t="s">
        <v>39</v>
      </c>
      <c r="I1027" s="182">
        <v>17500.0</v>
      </c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  <c r="AI1027" s="41"/>
      <c r="AJ1027" s="41"/>
      <c r="AK1027" s="41"/>
      <c r="AL1027" s="41"/>
      <c r="AM1027" s="41"/>
      <c r="AN1027" s="41"/>
      <c r="AO1027" s="41"/>
      <c r="AP1027" s="41"/>
      <c r="AQ1027" s="41"/>
    </row>
    <row r="1028">
      <c r="A1028" s="141">
        <v>46161.0</v>
      </c>
      <c r="B1028" s="82" t="s">
        <v>703</v>
      </c>
      <c r="C1028" s="82">
        <v>3200.0</v>
      </c>
      <c r="D1028" s="88"/>
      <c r="E1028" s="122">
        <f t="shared" si="36"/>
        <v>82300</v>
      </c>
      <c r="F1028" s="88"/>
      <c r="G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  <c r="AM1028" s="41"/>
      <c r="AN1028" s="41"/>
      <c r="AO1028" s="41"/>
      <c r="AP1028" s="41"/>
      <c r="AQ1028" s="41"/>
    </row>
    <row r="1029">
      <c r="A1029" s="41"/>
      <c r="B1029" s="41"/>
      <c r="C1029" s="41"/>
      <c r="D1029" s="41"/>
      <c r="E1029" s="41"/>
      <c r="F1029" s="41"/>
      <c r="G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  <c r="AH1029" s="41"/>
      <c r="AI1029" s="41"/>
      <c r="AJ1029" s="41"/>
      <c r="AK1029" s="41"/>
      <c r="AL1029" s="41"/>
      <c r="AM1029" s="41"/>
      <c r="AN1029" s="41"/>
      <c r="AO1029" s="41"/>
      <c r="AP1029" s="41"/>
      <c r="AQ1029" s="41"/>
    </row>
    <row r="1030">
      <c r="A1030" s="141">
        <v>46166.0</v>
      </c>
      <c r="B1030" s="184" t="s">
        <v>81</v>
      </c>
      <c r="C1030" s="88"/>
      <c r="D1030" s="82">
        <v>7000.0</v>
      </c>
      <c r="E1030" s="82">
        <v>7000.0</v>
      </c>
      <c r="F1030" s="82" t="s">
        <v>704</v>
      </c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  <c r="AI1030" s="41"/>
      <c r="AJ1030" s="41"/>
      <c r="AK1030" s="41"/>
      <c r="AL1030" s="41"/>
      <c r="AM1030" s="41"/>
      <c r="AN1030" s="41"/>
      <c r="AO1030" s="41"/>
      <c r="AP1030" s="41"/>
      <c r="AQ1030" s="41"/>
    </row>
    <row r="1031">
      <c r="A1031" s="141">
        <v>46174.0</v>
      </c>
      <c r="B1031" s="183" t="s">
        <v>54</v>
      </c>
      <c r="C1031" s="88"/>
      <c r="D1031" s="82">
        <v>3500.0</v>
      </c>
      <c r="E1031" s="88">
        <f t="shared" ref="E1031:E1043" si="37">(E1030+D1031)-C1031</f>
        <v>10500</v>
      </c>
      <c r="F1031" s="82" t="s">
        <v>705</v>
      </c>
      <c r="G1031" s="41"/>
      <c r="H1031" s="40"/>
      <c r="I1031" s="40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  <c r="AI1031" s="41"/>
      <c r="AJ1031" s="41"/>
      <c r="AK1031" s="41"/>
      <c r="AL1031" s="41"/>
      <c r="AM1031" s="41"/>
      <c r="AN1031" s="41"/>
      <c r="AO1031" s="41"/>
      <c r="AP1031" s="41"/>
      <c r="AQ1031" s="41"/>
    </row>
    <row r="1032">
      <c r="A1032" s="141">
        <v>46174.0</v>
      </c>
      <c r="B1032" s="183" t="s">
        <v>55</v>
      </c>
      <c r="C1032" s="88"/>
      <c r="D1032" s="82">
        <v>3000.0</v>
      </c>
      <c r="E1032" s="88">
        <f t="shared" si="37"/>
        <v>13500</v>
      </c>
      <c r="F1032" s="82" t="s">
        <v>705</v>
      </c>
      <c r="G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  <c r="AH1032" s="41"/>
      <c r="AI1032" s="41"/>
      <c r="AJ1032" s="41"/>
      <c r="AK1032" s="41"/>
      <c r="AL1032" s="41"/>
      <c r="AM1032" s="41"/>
      <c r="AN1032" s="41"/>
      <c r="AO1032" s="41"/>
      <c r="AP1032" s="41"/>
      <c r="AQ1032" s="41"/>
    </row>
    <row r="1033">
      <c r="A1033" s="141">
        <v>46177.0</v>
      </c>
      <c r="B1033" s="252" t="s">
        <v>67</v>
      </c>
      <c r="C1033" s="88"/>
      <c r="D1033" s="82">
        <v>3500.0</v>
      </c>
      <c r="E1033" s="88">
        <f t="shared" si="37"/>
        <v>17000</v>
      </c>
      <c r="F1033" s="82" t="s">
        <v>705</v>
      </c>
      <c r="G1033" s="41"/>
      <c r="H1033" s="40" t="s">
        <v>39</v>
      </c>
      <c r="I1033" s="41">
        <f>D1031+D1032+D1033+D1038+D1039+D1040+D1041</f>
        <v>31000</v>
      </c>
      <c r="J1033" s="41"/>
      <c r="K1033" s="40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  <c r="AH1033" s="41"/>
      <c r="AI1033" s="41"/>
      <c r="AJ1033" s="41"/>
      <c r="AK1033" s="41"/>
      <c r="AL1033" s="41"/>
      <c r="AM1033" s="41"/>
      <c r="AN1033" s="41"/>
      <c r="AO1033" s="41"/>
      <c r="AP1033" s="41"/>
      <c r="AQ1033" s="41"/>
    </row>
    <row r="1034">
      <c r="A1034" s="141">
        <v>46178.0</v>
      </c>
      <c r="B1034" s="183" t="s">
        <v>43</v>
      </c>
      <c r="C1034" s="88"/>
      <c r="D1034" s="82">
        <v>3500.0</v>
      </c>
      <c r="E1034" s="88">
        <f t="shared" si="37"/>
        <v>20500</v>
      </c>
      <c r="F1034" s="82" t="s">
        <v>706</v>
      </c>
      <c r="G1034" s="41"/>
      <c r="H1034" s="136"/>
      <c r="I1034" s="148"/>
      <c r="J1034" s="41"/>
      <c r="K1034" s="40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  <c r="AH1034" s="41"/>
      <c r="AI1034" s="41"/>
      <c r="AJ1034" s="41"/>
      <c r="AK1034" s="41"/>
      <c r="AL1034" s="41"/>
      <c r="AM1034" s="41"/>
      <c r="AN1034" s="41"/>
      <c r="AO1034" s="41"/>
      <c r="AP1034" s="41"/>
      <c r="AQ1034" s="41"/>
    </row>
    <row r="1035">
      <c r="A1035" s="141">
        <v>46178.0</v>
      </c>
      <c r="B1035" s="82" t="s">
        <v>82</v>
      </c>
      <c r="C1035" s="88"/>
      <c r="D1035" s="82">
        <v>10500.0</v>
      </c>
      <c r="E1035" s="88">
        <f t="shared" si="37"/>
        <v>31000</v>
      </c>
      <c r="F1035" s="82" t="s">
        <v>707</v>
      </c>
      <c r="G1035" s="41"/>
      <c r="H1035" s="40"/>
      <c r="I1035" s="41"/>
      <c r="J1035" s="41"/>
      <c r="K1035" s="40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  <c r="AH1035" s="41"/>
      <c r="AI1035" s="41"/>
      <c r="AJ1035" s="41"/>
      <c r="AK1035" s="41"/>
      <c r="AL1035" s="41"/>
      <c r="AM1035" s="41"/>
      <c r="AN1035" s="41"/>
      <c r="AO1035" s="41"/>
      <c r="AP1035" s="41"/>
      <c r="AQ1035" s="41"/>
    </row>
    <row r="1036">
      <c r="A1036" s="141">
        <v>46178.0</v>
      </c>
      <c r="B1036" s="183" t="s">
        <v>51</v>
      </c>
      <c r="C1036" s="88"/>
      <c r="D1036" s="82">
        <v>3500.0</v>
      </c>
      <c r="E1036" s="88">
        <f t="shared" si="37"/>
        <v>34500</v>
      </c>
      <c r="F1036" s="82" t="s">
        <v>706</v>
      </c>
      <c r="G1036" s="41"/>
      <c r="H1036" s="40"/>
      <c r="I1036" s="41"/>
      <c r="J1036" s="41"/>
      <c r="K1036" s="40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  <c r="AH1036" s="41"/>
      <c r="AI1036" s="41"/>
      <c r="AJ1036" s="41"/>
      <c r="AK1036" s="41"/>
      <c r="AL1036" s="41"/>
      <c r="AM1036" s="41"/>
      <c r="AN1036" s="41"/>
      <c r="AO1036" s="41"/>
      <c r="AP1036" s="41"/>
      <c r="AQ1036" s="41"/>
    </row>
    <row r="1037">
      <c r="A1037" s="141">
        <v>46178.0</v>
      </c>
      <c r="B1037" s="183" t="s">
        <v>62</v>
      </c>
      <c r="C1037" s="88"/>
      <c r="D1037" s="82">
        <v>3500.0</v>
      </c>
      <c r="E1037" s="88">
        <f t="shared" si="37"/>
        <v>38000</v>
      </c>
      <c r="F1037" s="82" t="s">
        <v>708</v>
      </c>
      <c r="G1037" s="41"/>
      <c r="H1037" s="40"/>
      <c r="I1037" s="41"/>
      <c r="J1037" s="41"/>
      <c r="K1037" s="40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  <c r="AI1037" s="41"/>
      <c r="AJ1037" s="41"/>
      <c r="AK1037" s="41"/>
      <c r="AL1037" s="41"/>
      <c r="AM1037" s="41"/>
      <c r="AN1037" s="41"/>
      <c r="AO1037" s="41"/>
      <c r="AP1037" s="41"/>
      <c r="AQ1037" s="41"/>
    </row>
    <row r="1038">
      <c r="A1038" s="141">
        <v>46179.0</v>
      </c>
      <c r="B1038" s="252" t="s">
        <v>36</v>
      </c>
      <c r="C1038" s="88"/>
      <c r="D1038" s="82">
        <v>3500.0</v>
      </c>
      <c r="E1038" s="88">
        <f t="shared" si="37"/>
        <v>41500</v>
      </c>
      <c r="F1038" s="82" t="s">
        <v>705</v>
      </c>
      <c r="G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  <c r="AH1038" s="41"/>
      <c r="AI1038" s="41"/>
      <c r="AJ1038" s="41"/>
      <c r="AK1038" s="41"/>
      <c r="AL1038" s="41"/>
      <c r="AM1038" s="41"/>
      <c r="AN1038" s="41"/>
      <c r="AO1038" s="41"/>
      <c r="AP1038" s="41"/>
      <c r="AQ1038" s="41"/>
    </row>
    <row r="1039">
      <c r="A1039" s="141">
        <v>46179.0</v>
      </c>
      <c r="B1039" s="183" t="s">
        <v>57</v>
      </c>
      <c r="C1039" s="88"/>
      <c r="D1039" s="82">
        <v>3500.0</v>
      </c>
      <c r="E1039" s="88">
        <f t="shared" si="37"/>
        <v>45000</v>
      </c>
      <c r="F1039" s="82" t="s">
        <v>709</v>
      </c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  <c r="AH1039" s="41"/>
      <c r="AI1039" s="41"/>
      <c r="AJ1039" s="41"/>
      <c r="AK1039" s="41"/>
      <c r="AL1039" s="41"/>
      <c r="AM1039" s="41"/>
      <c r="AN1039" s="41"/>
      <c r="AO1039" s="41"/>
      <c r="AP1039" s="41"/>
      <c r="AQ1039" s="41"/>
    </row>
    <row r="1040">
      <c r="A1040" s="141">
        <v>46179.0</v>
      </c>
      <c r="B1040" s="252" t="s">
        <v>70</v>
      </c>
      <c r="C1040" s="88"/>
      <c r="D1040" s="82">
        <v>3500.0</v>
      </c>
      <c r="E1040" s="88">
        <f t="shared" si="37"/>
        <v>48500</v>
      </c>
      <c r="F1040" s="82" t="s">
        <v>705</v>
      </c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  <c r="AH1040" s="41"/>
      <c r="AI1040" s="41"/>
      <c r="AJ1040" s="41"/>
      <c r="AK1040" s="41"/>
      <c r="AL1040" s="41"/>
      <c r="AM1040" s="41"/>
      <c r="AN1040" s="41"/>
      <c r="AO1040" s="41"/>
      <c r="AP1040" s="41"/>
      <c r="AQ1040" s="41"/>
    </row>
    <row r="1041">
      <c r="A1041" s="141">
        <v>46179.0</v>
      </c>
      <c r="B1041" s="82" t="s">
        <v>83</v>
      </c>
      <c r="C1041" s="88"/>
      <c r="D1041" s="82">
        <v>10500.0</v>
      </c>
      <c r="E1041" s="122">
        <f t="shared" si="37"/>
        <v>59000</v>
      </c>
      <c r="F1041" s="82" t="s">
        <v>710</v>
      </c>
      <c r="G1041" s="48" t="s">
        <v>606</v>
      </c>
      <c r="H1041" s="253">
        <v>46180.0</v>
      </c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  <c r="AI1041" s="41"/>
      <c r="AJ1041" s="41"/>
      <c r="AK1041" s="41"/>
      <c r="AL1041" s="41"/>
      <c r="AM1041" s="41"/>
      <c r="AN1041" s="41"/>
      <c r="AO1041" s="41"/>
      <c r="AP1041" s="41"/>
      <c r="AQ1041" s="41"/>
    </row>
    <row r="1042">
      <c r="A1042" s="141"/>
      <c r="B1042" s="183" t="s">
        <v>711</v>
      </c>
      <c r="C1042" s="82">
        <v>10000.0</v>
      </c>
      <c r="D1042" s="88"/>
      <c r="E1042" s="122">
        <f t="shared" si="37"/>
        <v>49000</v>
      </c>
      <c r="F1042" s="82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  <c r="AM1042" s="41"/>
      <c r="AN1042" s="41"/>
      <c r="AO1042" s="41"/>
      <c r="AP1042" s="41"/>
      <c r="AQ1042" s="41"/>
    </row>
    <row r="1043">
      <c r="A1043" s="254"/>
      <c r="B1043" s="183" t="s">
        <v>712</v>
      </c>
      <c r="C1043" s="40">
        <v>15000.0</v>
      </c>
      <c r="D1043" s="41"/>
      <c r="E1043" s="122">
        <f t="shared" si="37"/>
        <v>34000</v>
      </c>
      <c r="F1043" s="40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  <c r="AI1043" s="41"/>
      <c r="AJ1043" s="41"/>
      <c r="AK1043" s="41"/>
      <c r="AL1043" s="41"/>
      <c r="AM1043" s="41"/>
      <c r="AN1043" s="41"/>
      <c r="AO1043" s="41"/>
      <c r="AP1043" s="41"/>
      <c r="AQ1043" s="41"/>
    </row>
    <row r="1044">
      <c r="A1044" s="141">
        <v>46183.0</v>
      </c>
      <c r="B1044" s="183" t="s">
        <v>40</v>
      </c>
      <c r="C1044" s="88"/>
      <c r="D1044" s="88"/>
      <c r="E1044" s="82">
        <v>3500.0</v>
      </c>
      <c r="F1044" s="82" t="s">
        <v>708</v>
      </c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  <c r="AI1044" s="41"/>
      <c r="AJ1044" s="41"/>
      <c r="AK1044" s="41"/>
      <c r="AL1044" s="41"/>
      <c r="AM1044" s="41"/>
      <c r="AN1044" s="41"/>
      <c r="AO1044" s="41"/>
      <c r="AP1044" s="41"/>
      <c r="AQ1044" s="41"/>
    </row>
    <row r="1045">
      <c r="A1045" s="141">
        <v>46184.0</v>
      </c>
      <c r="B1045" s="183" t="s">
        <v>58</v>
      </c>
      <c r="C1045" s="88"/>
      <c r="D1045" s="88"/>
      <c r="E1045" s="82">
        <v>3500.0</v>
      </c>
      <c r="F1045" s="82" t="s">
        <v>708</v>
      </c>
      <c r="G1045" s="41"/>
      <c r="H1045" s="40" t="s">
        <v>713</v>
      </c>
      <c r="I1045" s="40">
        <v>1000.0</v>
      </c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  <c r="AH1045" s="41"/>
      <c r="AI1045" s="41"/>
      <c r="AJ1045" s="41"/>
      <c r="AK1045" s="41"/>
      <c r="AL1045" s="41"/>
      <c r="AM1045" s="41"/>
      <c r="AN1045" s="41"/>
      <c r="AO1045" s="41"/>
      <c r="AP1045" s="41"/>
      <c r="AQ1045" s="41"/>
    </row>
    <row r="1046">
      <c r="A1046" s="141">
        <v>46184.0</v>
      </c>
      <c r="B1046" s="183" t="s">
        <v>41</v>
      </c>
      <c r="C1046" s="88"/>
      <c r="D1046" s="88"/>
      <c r="E1046" s="82">
        <v>3500.0</v>
      </c>
      <c r="F1046" s="82" t="s">
        <v>708</v>
      </c>
      <c r="G1046" s="41"/>
      <c r="H1046" s="40" t="s">
        <v>714</v>
      </c>
      <c r="I1046" s="40">
        <v>1700.0</v>
      </c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  <c r="AI1046" s="41"/>
      <c r="AJ1046" s="41"/>
      <c r="AK1046" s="41"/>
      <c r="AL1046" s="41"/>
      <c r="AM1046" s="41"/>
      <c r="AN1046" s="41"/>
      <c r="AO1046" s="41"/>
      <c r="AP1046" s="41"/>
      <c r="AQ1046" s="41"/>
    </row>
    <row r="1047">
      <c r="A1047" s="141">
        <v>46184.0</v>
      </c>
      <c r="B1047" s="255" t="s">
        <v>46</v>
      </c>
      <c r="C1047" s="88"/>
      <c r="D1047" s="88"/>
      <c r="E1047" s="82">
        <v>7000.0</v>
      </c>
      <c r="F1047" s="82" t="s">
        <v>715</v>
      </c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  <c r="AH1047" s="41"/>
      <c r="AI1047" s="41"/>
      <c r="AJ1047" s="41"/>
      <c r="AK1047" s="41"/>
      <c r="AL1047" s="41"/>
      <c r="AM1047" s="41"/>
      <c r="AN1047" s="41"/>
      <c r="AO1047" s="41"/>
      <c r="AP1047" s="41"/>
      <c r="AQ1047" s="41"/>
    </row>
    <row r="1048">
      <c r="A1048" s="141">
        <v>46184.0</v>
      </c>
      <c r="B1048" s="183" t="s">
        <v>63</v>
      </c>
      <c r="C1048" s="88"/>
      <c r="D1048" s="88"/>
      <c r="E1048" s="82">
        <v>3500.0</v>
      </c>
      <c r="F1048" s="82" t="s">
        <v>708</v>
      </c>
      <c r="G1048" s="41"/>
      <c r="H1048" s="41"/>
      <c r="I1048" s="41"/>
      <c r="J1048" s="41"/>
      <c r="K1048" s="41">
        <f>E1027-I1027-K1039</f>
        <v>68000</v>
      </c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  <c r="AH1048" s="41"/>
      <c r="AI1048" s="41"/>
      <c r="AJ1048" s="41"/>
      <c r="AK1048" s="41"/>
      <c r="AL1048" s="41"/>
      <c r="AM1048" s="41"/>
      <c r="AN1048" s="41"/>
      <c r="AO1048" s="41"/>
      <c r="AP1048" s="41"/>
      <c r="AQ1048" s="41"/>
    </row>
    <row r="1049">
      <c r="A1049" s="141">
        <v>46184.0</v>
      </c>
      <c r="B1049" s="183" t="s">
        <v>53</v>
      </c>
      <c r="C1049" s="88"/>
      <c r="D1049" s="88"/>
      <c r="E1049" s="82">
        <v>3500.0</v>
      </c>
      <c r="F1049" s="82" t="s">
        <v>705</v>
      </c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  <c r="AH1049" s="41"/>
      <c r="AI1049" s="41"/>
      <c r="AJ1049" s="41"/>
      <c r="AK1049" s="41"/>
      <c r="AL1049" s="41"/>
      <c r="AM1049" s="41"/>
      <c r="AN1049" s="41"/>
      <c r="AO1049" s="41"/>
      <c r="AP1049" s="41"/>
      <c r="AQ1049" s="41"/>
    </row>
    <row r="1050">
      <c r="A1050" s="141">
        <v>46186.0</v>
      </c>
      <c r="B1050" s="183" t="s">
        <v>52</v>
      </c>
      <c r="C1050" s="88"/>
      <c r="D1050" s="88"/>
      <c r="E1050" s="82">
        <v>10500.0</v>
      </c>
      <c r="F1050" s="82" t="s">
        <v>710</v>
      </c>
      <c r="G1050" s="41"/>
      <c r="H1050" s="40" t="s">
        <v>716</v>
      </c>
      <c r="I1050" s="40">
        <v>35000.0</v>
      </c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  <c r="AH1050" s="41"/>
      <c r="AI1050" s="41"/>
      <c r="AJ1050" s="41"/>
      <c r="AK1050" s="41"/>
      <c r="AL1050" s="41"/>
      <c r="AM1050" s="41"/>
      <c r="AN1050" s="41"/>
      <c r="AO1050" s="41"/>
      <c r="AP1050" s="41"/>
      <c r="AQ1050" s="41"/>
    </row>
    <row r="1051">
      <c r="A1051" s="141">
        <v>46186.0</v>
      </c>
      <c r="B1051" s="183" t="s">
        <v>50</v>
      </c>
      <c r="C1051" s="88"/>
      <c r="D1051" s="88"/>
      <c r="E1051" s="82">
        <v>3500.0</v>
      </c>
      <c r="F1051" s="82" t="s">
        <v>705</v>
      </c>
      <c r="G1051" s="41"/>
      <c r="H1051" s="40" t="s">
        <v>97</v>
      </c>
      <c r="I1051" s="40">
        <v>24500.0</v>
      </c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  <c r="AH1051" s="41"/>
      <c r="AI1051" s="41"/>
      <c r="AJ1051" s="41"/>
      <c r="AK1051" s="41"/>
      <c r="AL1051" s="41"/>
      <c r="AM1051" s="41"/>
      <c r="AN1051" s="41"/>
      <c r="AO1051" s="41"/>
      <c r="AP1051" s="41"/>
      <c r="AQ1051" s="41"/>
    </row>
    <row r="1052">
      <c r="A1052" s="141">
        <v>46186.0</v>
      </c>
      <c r="B1052" s="256" t="s">
        <v>76</v>
      </c>
      <c r="C1052" s="88"/>
      <c r="D1052" s="88"/>
      <c r="E1052" s="82">
        <v>3500.0</v>
      </c>
      <c r="F1052" s="82" t="s">
        <v>708</v>
      </c>
      <c r="G1052" s="41"/>
      <c r="H1052" s="41"/>
      <c r="I1052" s="41"/>
      <c r="J1052" s="41"/>
      <c r="K1052" s="41"/>
      <c r="L1052" s="41">
        <f>K1048-21000</f>
        <v>47000</v>
      </c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  <c r="AH1052" s="41"/>
      <c r="AI1052" s="41"/>
      <c r="AJ1052" s="41"/>
      <c r="AK1052" s="41"/>
      <c r="AL1052" s="41"/>
      <c r="AM1052" s="41"/>
      <c r="AN1052" s="41"/>
      <c r="AO1052" s="41"/>
      <c r="AP1052" s="41"/>
      <c r="AQ1052" s="41"/>
    </row>
    <row r="1053">
      <c r="A1053" s="141">
        <v>46186.0</v>
      </c>
      <c r="B1053" s="183" t="s">
        <v>45</v>
      </c>
      <c r="C1053" s="88"/>
      <c r="D1053" s="88"/>
      <c r="E1053" s="82">
        <v>3500.0</v>
      </c>
      <c r="F1053" s="82" t="s">
        <v>708</v>
      </c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  <c r="AH1053" s="41"/>
      <c r="AI1053" s="41"/>
      <c r="AJ1053" s="41"/>
      <c r="AK1053" s="41"/>
      <c r="AL1053" s="41"/>
      <c r="AM1053" s="41"/>
      <c r="AN1053" s="41"/>
      <c r="AO1053" s="41"/>
      <c r="AP1053" s="41"/>
      <c r="AQ1053" s="41"/>
    </row>
    <row r="1054">
      <c r="A1054" s="141">
        <v>46186.0</v>
      </c>
      <c r="B1054" s="183" t="s">
        <v>60</v>
      </c>
      <c r="C1054" s="88"/>
      <c r="D1054" s="88"/>
      <c r="E1054" s="82">
        <v>3500.0</v>
      </c>
      <c r="F1054" s="82" t="s">
        <v>708</v>
      </c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/>
      <c r="AN1054" s="41"/>
      <c r="AO1054" s="41"/>
      <c r="AP1054" s="41"/>
      <c r="AQ1054" s="41"/>
    </row>
    <row r="1055">
      <c r="A1055" s="141">
        <v>46186.0</v>
      </c>
      <c r="B1055" s="187" t="s">
        <v>61</v>
      </c>
      <c r="C1055" s="88"/>
      <c r="D1055" s="88"/>
      <c r="E1055" s="82">
        <v>3500.0</v>
      </c>
      <c r="F1055" s="82" t="s">
        <v>708</v>
      </c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  <c r="AB1055" s="41"/>
      <c r="AC1055" s="41"/>
      <c r="AD1055" s="41"/>
      <c r="AE1055" s="41"/>
      <c r="AF1055" s="41"/>
      <c r="AG1055" s="41"/>
      <c r="AH1055" s="41"/>
      <c r="AI1055" s="41"/>
      <c r="AJ1055" s="41"/>
      <c r="AK1055" s="41"/>
      <c r="AL1055" s="41"/>
      <c r="AM1055" s="41"/>
      <c r="AN1055" s="41"/>
      <c r="AO1055" s="41"/>
      <c r="AP1055" s="41"/>
      <c r="AQ1055" s="41"/>
    </row>
    <row r="1056" ht="39.0" customHeight="1">
      <c r="A1056" s="257" t="s">
        <v>717</v>
      </c>
      <c r="B1056" s="223" t="s">
        <v>223</v>
      </c>
      <c r="C1056" s="88"/>
      <c r="D1056" s="88"/>
      <c r="E1056" s="82">
        <v>7000.0</v>
      </c>
      <c r="F1056" s="82" t="s">
        <v>718</v>
      </c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  <c r="AB1056" s="41"/>
      <c r="AC1056" s="41"/>
      <c r="AD1056" s="41"/>
      <c r="AE1056" s="41"/>
      <c r="AF1056" s="41"/>
      <c r="AG1056" s="41"/>
      <c r="AH1056" s="41"/>
      <c r="AI1056" s="41"/>
      <c r="AJ1056" s="41"/>
      <c r="AK1056" s="41"/>
      <c r="AL1056" s="41"/>
      <c r="AM1056" s="41"/>
      <c r="AN1056" s="41"/>
      <c r="AO1056" s="41"/>
      <c r="AP1056" s="41"/>
      <c r="AQ1056" s="41"/>
    </row>
    <row r="1057">
      <c r="A1057" s="254">
        <v>46189.0</v>
      </c>
      <c r="B1057" s="258" t="s">
        <v>64</v>
      </c>
      <c r="C1057" s="41"/>
      <c r="D1057" s="41"/>
      <c r="E1057" s="40">
        <v>3500.0</v>
      </c>
      <c r="F1057" s="82" t="s">
        <v>708</v>
      </c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  <c r="AB1057" s="41"/>
      <c r="AC1057" s="41"/>
      <c r="AD1057" s="41"/>
      <c r="AE1057" s="41"/>
      <c r="AF1057" s="41"/>
      <c r="AG1057" s="41"/>
      <c r="AH1057" s="41"/>
      <c r="AI1057" s="41"/>
      <c r="AJ1057" s="41"/>
      <c r="AK1057" s="41"/>
      <c r="AL1057" s="41"/>
      <c r="AM1057" s="41"/>
      <c r="AN1057" s="41"/>
      <c r="AO1057" s="41"/>
      <c r="AP1057" s="41"/>
      <c r="AQ1057" s="41"/>
    </row>
    <row r="1058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  <c r="AA1058" s="41"/>
      <c r="AB1058" s="41"/>
      <c r="AC1058" s="41"/>
      <c r="AD1058" s="41"/>
      <c r="AE1058" s="41"/>
      <c r="AF1058" s="41"/>
      <c r="AG1058" s="41"/>
      <c r="AH1058" s="41"/>
      <c r="AI1058" s="41"/>
      <c r="AJ1058" s="41"/>
      <c r="AK1058" s="41"/>
      <c r="AL1058" s="41"/>
      <c r="AM1058" s="41"/>
      <c r="AN1058" s="41"/>
      <c r="AO1058" s="41"/>
      <c r="AP1058" s="41"/>
      <c r="AQ1058" s="41"/>
    </row>
    <row r="1059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  <c r="AI1059" s="41"/>
      <c r="AJ1059" s="41"/>
      <c r="AK1059" s="41"/>
      <c r="AL1059" s="41"/>
      <c r="AM1059" s="41"/>
      <c r="AN1059" s="41"/>
      <c r="AO1059" s="41"/>
      <c r="AP1059" s="41"/>
      <c r="AQ1059" s="41"/>
    </row>
    <row r="1060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  <c r="AI1060" s="41"/>
      <c r="AJ1060" s="41"/>
      <c r="AK1060" s="41"/>
      <c r="AL1060" s="41"/>
      <c r="AM1060" s="41"/>
      <c r="AN1060" s="41"/>
      <c r="AO1060" s="41"/>
      <c r="AP1060" s="41"/>
      <c r="AQ1060" s="41"/>
    </row>
    <row r="1061">
      <c r="A1061" s="41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  <c r="AA1061" s="41"/>
      <c r="AB1061" s="41"/>
      <c r="AC1061" s="41"/>
      <c r="AD1061" s="41"/>
      <c r="AE1061" s="41"/>
      <c r="AF1061" s="41"/>
      <c r="AG1061" s="41"/>
      <c r="AH1061" s="41"/>
      <c r="AI1061" s="41"/>
      <c r="AJ1061" s="41"/>
      <c r="AK1061" s="41"/>
      <c r="AL1061" s="41"/>
      <c r="AM1061" s="41"/>
      <c r="AN1061" s="41"/>
      <c r="AO1061" s="41"/>
      <c r="AP1061" s="41"/>
      <c r="AQ1061" s="41"/>
    </row>
    <row r="1062">
      <c r="A1062" s="41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  <c r="AB1062" s="41"/>
      <c r="AC1062" s="41"/>
      <c r="AD1062" s="41"/>
      <c r="AE1062" s="41"/>
      <c r="AF1062" s="41"/>
      <c r="AG1062" s="41"/>
      <c r="AH1062" s="41"/>
      <c r="AI1062" s="41"/>
      <c r="AJ1062" s="41"/>
      <c r="AK1062" s="41"/>
      <c r="AL1062" s="41"/>
      <c r="AM1062" s="41"/>
      <c r="AN1062" s="41"/>
      <c r="AO1062" s="41"/>
      <c r="AP1062" s="41"/>
      <c r="AQ1062" s="41"/>
    </row>
    <row r="1063">
      <c r="A1063" s="41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  <c r="AI1063" s="41"/>
      <c r="AJ1063" s="41"/>
      <c r="AK1063" s="41"/>
      <c r="AL1063" s="41"/>
      <c r="AM1063" s="41"/>
      <c r="AN1063" s="41"/>
      <c r="AO1063" s="41"/>
      <c r="AP1063" s="41"/>
      <c r="AQ1063" s="41"/>
    </row>
    <row r="1064">
      <c r="A1064" s="41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  <c r="AM1064" s="41"/>
      <c r="AN1064" s="41"/>
      <c r="AO1064" s="41"/>
      <c r="AP1064" s="41"/>
      <c r="AQ1064" s="41"/>
    </row>
    <row r="1065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  <c r="AB1065" s="41"/>
      <c r="AC1065" s="41"/>
      <c r="AD1065" s="41"/>
      <c r="AE1065" s="41"/>
      <c r="AF1065" s="41"/>
      <c r="AG1065" s="41"/>
      <c r="AH1065" s="41"/>
      <c r="AI1065" s="41"/>
      <c r="AJ1065" s="41"/>
      <c r="AK1065" s="41"/>
      <c r="AL1065" s="41"/>
      <c r="AM1065" s="41"/>
      <c r="AN1065" s="41"/>
      <c r="AO1065" s="41"/>
      <c r="AP1065" s="41"/>
      <c r="AQ1065" s="41"/>
    </row>
    <row r="1066">
      <c r="A1066" s="41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  <c r="AB1066" s="41"/>
      <c r="AC1066" s="41"/>
      <c r="AD1066" s="41"/>
      <c r="AE1066" s="41"/>
      <c r="AF1066" s="41"/>
      <c r="AG1066" s="41"/>
      <c r="AH1066" s="41"/>
      <c r="AI1066" s="41"/>
      <c r="AJ1066" s="41"/>
      <c r="AK1066" s="41"/>
      <c r="AL1066" s="41"/>
      <c r="AM1066" s="41"/>
      <c r="AN1066" s="41"/>
      <c r="AO1066" s="41"/>
      <c r="AP1066" s="41"/>
      <c r="AQ1066" s="41"/>
    </row>
    <row r="1067">
      <c r="A1067" s="41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  <c r="AB1067" s="41"/>
      <c r="AC1067" s="41"/>
      <c r="AD1067" s="41"/>
      <c r="AE1067" s="41"/>
      <c r="AF1067" s="41"/>
      <c r="AG1067" s="41"/>
      <c r="AH1067" s="41"/>
      <c r="AI1067" s="41"/>
      <c r="AJ1067" s="41"/>
      <c r="AK1067" s="41"/>
      <c r="AL1067" s="41"/>
      <c r="AM1067" s="41"/>
      <c r="AN1067" s="41"/>
      <c r="AO1067" s="41"/>
      <c r="AP1067" s="41"/>
      <c r="AQ1067" s="41"/>
    </row>
    <row r="1068">
      <c r="A1068" s="41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/>
      <c r="AN1068" s="41"/>
      <c r="AO1068" s="41"/>
      <c r="AP1068" s="41"/>
      <c r="AQ1068" s="41"/>
    </row>
    <row r="1069">
      <c r="A1069" s="41"/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  <c r="AA1069" s="41"/>
      <c r="AB1069" s="41"/>
      <c r="AC1069" s="41"/>
      <c r="AD1069" s="41"/>
      <c r="AE1069" s="41"/>
      <c r="AF1069" s="41"/>
      <c r="AG1069" s="41"/>
      <c r="AH1069" s="41"/>
      <c r="AI1069" s="41"/>
      <c r="AJ1069" s="41"/>
      <c r="AK1069" s="41"/>
      <c r="AL1069" s="41"/>
      <c r="AM1069" s="41"/>
      <c r="AN1069" s="41"/>
      <c r="AO1069" s="41"/>
      <c r="AP1069" s="41"/>
      <c r="AQ1069" s="41"/>
    </row>
    <row r="1070">
      <c r="A1070" s="41"/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  <c r="AA1070" s="41"/>
      <c r="AB1070" s="41"/>
      <c r="AC1070" s="41"/>
      <c r="AD1070" s="41"/>
      <c r="AE1070" s="41"/>
      <c r="AF1070" s="41"/>
      <c r="AG1070" s="41"/>
      <c r="AH1070" s="41"/>
      <c r="AI1070" s="41"/>
      <c r="AJ1070" s="41"/>
      <c r="AK1070" s="41"/>
      <c r="AL1070" s="41"/>
      <c r="AM1070" s="41"/>
      <c r="AN1070" s="41"/>
      <c r="AO1070" s="41"/>
      <c r="AP1070" s="41"/>
      <c r="AQ1070" s="41"/>
    </row>
    <row r="1071">
      <c r="A1071" s="41"/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  <c r="AB1071" s="41"/>
      <c r="AC1071" s="41"/>
      <c r="AD1071" s="41"/>
      <c r="AE1071" s="41"/>
      <c r="AF1071" s="41"/>
      <c r="AG1071" s="41"/>
      <c r="AH1071" s="41"/>
      <c r="AI1071" s="41"/>
      <c r="AJ1071" s="41"/>
      <c r="AK1071" s="41"/>
      <c r="AL1071" s="41"/>
      <c r="AM1071" s="41"/>
      <c r="AN1071" s="41"/>
      <c r="AO1071" s="41"/>
      <c r="AP1071" s="41"/>
      <c r="AQ1071" s="41"/>
    </row>
    <row r="1072">
      <c r="A1072" s="41"/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  <c r="AB1072" s="41"/>
      <c r="AC1072" s="41"/>
      <c r="AD1072" s="41"/>
      <c r="AE1072" s="41"/>
      <c r="AF1072" s="41"/>
      <c r="AG1072" s="41"/>
      <c r="AH1072" s="41"/>
      <c r="AI1072" s="41"/>
      <c r="AJ1072" s="41"/>
      <c r="AK1072" s="41"/>
      <c r="AL1072" s="41"/>
      <c r="AM1072" s="41"/>
      <c r="AN1072" s="41"/>
      <c r="AO1072" s="41"/>
      <c r="AP1072" s="41"/>
      <c r="AQ1072" s="41"/>
    </row>
    <row r="1073">
      <c r="A1073" s="41"/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  <c r="AB1073" s="41"/>
      <c r="AC1073" s="41"/>
      <c r="AD1073" s="41"/>
      <c r="AE1073" s="41"/>
      <c r="AF1073" s="41"/>
      <c r="AG1073" s="41"/>
      <c r="AH1073" s="41"/>
      <c r="AI1073" s="41"/>
      <c r="AJ1073" s="41"/>
      <c r="AK1073" s="41"/>
      <c r="AL1073" s="41"/>
      <c r="AM1073" s="41"/>
      <c r="AN1073" s="41"/>
      <c r="AO1073" s="41"/>
      <c r="AP1073" s="41"/>
      <c r="AQ1073" s="41"/>
    </row>
    <row r="1074">
      <c r="A1074" s="41"/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  <c r="AB1074" s="41"/>
      <c r="AC1074" s="41"/>
      <c r="AD1074" s="41"/>
      <c r="AE1074" s="41"/>
      <c r="AF1074" s="41"/>
      <c r="AG1074" s="41"/>
      <c r="AH1074" s="41"/>
      <c r="AI1074" s="41"/>
      <c r="AJ1074" s="41"/>
      <c r="AK1074" s="41"/>
      <c r="AL1074" s="41"/>
      <c r="AM1074" s="41"/>
      <c r="AN1074" s="41"/>
      <c r="AO1074" s="41"/>
      <c r="AP1074" s="41"/>
      <c r="AQ1074" s="41"/>
    </row>
    <row r="1075">
      <c r="A1075" s="41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  <c r="AB1075" s="41"/>
      <c r="AC1075" s="41"/>
      <c r="AD1075" s="41"/>
      <c r="AE1075" s="41"/>
      <c r="AF1075" s="41"/>
      <c r="AG1075" s="41"/>
      <c r="AH1075" s="41"/>
      <c r="AI1075" s="41"/>
      <c r="AJ1075" s="41"/>
      <c r="AK1075" s="41"/>
      <c r="AL1075" s="41"/>
      <c r="AM1075" s="41"/>
      <c r="AN1075" s="41"/>
      <c r="AO1075" s="41"/>
      <c r="AP1075" s="41"/>
      <c r="AQ1075" s="41"/>
    </row>
    <row r="1076">
      <c r="A1076" s="41"/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  <c r="AB1076" s="41"/>
      <c r="AC1076" s="41"/>
      <c r="AD1076" s="41"/>
      <c r="AE1076" s="41"/>
      <c r="AF1076" s="41"/>
      <c r="AG1076" s="41"/>
      <c r="AH1076" s="41"/>
      <c r="AI1076" s="41"/>
      <c r="AJ1076" s="41"/>
      <c r="AK1076" s="41"/>
      <c r="AL1076" s="41"/>
      <c r="AM1076" s="41"/>
      <c r="AN1076" s="41"/>
      <c r="AO1076" s="41"/>
      <c r="AP1076" s="41"/>
      <c r="AQ1076" s="41"/>
    </row>
    <row r="1077">
      <c r="A1077" s="41"/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1"/>
      <c r="AC1077" s="41"/>
      <c r="AD1077" s="41"/>
      <c r="AE1077" s="41"/>
      <c r="AF1077" s="41"/>
      <c r="AG1077" s="41"/>
      <c r="AH1077" s="41"/>
      <c r="AI1077" s="41"/>
      <c r="AJ1077" s="41"/>
      <c r="AK1077" s="41"/>
      <c r="AL1077" s="41"/>
      <c r="AM1077" s="41"/>
      <c r="AN1077" s="41"/>
      <c r="AO1077" s="41"/>
      <c r="AP1077" s="41"/>
      <c r="AQ1077" s="41"/>
    </row>
    <row r="1078">
      <c r="A1078" s="41"/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  <c r="AM1078" s="41"/>
      <c r="AN1078" s="41"/>
      <c r="AO1078" s="41"/>
      <c r="AP1078" s="41"/>
      <c r="AQ1078" s="41"/>
    </row>
    <row r="1079">
      <c r="A1079" s="41"/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  <c r="AB1079" s="41"/>
      <c r="AC1079" s="41"/>
      <c r="AD1079" s="41"/>
      <c r="AE1079" s="41"/>
      <c r="AF1079" s="41"/>
      <c r="AG1079" s="41"/>
      <c r="AH1079" s="41"/>
      <c r="AI1079" s="41"/>
      <c r="AJ1079" s="41"/>
      <c r="AK1079" s="41"/>
      <c r="AL1079" s="41"/>
      <c r="AM1079" s="41"/>
      <c r="AN1079" s="41"/>
      <c r="AO1079" s="41"/>
      <c r="AP1079" s="41"/>
      <c r="AQ1079" s="41"/>
    </row>
    <row r="1080">
      <c r="A1080" s="41"/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1"/>
      <c r="AC1080" s="41"/>
      <c r="AD1080" s="41"/>
      <c r="AE1080" s="41"/>
      <c r="AF1080" s="41"/>
      <c r="AG1080" s="41"/>
      <c r="AH1080" s="41"/>
      <c r="AI1080" s="41"/>
      <c r="AJ1080" s="41"/>
      <c r="AK1080" s="41"/>
      <c r="AL1080" s="41"/>
      <c r="AM1080" s="41"/>
      <c r="AN1080" s="41"/>
      <c r="AO1080" s="41"/>
      <c r="AP1080" s="41"/>
      <c r="AQ1080" s="41"/>
    </row>
    <row r="1081">
      <c r="A1081" s="41"/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  <c r="AB1081" s="41"/>
      <c r="AC1081" s="41"/>
      <c r="AD1081" s="41"/>
      <c r="AE1081" s="41"/>
      <c r="AF1081" s="41"/>
      <c r="AG1081" s="41"/>
      <c r="AH1081" s="41"/>
      <c r="AI1081" s="41"/>
      <c r="AJ1081" s="41"/>
      <c r="AK1081" s="41"/>
      <c r="AL1081" s="41"/>
      <c r="AM1081" s="41"/>
      <c r="AN1081" s="41"/>
      <c r="AO1081" s="41"/>
      <c r="AP1081" s="41"/>
      <c r="AQ1081" s="41"/>
    </row>
    <row r="1082">
      <c r="A1082" s="41"/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  <c r="AB1082" s="41"/>
      <c r="AC1082" s="41"/>
      <c r="AD1082" s="41"/>
      <c r="AE1082" s="41"/>
      <c r="AF1082" s="41"/>
      <c r="AG1082" s="41"/>
      <c r="AH1082" s="41"/>
      <c r="AI1082" s="41"/>
      <c r="AJ1082" s="41"/>
      <c r="AK1082" s="41"/>
      <c r="AL1082" s="41"/>
      <c r="AM1082" s="41"/>
      <c r="AN1082" s="41"/>
      <c r="AO1082" s="41"/>
      <c r="AP1082" s="41"/>
      <c r="AQ1082" s="41"/>
    </row>
    <row r="1083">
      <c r="A1083" s="41"/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1"/>
      <c r="AC1083" s="41"/>
      <c r="AD1083" s="41"/>
      <c r="AE1083" s="41"/>
      <c r="AF1083" s="41"/>
      <c r="AG1083" s="41"/>
      <c r="AH1083" s="41"/>
      <c r="AI1083" s="41"/>
      <c r="AJ1083" s="41"/>
      <c r="AK1083" s="41"/>
      <c r="AL1083" s="41"/>
      <c r="AM1083" s="41"/>
      <c r="AN1083" s="41"/>
      <c r="AO1083" s="41"/>
      <c r="AP1083" s="41"/>
      <c r="AQ1083" s="41"/>
    </row>
    <row r="1084">
      <c r="A1084" s="41"/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1"/>
      <c r="AC1084" s="41"/>
      <c r="AD1084" s="41"/>
      <c r="AE1084" s="41"/>
      <c r="AF1084" s="41"/>
      <c r="AG1084" s="41"/>
      <c r="AH1084" s="41"/>
      <c r="AI1084" s="41"/>
      <c r="AJ1084" s="41"/>
      <c r="AK1084" s="41"/>
      <c r="AL1084" s="41"/>
      <c r="AM1084" s="41"/>
      <c r="AN1084" s="41"/>
      <c r="AO1084" s="41"/>
      <c r="AP1084" s="41"/>
      <c r="AQ1084" s="41"/>
    </row>
    <row r="1085">
      <c r="A1085" s="41"/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  <c r="AB1085" s="41"/>
      <c r="AC1085" s="41"/>
      <c r="AD1085" s="41"/>
      <c r="AE1085" s="41"/>
      <c r="AF1085" s="41"/>
      <c r="AG1085" s="41"/>
      <c r="AH1085" s="41"/>
      <c r="AI1085" s="41"/>
      <c r="AJ1085" s="41"/>
      <c r="AK1085" s="41"/>
      <c r="AL1085" s="41"/>
      <c r="AM1085" s="41"/>
      <c r="AN1085" s="41"/>
      <c r="AO1085" s="41"/>
      <c r="AP1085" s="41"/>
      <c r="AQ1085" s="41"/>
    </row>
    <row r="1086">
      <c r="A1086" s="41"/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  <c r="AB1086" s="41"/>
      <c r="AC1086" s="41"/>
      <c r="AD1086" s="41"/>
      <c r="AE1086" s="41"/>
      <c r="AF1086" s="41"/>
      <c r="AG1086" s="41"/>
      <c r="AH1086" s="41"/>
      <c r="AI1086" s="41"/>
      <c r="AJ1086" s="41"/>
      <c r="AK1086" s="41"/>
      <c r="AL1086" s="41"/>
      <c r="AM1086" s="41"/>
      <c r="AN1086" s="41"/>
      <c r="AO1086" s="41"/>
      <c r="AP1086" s="41"/>
      <c r="AQ1086" s="41"/>
    </row>
    <row r="1087">
      <c r="A1087" s="41"/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  <c r="AB1087" s="41"/>
      <c r="AC1087" s="41"/>
      <c r="AD1087" s="41"/>
      <c r="AE1087" s="41"/>
      <c r="AF1087" s="41"/>
      <c r="AG1087" s="41"/>
      <c r="AH1087" s="41"/>
      <c r="AI1087" s="41"/>
      <c r="AJ1087" s="41"/>
      <c r="AK1087" s="41"/>
      <c r="AL1087" s="41"/>
      <c r="AM1087" s="41"/>
      <c r="AN1087" s="41"/>
      <c r="AO1087" s="41"/>
      <c r="AP1087" s="41"/>
      <c r="AQ1087" s="41"/>
    </row>
    <row r="1088">
      <c r="A1088" s="41"/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  <c r="AB1088" s="41"/>
      <c r="AC1088" s="41"/>
      <c r="AD1088" s="41"/>
      <c r="AE1088" s="41"/>
      <c r="AF1088" s="41"/>
      <c r="AG1088" s="41"/>
      <c r="AH1088" s="41"/>
      <c r="AI1088" s="41"/>
      <c r="AJ1088" s="41"/>
      <c r="AK1088" s="41"/>
      <c r="AL1088" s="41"/>
      <c r="AM1088" s="41"/>
      <c r="AN1088" s="41"/>
      <c r="AO1088" s="41"/>
      <c r="AP1088" s="41"/>
      <c r="AQ1088" s="41"/>
    </row>
    <row r="1089">
      <c r="A1089" s="41"/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  <c r="AB1089" s="41"/>
      <c r="AC1089" s="41"/>
      <c r="AD1089" s="41"/>
      <c r="AE1089" s="41"/>
      <c r="AF1089" s="41"/>
      <c r="AG1089" s="41"/>
      <c r="AH1089" s="41"/>
      <c r="AI1089" s="41"/>
      <c r="AJ1089" s="41"/>
      <c r="AK1089" s="41"/>
      <c r="AL1089" s="41"/>
      <c r="AM1089" s="41"/>
      <c r="AN1089" s="41"/>
      <c r="AO1089" s="41"/>
      <c r="AP1089" s="41"/>
      <c r="AQ1089" s="41"/>
    </row>
    <row r="1090">
      <c r="A1090" s="41"/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  <c r="AC1090" s="41"/>
      <c r="AD1090" s="41"/>
      <c r="AE1090" s="41"/>
      <c r="AF1090" s="41"/>
      <c r="AG1090" s="41"/>
      <c r="AH1090" s="41"/>
      <c r="AI1090" s="41"/>
      <c r="AJ1090" s="41"/>
      <c r="AK1090" s="41"/>
      <c r="AL1090" s="41"/>
      <c r="AM1090" s="41"/>
      <c r="AN1090" s="41"/>
      <c r="AO1090" s="41"/>
      <c r="AP1090" s="41"/>
      <c r="AQ1090" s="41"/>
    </row>
    <row r="1091">
      <c r="A1091" s="41"/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1"/>
      <c r="AC1091" s="41"/>
      <c r="AD1091" s="41"/>
      <c r="AE1091" s="41"/>
      <c r="AF1091" s="41"/>
      <c r="AG1091" s="41"/>
      <c r="AH1091" s="41"/>
      <c r="AI1091" s="41"/>
      <c r="AJ1091" s="41"/>
      <c r="AK1091" s="41"/>
      <c r="AL1091" s="41"/>
      <c r="AM1091" s="41"/>
      <c r="AN1091" s="41"/>
      <c r="AO1091" s="41"/>
      <c r="AP1091" s="41"/>
      <c r="AQ1091" s="41"/>
    </row>
    <row r="1092">
      <c r="A1092" s="41"/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/>
      <c r="AN1092" s="41"/>
      <c r="AO1092" s="41"/>
      <c r="AP1092" s="41"/>
      <c r="AQ1092" s="41"/>
    </row>
    <row r="1093">
      <c r="A1093" s="41"/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  <c r="AB1093" s="41"/>
      <c r="AC1093" s="41"/>
      <c r="AD1093" s="41"/>
      <c r="AE1093" s="41"/>
      <c r="AF1093" s="41"/>
      <c r="AG1093" s="41"/>
      <c r="AH1093" s="41"/>
      <c r="AI1093" s="41"/>
      <c r="AJ1093" s="41"/>
      <c r="AK1093" s="41"/>
      <c r="AL1093" s="41"/>
      <c r="AM1093" s="41"/>
      <c r="AN1093" s="41"/>
      <c r="AO1093" s="41"/>
      <c r="AP1093" s="41"/>
      <c r="AQ1093" s="41"/>
    </row>
    <row r="1094">
      <c r="A1094" s="41"/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  <c r="AB1094" s="41"/>
      <c r="AC1094" s="41"/>
      <c r="AD1094" s="41"/>
      <c r="AE1094" s="41"/>
      <c r="AF1094" s="41"/>
      <c r="AG1094" s="41"/>
      <c r="AH1094" s="41"/>
      <c r="AI1094" s="41"/>
      <c r="AJ1094" s="41"/>
      <c r="AK1094" s="41"/>
      <c r="AL1094" s="41"/>
      <c r="AM1094" s="41"/>
      <c r="AN1094" s="41"/>
      <c r="AO1094" s="41"/>
      <c r="AP1094" s="41"/>
      <c r="AQ1094" s="41"/>
    </row>
    <row r="1095">
      <c r="A1095" s="41"/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1"/>
      <c r="AC1095" s="41"/>
      <c r="AD1095" s="41"/>
      <c r="AE1095" s="41"/>
      <c r="AF1095" s="41"/>
      <c r="AG1095" s="41"/>
      <c r="AH1095" s="41"/>
      <c r="AI1095" s="41"/>
      <c r="AJ1095" s="41"/>
      <c r="AK1095" s="41"/>
      <c r="AL1095" s="41"/>
      <c r="AM1095" s="41"/>
      <c r="AN1095" s="41"/>
      <c r="AO1095" s="41"/>
      <c r="AP1095" s="41"/>
      <c r="AQ1095" s="41"/>
    </row>
    <row r="1096">
      <c r="A1096" s="41"/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  <c r="AI1096" s="41"/>
      <c r="AJ1096" s="41"/>
      <c r="AK1096" s="41"/>
      <c r="AL1096" s="41"/>
      <c r="AM1096" s="41"/>
      <c r="AN1096" s="41"/>
      <c r="AO1096" s="41"/>
      <c r="AP1096" s="41"/>
      <c r="AQ1096" s="41"/>
    </row>
    <row r="1097">
      <c r="A1097" s="41"/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  <c r="AI1097" s="41"/>
      <c r="AJ1097" s="41"/>
      <c r="AK1097" s="41"/>
      <c r="AL1097" s="41"/>
      <c r="AM1097" s="41"/>
      <c r="AN1097" s="41"/>
      <c r="AO1097" s="41"/>
      <c r="AP1097" s="41"/>
      <c r="AQ1097" s="41"/>
    </row>
    <row r="1098">
      <c r="A1098" s="41"/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  <c r="AB1098" s="41"/>
      <c r="AC1098" s="41"/>
      <c r="AD1098" s="41"/>
      <c r="AE1098" s="41"/>
      <c r="AF1098" s="41"/>
      <c r="AG1098" s="41"/>
      <c r="AH1098" s="41"/>
      <c r="AI1098" s="41"/>
      <c r="AJ1098" s="41"/>
      <c r="AK1098" s="41"/>
      <c r="AL1098" s="41"/>
      <c r="AM1098" s="41"/>
      <c r="AN1098" s="41"/>
      <c r="AO1098" s="41"/>
      <c r="AP1098" s="41"/>
      <c r="AQ1098" s="41"/>
    </row>
    <row r="1099">
      <c r="A1099" s="41"/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  <c r="AB1099" s="41"/>
      <c r="AC1099" s="41"/>
      <c r="AD1099" s="41"/>
      <c r="AE1099" s="41"/>
      <c r="AF1099" s="41"/>
      <c r="AG1099" s="41"/>
      <c r="AH1099" s="41"/>
      <c r="AI1099" s="41"/>
      <c r="AJ1099" s="41"/>
      <c r="AK1099" s="41"/>
      <c r="AL1099" s="41"/>
      <c r="AM1099" s="41"/>
      <c r="AN1099" s="41"/>
      <c r="AO1099" s="41"/>
      <c r="AP1099" s="41"/>
      <c r="AQ1099" s="41"/>
    </row>
    <row r="1100">
      <c r="A1100" s="41"/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  <c r="AA1100" s="41"/>
      <c r="AB1100" s="41"/>
      <c r="AC1100" s="41"/>
      <c r="AD1100" s="41"/>
      <c r="AE1100" s="41"/>
      <c r="AF1100" s="41"/>
      <c r="AG1100" s="41"/>
      <c r="AH1100" s="41"/>
      <c r="AI1100" s="41"/>
      <c r="AJ1100" s="41"/>
      <c r="AK1100" s="41"/>
      <c r="AL1100" s="41"/>
      <c r="AM1100" s="41"/>
      <c r="AN1100" s="41"/>
      <c r="AO1100" s="41"/>
      <c r="AP1100" s="41"/>
      <c r="AQ1100" s="41"/>
    </row>
    <row r="1101">
      <c r="A1101" s="41"/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1"/>
      <c r="AC1101" s="41"/>
      <c r="AD1101" s="41"/>
      <c r="AE1101" s="41"/>
      <c r="AF1101" s="41"/>
      <c r="AG1101" s="41"/>
      <c r="AH1101" s="41"/>
      <c r="AI1101" s="41"/>
      <c r="AJ1101" s="41"/>
      <c r="AK1101" s="41"/>
      <c r="AL1101" s="41"/>
      <c r="AM1101" s="41"/>
      <c r="AN1101" s="41"/>
      <c r="AO1101" s="41"/>
      <c r="AP1101" s="41"/>
      <c r="AQ1101" s="41"/>
    </row>
    <row r="1102">
      <c r="A1102" s="41"/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  <c r="AB1102" s="41"/>
      <c r="AC1102" s="41"/>
      <c r="AD1102" s="41"/>
      <c r="AE1102" s="41"/>
      <c r="AF1102" s="41"/>
      <c r="AG1102" s="41"/>
      <c r="AH1102" s="41"/>
      <c r="AI1102" s="41"/>
      <c r="AJ1102" s="41"/>
      <c r="AK1102" s="41"/>
      <c r="AL1102" s="41"/>
      <c r="AM1102" s="41"/>
      <c r="AN1102" s="41"/>
      <c r="AO1102" s="41"/>
      <c r="AP1102" s="41"/>
      <c r="AQ1102" s="41"/>
    </row>
    <row r="1103">
      <c r="A1103" s="41"/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  <c r="AB1103" s="41"/>
      <c r="AC1103" s="41"/>
      <c r="AD1103" s="41"/>
      <c r="AE1103" s="41"/>
      <c r="AF1103" s="41"/>
      <c r="AG1103" s="41"/>
      <c r="AH1103" s="41"/>
      <c r="AI1103" s="41"/>
      <c r="AJ1103" s="41"/>
      <c r="AK1103" s="41"/>
      <c r="AL1103" s="41"/>
      <c r="AM1103" s="41"/>
      <c r="AN1103" s="41"/>
      <c r="AO1103" s="41"/>
      <c r="AP1103" s="41"/>
      <c r="AQ1103" s="41"/>
    </row>
    <row r="1104">
      <c r="A1104" s="41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1"/>
      <c r="AC1104" s="41"/>
      <c r="AD1104" s="41"/>
      <c r="AE1104" s="41"/>
      <c r="AF1104" s="41"/>
      <c r="AG1104" s="41"/>
      <c r="AH1104" s="41"/>
      <c r="AI1104" s="41"/>
      <c r="AJ1104" s="41"/>
      <c r="AK1104" s="41"/>
      <c r="AL1104" s="41"/>
      <c r="AM1104" s="41"/>
      <c r="AN1104" s="41"/>
      <c r="AO1104" s="41"/>
      <c r="AP1104" s="41"/>
      <c r="AQ1104" s="41"/>
    </row>
    <row r="1105">
      <c r="A1105" s="41"/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  <c r="AB1105" s="41"/>
      <c r="AC1105" s="41"/>
      <c r="AD1105" s="41"/>
      <c r="AE1105" s="41"/>
      <c r="AF1105" s="41"/>
      <c r="AG1105" s="41"/>
      <c r="AH1105" s="41"/>
      <c r="AI1105" s="41"/>
      <c r="AJ1105" s="41"/>
      <c r="AK1105" s="41"/>
      <c r="AL1105" s="41"/>
      <c r="AM1105" s="41"/>
      <c r="AN1105" s="41"/>
      <c r="AO1105" s="41"/>
      <c r="AP1105" s="41"/>
      <c r="AQ1105" s="41"/>
    </row>
    <row r="1106">
      <c r="A1106" s="41"/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  <c r="AB1106" s="41"/>
      <c r="AC1106" s="41"/>
      <c r="AD1106" s="41"/>
      <c r="AE1106" s="41"/>
      <c r="AF1106" s="41"/>
      <c r="AG1106" s="41"/>
      <c r="AH1106" s="41"/>
      <c r="AI1106" s="41"/>
      <c r="AJ1106" s="41"/>
      <c r="AK1106" s="41"/>
      <c r="AL1106" s="41"/>
      <c r="AM1106" s="41"/>
      <c r="AN1106" s="41"/>
      <c r="AO1106" s="41"/>
      <c r="AP1106" s="41"/>
      <c r="AQ1106" s="41"/>
    </row>
    <row r="1107">
      <c r="A1107" s="41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  <c r="AB1107" s="41"/>
      <c r="AC1107" s="41"/>
      <c r="AD1107" s="41"/>
      <c r="AE1107" s="41"/>
      <c r="AF1107" s="41"/>
      <c r="AG1107" s="41"/>
      <c r="AH1107" s="41"/>
      <c r="AI1107" s="41"/>
      <c r="AJ1107" s="41"/>
      <c r="AK1107" s="41"/>
      <c r="AL1107" s="41"/>
      <c r="AM1107" s="41"/>
      <c r="AN1107" s="41"/>
      <c r="AO1107" s="41"/>
      <c r="AP1107" s="41"/>
      <c r="AQ1107" s="41"/>
    </row>
    <row r="1108">
      <c r="A1108" s="41"/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  <c r="AA1108" s="41"/>
      <c r="AB1108" s="41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  <c r="AM1108" s="41"/>
      <c r="AN1108" s="41"/>
      <c r="AO1108" s="41"/>
      <c r="AP1108" s="41"/>
      <c r="AQ1108" s="41"/>
    </row>
    <row r="1109">
      <c r="A1109" s="41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  <c r="AB1109" s="41"/>
      <c r="AC1109" s="41"/>
      <c r="AD1109" s="41"/>
      <c r="AE1109" s="41"/>
      <c r="AF1109" s="41"/>
      <c r="AG1109" s="41"/>
      <c r="AH1109" s="41"/>
      <c r="AI1109" s="41"/>
      <c r="AJ1109" s="41"/>
      <c r="AK1109" s="41"/>
      <c r="AL1109" s="41"/>
      <c r="AM1109" s="41"/>
      <c r="AN1109" s="41"/>
      <c r="AO1109" s="41"/>
      <c r="AP1109" s="41"/>
      <c r="AQ1109" s="41"/>
    </row>
    <row r="1110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  <c r="AB1110" s="41"/>
      <c r="AC1110" s="41"/>
      <c r="AD1110" s="41"/>
      <c r="AE1110" s="41"/>
      <c r="AF1110" s="41"/>
      <c r="AG1110" s="41"/>
      <c r="AH1110" s="41"/>
      <c r="AI1110" s="41"/>
      <c r="AJ1110" s="41"/>
      <c r="AK1110" s="41"/>
      <c r="AL1110" s="41"/>
      <c r="AM1110" s="41"/>
      <c r="AN1110" s="41"/>
      <c r="AO1110" s="41"/>
      <c r="AP1110" s="41"/>
      <c r="AQ1110" s="41"/>
    </row>
    <row r="1111">
      <c r="A1111" s="41"/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  <c r="AB1111" s="41"/>
      <c r="AC1111" s="41"/>
      <c r="AD1111" s="41"/>
      <c r="AE1111" s="41"/>
      <c r="AF1111" s="41"/>
      <c r="AG1111" s="41"/>
      <c r="AH1111" s="41"/>
      <c r="AI1111" s="41"/>
      <c r="AJ1111" s="41"/>
      <c r="AK1111" s="41"/>
      <c r="AL1111" s="41"/>
      <c r="AM1111" s="41"/>
      <c r="AN1111" s="41"/>
      <c r="AO1111" s="41"/>
      <c r="AP1111" s="41"/>
      <c r="AQ1111" s="41"/>
    </row>
    <row r="1112">
      <c r="A1112" s="41"/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  <c r="AB1112" s="41"/>
      <c r="AC1112" s="41"/>
      <c r="AD1112" s="41"/>
      <c r="AE1112" s="41"/>
      <c r="AF1112" s="41"/>
      <c r="AG1112" s="41"/>
      <c r="AH1112" s="41"/>
      <c r="AI1112" s="41"/>
      <c r="AJ1112" s="41"/>
      <c r="AK1112" s="41"/>
      <c r="AL1112" s="41"/>
      <c r="AM1112" s="41"/>
      <c r="AN1112" s="41"/>
      <c r="AO1112" s="41"/>
      <c r="AP1112" s="41"/>
      <c r="AQ1112" s="41"/>
    </row>
    <row r="1113">
      <c r="A1113" s="41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  <c r="AB1113" s="41"/>
      <c r="AC1113" s="41"/>
      <c r="AD1113" s="41"/>
      <c r="AE1113" s="41"/>
      <c r="AF1113" s="41"/>
      <c r="AG1113" s="41"/>
      <c r="AH1113" s="41"/>
      <c r="AI1113" s="41"/>
      <c r="AJ1113" s="41"/>
      <c r="AK1113" s="41"/>
      <c r="AL1113" s="41"/>
      <c r="AM1113" s="41"/>
      <c r="AN1113" s="41"/>
      <c r="AO1113" s="41"/>
      <c r="AP1113" s="41"/>
      <c r="AQ1113" s="41"/>
    </row>
    <row r="1114">
      <c r="A1114" s="41"/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  <c r="AM1114" s="41"/>
      <c r="AN1114" s="41"/>
      <c r="AO1114" s="41"/>
      <c r="AP1114" s="41"/>
      <c r="AQ1114" s="41"/>
    </row>
    <row r="1115">
      <c r="A1115" s="41"/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  <c r="AB1115" s="41"/>
      <c r="AC1115" s="41"/>
      <c r="AD1115" s="41"/>
      <c r="AE1115" s="41"/>
      <c r="AF1115" s="41"/>
      <c r="AG1115" s="41"/>
      <c r="AH1115" s="41"/>
      <c r="AI1115" s="41"/>
      <c r="AJ1115" s="41"/>
      <c r="AK1115" s="41"/>
      <c r="AL1115" s="41"/>
      <c r="AM1115" s="41"/>
      <c r="AN1115" s="41"/>
      <c r="AO1115" s="41"/>
      <c r="AP1115" s="41"/>
      <c r="AQ1115" s="41"/>
    </row>
    <row r="1116">
      <c r="A1116" s="41"/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  <c r="AA1116" s="41"/>
      <c r="AB1116" s="41"/>
      <c r="AC1116" s="41"/>
      <c r="AD1116" s="41"/>
      <c r="AE1116" s="41"/>
      <c r="AF1116" s="41"/>
      <c r="AG1116" s="41"/>
      <c r="AH1116" s="41"/>
      <c r="AI1116" s="41"/>
      <c r="AJ1116" s="41"/>
      <c r="AK1116" s="41"/>
      <c r="AL1116" s="41"/>
      <c r="AM1116" s="41"/>
      <c r="AN1116" s="41"/>
      <c r="AO1116" s="41"/>
      <c r="AP1116" s="41"/>
      <c r="AQ1116" s="41"/>
    </row>
    <row r="1117">
      <c r="A1117" s="41"/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  <c r="AB1117" s="41"/>
      <c r="AC1117" s="41"/>
      <c r="AD1117" s="41"/>
      <c r="AE1117" s="41"/>
      <c r="AF1117" s="41"/>
      <c r="AG1117" s="41"/>
      <c r="AH1117" s="41"/>
      <c r="AI1117" s="41"/>
      <c r="AJ1117" s="41"/>
      <c r="AK1117" s="41"/>
      <c r="AL1117" s="41"/>
      <c r="AM1117" s="41"/>
      <c r="AN1117" s="41"/>
      <c r="AO1117" s="41"/>
      <c r="AP1117" s="41"/>
      <c r="AQ1117" s="41"/>
    </row>
    <row r="1118">
      <c r="A1118" s="41"/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  <c r="AA1118" s="41"/>
      <c r="AB1118" s="41"/>
      <c r="AC1118" s="41"/>
      <c r="AD1118" s="41"/>
      <c r="AE1118" s="41"/>
      <c r="AF1118" s="41"/>
      <c r="AG1118" s="41"/>
      <c r="AH1118" s="41"/>
      <c r="AI1118" s="41"/>
      <c r="AJ1118" s="41"/>
      <c r="AK1118" s="41"/>
      <c r="AL1118" s="41"/>
      <c r="AM1118" s="41"/>
      <c r="AN1118" s="41"/>
      <c r="AO1118" s="41"/>
      <c r="AP1118" s="41"/>
      <c r="AQ1118" s="41"/>
    </row>
    <row r="1119">
      <c r="A1119" s="41"/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  <c r="AA1119" s="41"/>
      <c r="AB1119" s="41"/>
      <c r="AC1119" s="41"/>
      <c r="AD1119" s="41"/>
      <c r="AE1119" s="41"/>
      <c r="AF1119" s="41"/>
      <c r="AG1119" s="41"/>
      <c r="AH1119" s="41"/>
      <c r="AI1119" s="41"/>
      <c r="AJ1119" s="41"/>
      <c r="AK1119" s="41"/>
      <c r="AL1119" s="41"/>
      <c r="AM1119" s="41"/>
      <c r="AN1119" s="41"/>
      <c r="AO1119" s="41"/>
      <c r="AP1119" s="41"/>
      <c r="AQ1119" s="41"/>
    </row>
    <row r="1120">
      <c r="A1120" s="41"/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  <c r="AB1120" s="41"/>
      <c r="AC1120" s="41"/>
      <c r="AD1120" s="41"/>
      <c r="AE1120" s="41"/>
      <c r="AF1120" s="41"/>
      <c r="AG1120" s="41"/>
      <c r="AH1120" s="41"/>
      <c r="AI1120" s="41"/>
      <c r="AJ1120" s="41"/>
      <c r="AK1120" s="41"/>
      <c r="AL1120" s="41"/>
      <c r="AM1120" s="41"/>
      <c r="AN1120" s="41"/>
      <c r="AO1120" s="41"/>
      <c r="AP1120" s="41"/>
      <c r="AQ1120" s="41"/>
    </row>
    <row r="1121">
      <c r="A1121" s="41"/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  <c r="AB1121" s="41"/>
      <c r="AC1121" s="41"/>
      <c r="AD1121" s="41"/>
      <c r="AE1121" s="41"/>
      <c r="AF1121" s="41"/>
      <c r="AG1121" s="41"/>
      <c r="AH1121" s="41"/>
      <c r="AI1121" s="41"/>
      <c r="AJ1121" s="41"/>
      <c r="AK1121" s="41"/>
      <c r="AL1121" s="41"/>
      <c r="AM1121" s="41"/>
      <c r="AN1121" s="41"/>
      <c r="AO1121" s="41"/>
      <c r="AP1121" s="41"/>
      <c r="AQ1121" s="41"/>
    </row>
    <row r="1122">
      <c r="A1122" s="41"/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  <c r="AB1122" s="41"/>
      <c r="AC1122" s="41"/>
      <c r="AD1122" s="41"/>
      <c r="AE1122" s="41"/>
      <c r="AF1122" s="41"/>
      <c r="AG1122" s="41"/>
      <c r="AH1122" s="41"/>
      <c r="AI1122" s="41"/>
      <c r="AJ1122" s="41"/>
      <c r="AK1122" s="41"/>
      <c r="AL1122" s="41"/>
      <c r="AM1122" s="41"/>
      <c r="AN1122" s="41"/>
      <c r="AO1122" s="41"/>
      <c r="AP1122" s="41"/>
      <c r="AQ1122" s="41"/>
    </row>
    <row r="1123">
      <c r="A1123" s="41"/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  <c r="AA1123" s="41"/>
      <c r="AB1123" s="41"/>
      <c r="AC1123" s="41"/>
      <c r="AD1123" s="41"/>
      <c r="AE1123" s="41"/>
      <c r="AF1123" s="41"/>
      <c r="AG1123" s="41"/>
      <c r="AH1123" s="41"/>
      <c r="AI1123" s="41"/>
      <c r="AJ1123" s="41"/>
      <c r="AK1123" s="41"/>
      <c r="AL1123" s="41"/>
      <c r="AM1123" s="41"/>
      <c r="AN1123" s="41"/>
      <c r="AO1123" s="41"/>
      <c r="AP1123" s="41"/>
      <c r="AQ1123" s="41"/>
    </row>
    <row r="1124">
      <c r="A1124" s="41"/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41"/>
      <c r="AM1124" s="41"/>
      <c r="AN1124" s="41"/>
      <c r="AO1124" s="41"/>
      <c r="AP1124" s="41"/>
      <c r="AQ1124" s="41"/>
    </row>
    <row r="1125">
      <c r="A1125" s="41"/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  <c r="AI1125" s="41"/>
      <c r="AJ1125" s="41"/>
      <c r="AK1125" s="41"/>
      <c r="AL1125" s="41"/>
      <c r="AM1125" s="41"/>
      <c r="AN1125" s="41"/>
      <c r="AO1125" s="41"/>
      <c r="AP1125" s="41"/>
      <c r="AQ1125" s="41"/>
    </row>
    <row r="1126">
      <c r="A1126" s="41"/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  <c r="AA1126" s="41"/>
      <c r="AB1126" s="41"/>
      <c r="AC1126" s="41"/>
      <c r="AD1126" s="41"/>
      <c r="AE1126" s="41"/>
      <c r="AF1126" s="41"/>
      <c r="AG1126" s="41"/>
      <c r="AH1126" s="41"/>
      <c r="AI1126" s="41"/>
      <c r="AJ1126" s="41"/>
      <c r="AK1126" s="41"/>
      <c r="AL1126" s="41"/>
      <c r="AM1126" s="41"/>
      <c r="AN1126" s="41"/>
      <c r="AO1126" s="41"/>
      <c r="AP1126" s="41"/>
      <c r="AQ1126" s="41"/>
    </row>
    <row r="1127">
      <c r="A1127" s="41"/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  <c r="AA1127" s="41"/>
      <c r="AB1127" s="41"/>
      <c r="AC1127" s="41"/>
      <c r="AD1127" s="41"/>
      <c r="AE1127" s="41"/>
      <c r="AF1127" s="41"/>
      <c r="AG1127" s="41"/>
      <c r="AH1127" s="41"/>
      <c r="AI1127" s="41"/>
      <c r="AJ1127" s="41"/>
      <c r="AK1127" s="41"/>
      <c r="AL1127" s="41"/>
      <c r="AM1127" s="41"/>
      <c r="AN1127" s="41"/>
      <c r="AO1127" s="41"/>
      <c r="AP1127" s="41"/>
      <c r="AQ1127" s="41"/>
    </row>
    <row r="1128">
      <c r="A1128" s="41"/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  <c r="AB1128" s="41"/>
      <c r="AC1128" s="41"/>
      <c r="AD1128" s="41"/>
      <c r="AE1128" s="41"/>
      <c r="AF1128" s="41"/>
      <c r="AG1128" s="41"/>
      <c r="AH1128" s="41"/>
      <c r="AI1128" s="41"/>
      <c r="AJ1128" s="41"/>
      <c r="AK1128" s="41"/>
      <c r="AL1128" s="41"/>
      <c r="AM1128" s="41"/>
      <c r="AN1128" s="41"/>
      <c r="AO1128" s="41"/>
      <c r="AP1128" s="41"/>
      <c r="AQ1128" s="41"/>
    </row>
    <row r="1129">
      <c r="A1129" s="41"/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1"/>
      <c r="AC1129" s="41"/>
      <c r="AD1129" s="41"/>
      <c r="AE1129" s="41"/>
      <c r="AF1129" s="41"/>
      <c r="AG1129" s="41"/>
      <c r="AH1129" s="41"/>
      <c r="AI1129" s="41"/>
      <c r="AJ1129" s="41"/>
      <c r="AK1129" s="41"/>
      <c r="AL1129" s="41"/>
      <c r="AM1129" s="41"/>
      <c r="AN1129" s="41"/>
      <c r="AO1129" s="41"/>
      <c r="AP1129" s="41"/>
      <c r="AQ1129" s="41"/>
    </row>
    <row r="1130">
      <c r="A1130" s="41"/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/>
      <c r="AN1130" s="41"/>
      <c r="AO1130" s="41"/>
      <c r="AP1130" s="41"/>
      <c r="AQ1130" s="41"/>
    </row>
    <row r="1131">
      <c r="A1131" s="41"/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  <c r="AC1131" s="41"/>
      <c r="AD1131" s="41"/>
      <c r="AE1131" s="41"/>
      <c r="AF1131" s="41"/>
      <c r="AG1131" s="41"/>
      <c r="AH1131" s="41"/>
      <c r="AI1131" s="41"/>
      <c r="AJ1131" s="41"/>
      <c r="AK1131" s="41"/>
      <c r="AL1131" s="41"/>
      <c r="AM1131" s="41"/>
      <c r="AN1131" s="41"/>
      <c r="AO1131" s="41"/>
      <c r="AP1131" s="41"/>
      <c r="AQ1131" s="41"/>
    </row>
    <row r="1132">
      <c r="A1132" s="41"/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  <c r="AI1132" s="41"/>
      <c r="AJ1132" s="41"/>
      <c r="AK1132" s="41"/>
      <c r="AL1132" s="41"/>
      <c r="AM1132" s="41"/>
      <c r="AN1132" s="41"/>
      <c r="AO1132" s="41"/>
      <c r="AP1132" s="41"/>
      <c r="AQ1132" s="41"/>
    </row>
    <row r="1133">
      <c r="A1133" s="41"/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1"/>
      <c r="AC1133" s="41"/>
      <c r="AD1133" s="41"/>
      <c r="AE1133" s="41"/>
      <c r="AF1133" s="41"/>
      <c r="AG1133" s="41"/>
      <c r="AH1133" s="41"/>
      <c r="AI1133" s="41"/>
      <c r="AJ1133" s="41"/>
      <c r="AK1133" s="41"/>
      <c r="AL1133" s="41"/>
      <c r="AM1133" s="41"/>
      <c r="AN1133" s="41"/>
      <c r="AO1133" s="41"/>
      <c r="AP1133" s="41"/>
      <c r="AQ1133" s="41"/>
    </row>
    <row r="1134">
      <c r="A1134" s="41"/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  <c r="AA1134" s="41"/>
      <c r="AB1134" s="41"/>
      <c r="AC1134" s="41"/>
      <c r="AD1134" s="41"/>
      <c r="AE1134" s="41"/>
      <c r="AF1134" s="41"/>
      <c r="AG1134" s="41"/>
      <c r="AH1134" s="41"/>
      <c r="AI1134" s="41"/>
      <c r="AJ1134" s="41"/>
      <c r="AK1134" s="41"/>
      <c r="AL1134" s="41"/>
      <c r="AM1134" s="41"/>
      <c r="AN1134" s="41"/>
      <c r="AO1134" s="41"/>
      <c r="AP1134" s="41"/>
      <c r="AQ1134" s="41"/>
    </row>
    <row r="1135">
      <c r="A1135" s="41"/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  <c r="AB1135" s="41"/>
      <c r="AC1135" s="41"/>
      <c r="AD1135" s="41"/>
      <c r="AE1135" s="41"/>
      <c r="AF1135" s="41"/>
      <c r="AG1135" s="41"/>
      <c r="AH1135" s="41"/>
      <c r="AI1135" s="41"/>
      <c r="AJ1135" s="41"/>
      <c r="AK1135" s="41"/>
      <c r="AL1135" s="41"/>
      <c r="AM1135" s="41"/>
      <c r="AN1135" s="41"/>
      <c r="AO1135" s="41"/>
      <c r="AP1135" s="41"/>
      <c r="AQ1135" s="41"/>
    </row>
    <row r="1136">
      <c r="A1136" s="41"/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  <c r="AA1136" s="41"/>
      <c r="AB1136" s="41"/>
      <c r="AC1136" s="41"/>
      <c r="AD1136" s="41"/>
      <c r="AE1136" s="41"/>
      <c r="AF1136" s="41"/>
      <c r="AG1136" s="41"/>
      <c r="AH1136" s="41"/>
      <c r="AI1136" s="41"/>
      <c r="AJ1136" s="41"/>
      <c r="AK1136" s="41"/>
      <c r="AL1136" s="41"/>
      <c r="AM1136" s="41"/>
      <c r="AN1136" s="41"/>
      <c r="AO1136" s="41"/>
      <c r="AP1136" s="41"/>
      <c r="AQ1136" s="41"/>
    </row>
    <row r="1137">
      <c r="A1137" s="41"/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  <c r="AB1137" s="41"/>
      <c r="AC1137" s="41"/>
      <c r="AD1137" s="41"/>
      <c r="AE1137" s="41"/>
      <c r="AF1137" s="41"/>
      <c r="AG1137" s="41"/>
      <c r="AH1137" s="41"/>
      <c r="AI1137" s="41"/>
      <c r="AJ1137" s="41"/>
      <c r="AK1137" s="41"/>
      <c r="AL1137" s="41"/>
      <c r="AM1137" s="41"/>
      <c r="AN1137" s="41"/>
      <c r="AO1137" s="41"/>
      <c r="AP1137" s="41"/>
      <c r="AQ1137" s="41"/>
    </row>
    <row r="1138">
      <c r="A1138" s="41"/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  <c r="AB1138" s="41"/>
      <c r="AC1138" s="41"/>
      <c r="AD1138" s="41"/>
      <c r="AE1138" s="41"/>
      <c r="AF1138" s="41"/>
      <c r="AG1138" s="41"/>
      <c r="AH1138" s="41"/>
      <c r="AI1138" s="41"/>
      <c r="AJ1138" s="41"/>
      <c r="AK1138" s="41"/>
      <c r="AL1138" s="41"/>
      <c r="AM1138" s="41"/>
      <c r="AN1138" s="41"/>
      <c r="AO1138" s="41"/>
      <c r="AP1138" s="41"/>
      <c r="AQ1138" s="41"/>
    </row>
    <row r="1139">
      <c r="A1139" s="41"/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  <c r="AB1139" s="41"/>
      <c r="AC1139" s="41"/>
      <c r="AD1139" s="41"/>
      <c r="AE1139" s="41"/>
      <c r="AF1139" s="41"/>
      <c r="AG1139" s="41"/>
      <c r="AH1139" s="41"/>
      <c r="AI1139" s="41"/>
      <c r="AJ1139" s="41"/>
      <c r="AK1139" s="41"/>
      <c r="AL1139" s="41"/>
      <c r="AM1139" s="41"/>
      <c r="AN1139" s="41"/>
      <c r="AO1139" s="41"/>
      <c r="AP1139" s="41"/>
      <c r="AQ1139" s="41"/>
    </row>
    <row r="1140">
      <c r="A1140" s="41"/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  <c r="AA1140" s="41"/>
      <c r="AB1140" s="41"/>
      <c r="AC1140" s="41"/>
      <c r="AD1140" s="41"/>
      <c r="AE1140" s="41"/>
      <c r="AF1140" s="41"/>
      <c r="AG1140" s="41"/>
      <c r="AH1140" s="41"/>
      <c r="AI1140" s="41"/>
      <c r="AJ1140" s="41"/>
      <c r="AK1140" s="41"/>
      <c r="AL1140" s="41"/>
      <c r="AM1140" s="41"/>
      <c r="AN1140" s="41"/>
      <c r="AO1140" s="41"/>
      <c r="AP1140" s="41"/>
      <c r="AQ1140" s="41"/>
    </row>
    <row r="1141">
      <c r="A1141" s="41"/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  <c r="AB1141" s="41"/>
      <c r="AC1141" s="41"/>
      <c r="AD1141" s="41"/>
      <c r="AE1141" s="41"/>
      <c r="AF1141" s="41"/>
      <c r="AG1141" s="41"/>
      <c r="AH1141" s="41"/>
      <c r="AI1141" s="41"/>
      <c r="AJ1141" s="41"/>
      <c r="AK1141" s="41"/>
      <c r="AL1141" s="41"/>
      <c r="AM1141" s="41"/>
      <c r="AN1141" s="41"/>
      <c r="AO1141" s="41"/>
      <c r="AP1141" s="41"/>
      <c r="AQ1141" s="41"/>
    </row>
    <row r="1142">
      <c r="A1142" s="41"/>
      <c r="B1142" s="41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  <c r="AB1142" s="41"/>
      <c r="AC1142" s="41"/>
      <c r="AD1142" s="41"/>
      <c r="AE1142" s="41"/>
      <c r="AF1142" s="41"/>
      <c r="AG1142" s="41"/>
      <c r="AH1142" s="41"/>
      <c r="AI1142" s="41"/>
      <c r="AJ1142" s="41"/>
      <c r="AK1142" s="41"/>
      <c r="AL1142" s="41"/>
      <c r="AM1142" s="41"/>
      <c r="AN1142" s="41"/>
      <c r="AO1142" s="41"/>
      <c r="AP1142" s="41"/>
      <c r="AQ1142" s="41"/>
    </row>
    <row r="1143">
      <c r="A1143" s="41"/>
      <c r="B1143" s="41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  <c r="AB1143" s="41"/>
      <c r="AC1143" s="41"/>
      <c r="AD1143" s="41"/>
      <c r="AE1143" s="41"/>
      <c r="AF1143" s="41"/>
      <c r="AG1143" s="41"/>
      <c r="AH1143" s="41"/>
      <c r="AI1143" s="41"/>
      <c r="AJ1143" s="41"/>
      <c r="AK1143" s="41"/>
      <c r="AL1143" s="41"/>
      <c r="AM1143" s="41"/>
      <c r="AN1143" s="41"/>
      <c r="AO1143" s="41"/>
      <c r="AP1143" s="41"/>
      <c r="AQ1143" s="41"/>
    </row>
    <row r="1144">
      <c r="A1144" s="41"/>
      <c r="B1144" s="41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  <c r="AB1144" s="41"/>
      <c r="AC1144" s="41"/>
      <c r="AD1144" s="41"/>
      <c r="AE1144" s="41"/>
      <c r="AF1144" s="41"/>
      <c r="AG1144" s="41"/>
      <c r="AH1144" s="41"/>
      <c r="AI1144" s="41"/>
      <c r="AJ1144" s="41"/>
      <c r="AK1144" s="41"/>
      <c r="AL1144" s="41"/>
      <c r="AM1144" s="41"/>
      <c r="AN1144" s="41"/>
      <c r="AO1144" s="41"/>
      <c r="AP1144" s="41"/>
      <c r="AQ1144" s="41"/>
    </row>
    <row r="1145">
      <c r="A1145" s="41"/>
      <c r="B1145" s="41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  <c r="AB1145" s="41"/>
      <c r="AC1145" s="41"/>
      <c r="AD1145" s="41"/>
      <c r="AE1145" s="41"/>
      <c r="AF1145" s="41"/>
      <c r="AG1145" s="41"/>
      <c r="AH1145" s="41"/>
      <c r="AI1145" s="41"/>
      <c r="AJ1145" s="41"/>
      <c r="AK1145" s="41"/>
      <c r="AL1145" s="41"/>
      <c r="AM1145" s="41"/>
      <c r="AN1145" s="41"/>
      <c r="AO1145" s="41"/>
      <c r="AP1145" s="41"/>
      <c r="AQ1145" s="41"/>
    </row>
    <row r="1146">
      <c r="A1146" s="41"/>
      <c r="B1146" s="41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  <c r="AB1146" s="41"/>
      <c r="AC1146" s="41"/>
      <c r="AD1146" s="41"/>
      <c r="AE1146" s="41"/>
      <c r="AF1146" s="41"/>
      <c r="AG1146" s="41"/>
      <c r="AH1146" s="41"/>
      <c r="AI1146" s="41"/>
      <c r="AJ1146" s="41"/>
      <c r="AK1146" s="41"/>
      <c r="AL1146" s="41"/>
      <c r="AM1146" s="41"/>
      <c r="AN1146" s="41"/>
      <c r="AO1146" s="41"/>
      <c r="AP1146" s="41"/>
      <c r="AQ1146" s="41"/>
    </row>
    <row r="1147">
      <c r="A1147" s="41"/>
      <c r="B1147" s="41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  <c r="AB1147" s="41"/>
      <c r="AC1147" s="41"/>
      <c r="AD1147" s="41"/>
      <c r="AE1147" s="41"/>
      <c r="AF1147" s="41"/>
      <c r="AG1147" s="41"/>
      <c r="AH1147" s="41"/>
      <c r="AI1147" s="41"/>
      <c r="AJ1147" s="41"/>
      <c r="AK1147" s="41"/>
      <c r="AL1147" s="41"/>
      <c r="AM1147" s="41"/>
      <c r="AN1147" s="41"/>
      <c r="AO1147" s="41"/>
      <c r="AP1147" s="41"/>
      <c r="AQ1147" s="41"/>
    </row>
    <row r="1148">
      <c r="A1148" s="41"/>
      <c r="B1148" s="41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  <c r="AA1148" s="41"/>
      <c r="AB1148" s="41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  <c r="AM1148" s="41"/>
      <c r="AN1148" s="41"/>
      <c r="AO1148" s="41"/>
      <c r="AP1148" s="41"/>
      <c r="AQ1148" s="41"/>
    </row>
    <row r="1149">
      <c r="A1149" s="41"/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  <c r="AI1149" s="41"/>
      <c r="AJ1149" s="41"/>
      <c r="AK1149" s="41"/>
      <c r="AL1149" s="41"/>
      <c r="AM1149" s="41"/>
      <c r="AN1149" s="41"/>
      <c r="AO1149" s="41"/>
      <c r="AP1149" s="41"/>
      <c r="AQ1149" s="41"/>
    </row>
    <row r="1150">
      <c r="A1150" s="41"/>
      <c r="B1150" s="41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  <c r="AI1150" s="41"/>
      <c r="AJ1150" s="41"/>
      <c r="AK1150" s="41"/>
      <c r="AL1150" s="41"/>
      <c r="AM1150" s="41"/>
      <c r="AN1150" s="41"/>
      <c r="AO1150" s="41"/>
      <c r="AP1150" s="41"/>
      <c r="AQ1150" s="41"/>
    </row>
    <row r="1151">
      <c r="A1151" s="41"/>
      <c r="B1151" s="41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  <c r="AA1151" s="41"/>
      <c r="AB1151" s="41"/>
      <c r="AC1151" s="41"/>
      <c r="AD1151" s="41"/>
      <c r="AE1151" s="41"/>
      <c r="AF1151" s="41"/>
      <c r="AG1151" s="41"/>
      <c r="AH1151" s="41"/>
      <c r="AI1151" s="41"/>
      <c r="AJ1151" s="41"/>
      <c r="AK1151" s="41"/>
      <c r="AL1151" s="41"/>
      <c r="AM1151" s="41"/>
      <c r="AN1151" s="41"/>
      <c r="AO1151" s="41"/>
      <c r="AP1151" s="41"/>
      <c r="AQ1151" s="41"/>
    </row>
    <row r="1152">
      <c r="A1152" s="41"/>
      <c r="B1152" s="41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  <c r="AB1152" s="41"/>
      <c r="AC1152" s="41"/>
      <c r="AD1152" s="41"/>
      <c r="AE1152" s="41"/>
      <c r="AF1152" s="41"/>
      <c r="AG1152" s="41"/>
      <c r="AH1152" s="41"/>
      <c r="AI1152" s="41"/>
      <c r="AJ1152" s="41"/>
      <c r="AK1152" s="41"/>
      <c r="AL1152" s="41"/>
      <c r="AM1152" s="41"/>
      <c r="AN1152" s="41"/>
      <c r="AO1152" s="41"/>
      <c r="AP1152" s="41"/>
      <c r="AQ1152" s="41"/>
    </row>
    <row r="1153">
      <c r="A1153" s="41"/>
      <c r="B1153" s="41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  <c r="AM1153" s="41"/>
      <c r="AN1153" s="41"/>
      <c r="AO1153" s="41"/>
      <c r="AP1153" s="41"/>
      <c r="AQ1153" s="41"/>
    </row>
    <row r="1154">
      <c r="A1154" s="41"/>
      <c r="B1154" s="41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  <c r="AB1154" s="41"/>
      <c r="AC1154" s="41"/>
      <c r="AD1154" s="41"/>
      <c r="AE1154" s="41"/>
      <c r="AF1154" s="41"/>
      <c r="AG1154" s="41"/>
      <c r="AH1154" s="41"/>
      <c r="AI1154" s="41"/>
      <c r="AJ1154" s="41"/>
      <c r="AK1154" s="41"/>
      <c r="AL1154" s="41"/>
      <c r="AM1154" s="41"/>
      <c r="AN1154" s="41"/>
      <c r="AO1154" s="41"/>
      <c r="AP1154" s="41"/>
      <c r="AQ1154" s="41"/>
    </row>
    <row r="1155">
      <c r="A1155" s="41"/>
      <c r="B1155" s="41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  <c r="AB1155" s="41"/>
      <c r="AC1155" s="41"/>
      <c r="AD1155" s="41"/>
      <c r="AE1155" s="41"/>
      <c r="AF1155" s="41"/>
      <c r="AG1155" s="41"/>
      <c r="AH1155" s="41"/>
      <c r="AI1155" s="41"/>
      <c r="AJ1155" s="41"/>
      <c r="AK1155" s="41"/>
      <c r="AL1155" s="41"/>
      <c r="AM1155" s="41"/>
      <c r="AN1155" s="41"/>
      <c r="AO1155" s="41"/>
      <c r="AP1155" s="41"/>
      <c r="AQ1155" s="41"/>
    </row>
    <row r="1156">
      <c r="A1156" s="41"/>
      <c r="B1156" s="41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  <c r="AB1156" s="41"/>
      <c r="AC1156" s="41"/>
      <c r="AD1156" s="41"/>
      <c r="AE1156" s="41"/>
      <c r="AF1156" s="41"/>
      <c r="AG1156" s="41"/>
      <c r="AH1156" s="41"/>
      <c r="AI1156" s="41"/>
      <c r="AJ1156" s="41"/>
      <c r="AK1156" s="41"/>
      <c r="AL1156" s="41"/>
      <c r="AM1156" s="41"/>
      <c r="AN1156" s="41"/>
      <c r="AO1156" s="41"/>
      <c r="AP1156" s="41"/>
      <c r="AQ1156" s="41"/>
    </row>
    <row r="1157">
      <c r="A1157" s="41"/>
      <c r="B1157" s="41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  <c r="AB1157" s="41"/>
      <c r="AC1157" s="41"/>
      <c r="AD1157" s="41"/>
      <c r="AE1157" s="41"/>
      <c r="AF1157" s="41"/>
      <c r="AG1157" s="41"/>
      <c r="AH1157" s="41"/>
      <c r="AI1157" s="41"/>
      <c r="AJ1157" s="41"/>
      <c r="AK1157" s="41"/>
      <c r="AL1157" s="41"/>
      <c r="AM1157" s="41"/>
      <c r="AN1157" s="41"/>
      <c r="AO1157" s="41"/>
      <c r="AP1157" s="41"/>
      <c r="AQ1157" s="41"/>
    </row>
    <row r="1158">
      <c r="A1158" s="41"/>
      <c r="B1158" s="41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  <c r="AA1158" s="41"/>
      <c r="AB1158" s="41"/>
      <c r="AC1158" s="41"/>
      <c r="AD1158" s="41"/>
      <c r="AE1158" s="41"/>
      <c r="AF1158" s="41"/>
      <c r="AG1158" s="41"/>
      <c r="AH1158" s="41"/>
      <c r="AI1158" s="41"/>
      <c r="AJ1158" s="41"/>
      <c r="AK1158" s="41"/>
      <c r="AL1158" s="41"/>
      <c r="AM1158" s="41"/>
      <c r="AN1158" s="41"/>
      <c r="AO1158" s="41"/>
      <c r="AP1158" s="41"/>
      <c r="AQ1158" s="41"/>
    </row>
    <row r="1159">
      <c r="A1159" s="41"/>
      <c r="B1159" s="41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1"/>
      <c r="AC1159" s="41"/>
      <c r="AD1159" s="41"/>
      <c r="AE1159" s="41"/>
      <c r="AF1159" s="41"/>
      <c r="AG1159" s="41"/>
      <c r="AH1159" s="41"/>
      <c r="AI1159" s="41"/>
      <c r="AJ1159" s="41"/>
      <c r="AK1159" s="41"/>
      <c r="AL1159" s="41"/>
      <c r="AM1159" s="41"/>
      <c r="AN1159" s="41"/>
      <c r="AO1159" s="41"/>
      <c r="AP1159" s="41"/>
      <c r="AQ1159" s="41"/>
    </row>
    <row r="1160">
      <c r="A1160" s="41"/>
      <c r="B1160" s="41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1"/>
      <c r="AC1160" s="41"/>
      <c r="AD1160" s="41"/>
      <c r="AE1160" s="41"/>
      <c r="AF1160" s="41"/>
      <c r="AG1160" s="41"/>
      <c r="AH1160" s="41"/>
      <c r="AI1160" s="41"/>
      <c r="AJ1160" s="41"/>
      <c r="AK1160" s="41"/>
      <c r="AL1160" s="41"/>
      <c r="AM1160" s="41"/>
      <c r="AN1160" s="41"/>
      <c r="AO1160" s="41"/>
      <c r="AP1160" s="41"/>
      <c r="AQ1160" s="41"/>
    </row>
    <row r="1161">
      <c r="A1161" s="41"/>
      <c r="B1161" s="41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  <c r="AA1161" s="41"/>
      <c r="AB1161" s="41"/>
      <c r="AC1161" s="41"/>
      <c r="AD1161" s="41"/>
      <c r="AE1161" s="41"/>
      <c r="AF1161" s="41"/>
      <c r="AG1161" s="41"/>
      <c r="AH1161" s="41"/>
      <c r="AI1161" s="41"/>
      <c r="AJ1161" s="41"/>
      <c r="AK1161" s="41"/>
      <c r="AL1161" s="41"/>
      <c r="AM1161" s="41"/>
      <c r="AN1161" s="41"/>
      <c r="AO1161" s="41"/>
      <c r="AP1161" s="41"/>
      <c r="AQ1161" s="41"/>
    </row>
    <row r="1162">
      <c r="A1162" s="41"/>
      <c r="B1162" s="41"/>
      <c r="C1162" s="41"/>
      <c r="D1162" s="41"/>
      <c r="E1162" s="41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  <c r="AA1162" s="41"/>
      <c r="AB1162" s="41"/>
      <c r="AC1162" s="41"/>
      <c r="AD1162" s="41"/>
      <c r="AE1162" s="41"/>
      <c r="AF1162" s="41"/>
      <c r="AG1162" s="41"/>
      <c r="AH1162" s="41"/>
      <c r="AI1162" s="41"/>
      <c r="AJ1162" s="41"/>
      <c r="AK1162" s="41"/>
      <c r="AL1162" s="41"/>
      <c r="AM1162" s="41"/>
      <c r="AN1162" s="41"/>
      <c r="AO1162" s="41"/>
      <c r="AP1162" s="41"/>
      <c r="AQ1162" s="41"/>
    </row>
    <row r="1163">
      <c r="A1163" s="41"/>
      <c r="B1163" s="41"/>
      <c r="C1163" s="41"/>
      <c r="D1163" s="41"/>
      <c r="E1163" s="41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  <c r="AA1163" s="41"/>
      <c r="AB1163" s="41"/>
      <c r="AC1163" s="41"/>
      <c r="AD1163" s="41"/>
      <c r="AE1163" s="41"/>
      <c r="AF1163" s="41"/>
      <c r="AG1163" s="41"/>
      <c r="AH1163" s="41"/>
      <c r="AI1163" s="41"/>
      <c r="AJ1163" s="41"/>
      <c r="AK1163" s="41"/>
      <c r="AL1163" s="41"/>
      <c r="AM1163" s="41"/>
      <c r="AN1163" s="41"/>
      <c r="AO1163" s="41"/>
      <c r="AP1163" s="41"/>
      <c r="AQ1163" s="41"/>
    </row>
    <row r="1164">
      <c r="A1164" s="41"/>
      <c r="B1164" s="41"/>
      <c r="C1164" s="41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  <c r="AA1164" s="41"/>
      <c r="AB1164" s="41"/>
      <c r="AC1164" s="41"/>
      <c r="AD1164" s="41"/>
      <c r="AE1164" s="41"/>
      <c r="AF1164" s="41"/>
      <c r="AG1164" s="41"/>
      <c r="AH1164" s="41"/>
      <c r="AI1164" s="41"/>
      <c r="AJ1164" s="41"/>
      <c r="AK1164" s="41"/>
      <c r="AL1164" s="41"/>
      <c r="AM1164" s="41"/>
      <c r="AN1164" s="41"/>
      <c r="AO1164" s="41"/>
      <c r="AP1164" s="41"/>
      <c r="AQ1164" s="41"/>
    </row>
    <row r="1165">
      <c r="A1165" s="41"/>
      <c r="B1165" s="41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  <c r="AA1165" s="41"/>
      <c r="AB1165" s="41"/>
      <c r="AC1165" s="41"/>
      <c r="AD1165" s="41"/>
      <c r="AE1165" s="41"/>
      <c r="AF1165" s="41"/>
      <c r="AG1165" s="41"/>
      <c r="AH1165" s="41"/>
      <c r="AI1165" s="41"/>
      <c r="AJ1165" s="41"/>
      <c r="AK1165" s="41"/>
      <c r="AL1165" s="41"/>
      <c r="AM1165" s="41"/>
      <c r="AN1165" s="41"/>
      <c r="AO1165" s="41"/>
      <c r="AP1165" s="41"/>
      <c r="AQ1165" s="41"/>
    </row>
    <row r="1166">
      <c r="A1166" s="41"/>
      <c r="B1166" s="41"/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  <c r="AA1166" s="41"/>
      <c r="AB1166" s="41"/>
      <c r="AC1166" s="41"/>
      <c r="AD1166" s="41"/>
      <c r="AE1166" s="41"/>
      <c r="AF1166" s="41"/>
      <c r="AG1166" s="41"/>
      <c r="AH1166" s="41"/>
      <c r="AI1166" s="41"/>
      <c r="AJ1166" s="41"/>
      <c r="AK1166" s="41"/>
      <c r="AL1166" s="41"/>
      <c r="AM1166" s="41"/>
      <c r="AN1166" s="41"/>
      <c r="AO1166" s="41"/>
      <c r="AP1166" s="41"/>
      <c r="AQ1166" s="41"/>
    </row>
    <row r="1167">
      <c r="A1167" s="41"/>
      <c r="B1167" s="41"/>
      <c r="C1167" s="41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  <c r="AI1167" s="41"/>
      <c r="AJ1167" s="41"/>
      <c r="AK1167" s="41"/>
      <c r="AL1167" s="41"/>
      <c r="AM1167" s="41"/>
      <c r="AN1167" s="41"/>
      <c r="AO1167" s="41"/>
      <c r="AP1167" s="41"/>
      <c r="AQ1167" s="41"/>
    </row>
    <row r="1168">
      <c r="A1168" s="41"/>
      <c r="B1168" s="41"/>
      <c r="C1168" s="41"/>
      <c r="D1168" s="41"/>
      <c r="E1168" s="41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/>
      <c r="AN1168" s="41"/>
      <c r="AO1168" s="41"/>
      <c r="AP1168" s="41"/>
      <c r="AQ1168" s="41"/>
    </row>
    <row r="1169">
      <c r="A1169" s="41"/>
      <c r="B1169" s="41"/>
      <c r="C1169" s="41"/>
      <c r="D1169" s="41"/>
      <c r="E1169" s="41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  <c r="AA1169" s="41"/>
      <c r="AB1169" s="41"/>
      <c r="AC1169" s="41"/>
      <c r="AD1169" s="41"/>
      <c r="AE1169" s="41"/>
      <c r="AF1169" s="41"/>
      <c r="AG1169" s="41"/>
      <c r="AH1169" s="41"/>
      <c r="AI1169" s="41"/>
      <c r="AJ1169" s="41"/>
      <c r="AK1169" s="41"/>
      <c r="AL1169" s="41"/>
      <c r="AM1169" s="41"/>
      <c r="AN1169" s="41"/>
      <c r="AO1169" s="41"/>
      <c r="AP1169" s="41"/>
      <c r="AQ1169" s="41"/>
    </row>
    <row r="1170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</row>
    <row r="1171">
      <c r="A1171" s="41"/>
      <c r="B1171" s="41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  <c r="AA1171" s="41"/>
      <c r="AB1171" s="41"/>
      <c r="AC1171" s="41"/>
      <c r="AD1171" s="41"/>
      <c r="AE1171" s="41"/>
      <c r="AF1171" s="41"/>
      <c r="AG1171" s="41"/>
      <c r="AH1171" s="41"/>
      <c r="AI1171" s="41"/>
      <c r="AJ1171" s="41"/>
      <c r="AK1171" s="41"/>
      <c r="AL1171" s="41"/>
      <c r="AM1171" s="41"/>
      <c r="AN1171" s="41"/>
      <c r="AO1171" s="41"/>
      <c r="AP1171" s="41"/>
      <c r="AQ1171" s="41"/>
    </row>
    <row r="1172">
      <c r="A1172" s="41"/>
      <c r="B1172" s="41"/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  <c r="AA1172" s="41"/>
      <c r="AB1172" s="41"/>
      <c r="AC1172" s="41"/>
      <c r="AD1172" s="41"/>
      <c r="AE1172" s="41"/>
      <c r="AF1172" s="41"/>
      <c r="AG1172" s="41"/>
      <c r="AH1172" s="41"/>
      <c r="AI1172" s="41"/>
      <c r="AJ1172" s="41"/>
      <c r="AK1172" s="41"/>
      <c r="AL1172" s="41"/>
      <c r="AM1172" s="41"/>
      <c r="AN1172" s="41"/>
      <c r="AO1172" s="41"/>
      <c r="AP1172" s="41"/>
      <c r="AQ1172" s="41"/>
    </row>
    <row r="1173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</row>
    <row r="1174">
      <c r="A1174" s="41"/>
      <c r="B1174" s="41"/>
      <c r="C1174" s="41"/>
      <c r="D1174" s="41"/>
      <c r="E1174" s="41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  <c r="AA1174" s="41"/>
      <c r="AB1174" s="41"/>
      <c r="AC1174" s="41"/>
      <c r="AD1174" s="41"/>
      <c r="AE1174" s="41"/>
      <c r="AF1174" s="41"/>
      <c r="AG1174" s="41"/>
      <c r="AH1174" s="41"/>
      <c r="AI1174" s="41"/>
      <c r="AJ1174" s="41"/>
      <c r="AK1174" s="41"/>
      <c r="AL1174" s="41"/>
      <c r="AM1174" s="41"/>
      <c r="AN1174" s="41"/>
      <c r="AO1174" s="41"/>
      <c r="AP1174" s="41"/>
      <c r="AQ1174" s="41"/>
    </row>
    <row r="1175">
      <c r="A1175" s="41"/>
      <c r="B1175" s="41"/>
      <c r="C1175" s="41"/>
      <c r="D1175" s="41"/>
      <c r="E1175" s="41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  <c r="AA1175" s="41"/>
      <c r="AB1175" s="41"/>
      <c r="AC1175" s="41"/>
      <c r="AD1175" s="41"/>
      <c r="AE1175" s="41"/>
      <c r="AF1175" s="41"/>
      <c r="AG1175" s="41"/>
      <c r="AH1175" s="41"/>
      <c r="AI1175" s="41"/>
      <c r="AJ1175" s="41"/>
      <c r="AK1175" s="41"/>
      <c r="AL1175" s="41"/>
      <c r="AM1175" s="41"/>
      <c r="AN1175" s="41"/>
      <c r="AO1175" s="41"/>
      <c r="AP1175" s="41"/>
      <c r="AQ1175" s="41"/>
    </row>
    <row r="1176">
      <c r="A1176" s="41"/>
      <c r="B1176" s="41"/>
      <c r="C1176" s="41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  <c r="AA1176" s="41"/>
      <c r="AB1176" s="41"/>
      <c r="AC1176" s="41"/>
      <c r="AD1176" s="41"/>
      <c r="AE1176" s="41"/>
      <c r="AF1176" s="41"/>
      <c r="AG1176" s="41"/>
      <c r="AH1176" s="41"/>
      <c r="AI1176" s="41"/>
      <c r="AJ1176" s="41"/>
      <c r="AK1176" s="41"/>
      <c r="AL1176" s="41"/>
      <c r="AM1176" s="41"/>
      <c r="AN1176" s="41"/>
      <c r="AO1176" s="41"/>
      <c r="AP1176" s="41"/>
      <c r="AQ1176" s="41"/>
    </row>
    <row r="1177">
      <c r="A1177" s="41"/>
      <c r="B1177" s="41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  <c r="AA1177" s="41"/>
      <c r="AB1177" s="41"/>
      <c r="AC1177" s="41"/>
      <c r="AD1177" s="41"/>
      <c r="AE1177" s="41"/>
      <c r="AF1177" s="41"/>
      <c r="AG1177" s="41"/>
      <c r="AH1177" s="41"/>
      <c r="AI1177" s="41"/>
      <c r="AJ1177" s="41"/>
      <c r="AK1177" s="41"/>
      <c r="AL1177" s="41"/>
      <c r="AM1177" s="41"/>
      <c r="AN1177" s="41"/>
      <c r="AO1177" s="41"/>
      <c r="AP1177" s="41"/>
      <c r="AQ1177" s="41"/>
    </row>
    <row r="1178">
      <c r="A1178" s="41"/>
      <c r="B1178" s="41"/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  <c r="AA1178" s="41"/>
      <c r="AB1178" s="41"/>
      <c r="AC1178" s="41"/>
      <c r="AD1178" s="41"/>
      <c r="AE1178" s="41"/>
      <c r="AF1178" s="41"/>
      <c r="AG1178" s="41"/>
      <c r="AH1178" s="41"/>
      <c r="AI1178" s="41"/>
      <c r="AJ1178" s="41"/>
      <c r="AK1178" s="41"/>
      <c r="AL1178" s="41"/>
      <c r="AM1178" s="41"/>
      <c r="AN1178" s="41"/>
      <c r="AO1178" s="41"/>
      <c r="AP1178" s="41"/>
      <c r="AQ1178" s="41"/>
    </row>
    <row r="1179">
      <c r="A1179" s="41"/>
      <c r="B1179" s="41"/>
      <c r="C1179" s="41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  <c r="AA1179" s="41"/>
      <c r="AB1179" s="41"/>
      <c r="AC1179" s="41"/>
      <c r="AD1179" s="41"/>
      <c r="AE1179" s="41"/>
      <c r="AF1179" s="41"/>
      <c r="AG1179" s="41"/>
      <c r="AH1179" s="41"/>
      <c r="AI1179" s="41"/>
      <c r="AJ1179" s="41"/>
      <c r="AK1179" s="41"/>
      <c r="AL1179" s="41"/>
      <c r="AM1179" s="41"/>
      <c r="AN1179" s="41"/>
      <c r="AO1179" s="41"/>
      <c r="AP1179" s="41"/>
      <c r="AQ1179" s="41"/>
    </row>
    <row r="1180">
      <c r="A1180" s="41"/>
      <c r="B1180" s="41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  <c r="AA1180" s="41"/>
      <c r="AB1180" s="41"/>
      <c r="AC1180" s="41"/>
      <c r="AD1180" s="41"/>
      <c r="AE1180" s="41"/>
      <c r="AF1180" s="41"/>
      <c r="AG1180" s="41"/>
      <c r="AH1180" s="41"/>
      <c r="AI1180" s="41"/>
      <c r="AJ1180" s="41"/>
      <c r="AK1180" s="41"/>
      <c r="AL1180" s="41"/>
      <c r="AM1180" s="41"/>
      <c r="AN1180" s="41"/>
      <c r="AO1180" s="41"/>
      <c r="AP1180" s="41"/>
      <c r="AQ1180" s="41"/>
    </row>
    <row r="1181">
      <c r="A1181" s="41"/>
      <c r="B1181" s="41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  <c r="AA1181" s="41"/>
      <c r="AB1181" s="41"/>
      <c r="AC1181" s="41"/>
      <c r="AD1181" s="41"/>
      <c r="AE1181" s="41"/>
      <c r="AF1181" s="41"/>
      <c r="AG1181" s="41"/>
      <c r="AH1181" s="41"/>
      <c r="AI1181" s="41"/>
      <c r="AJ1181" s="41"/>
      <c r="AK1181" s="41"/>
      <c r="AL1181" s="41"/>
      <c r="AM1181" s="41"/>
      <c r="AN1181" s="41"/>
      <c r="AO1181" s="41"/>
      <c r="AP1181" s="41"/>
      <c r="AQ1181" s="41"/>
    </row>
    <row r="1182">
      <c r="A1182" s="41"/>
      <c r="B1182" s="41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  <c r="AA1182" s="41"/>
      <c r="AB1182" s="41"/>
      <c r="AC1182" s="41"/>
      <c r="AD1182" s="41"/>
      <c r="AE1182" s="41"/>
      <c r="AF1182" s="41"/>
      <c r="AG1182" s="41"/>
      <c r="AH1182" s="41"/>
      <c r="AI1182" s="41"/>
      <c r="AJ1182" s="41"/>
      <c r="AK1182" s="41"/>
      <c r="AL1182" s="41"/>
      <c r="AM1182" s="41"/>
      <c r="AN1182" s="41"/>
      <c r="AO1182" s="41"/>
      <c r="AP1182" s="41"/>
      <c r="AQ1182" s="41"/>
    </row>
    <row r="1183">
      <c r="A1183" s="41"/>
      <c r="B1183" s="41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  <c r="AA1183" s="41"/>
      <c r="AB1183" s="41"/>
      <c r="AC1183" s="41"/>
      <c r="AD1183" s="41"/>
      <c r="AE1183" s="41"/>
      <c r="AF1183" s="41"/>
      <c r="AG1183" s="41"/>
      <c r="AH1183" s="41"/>
      <c r="AI1183" s="41"/>
      <c r="AJ1183" s="41"/>
      <c r="AK1183" s="41"/>
      <c r="AL1183" s="41"/>
      <c r="AM1183" s="41"/>
      <c r="AN1183" s="41"/>
      <c r="AO1183" s="41"/>
      <c r="AP1183" s="41"/>
      <c r="AQ1183" s="41"/>
    </row>
    <row r="1184">
      <c r="A1184" s="41"/>
      <c r="B1184" s="41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  <c r="AA1184" s="41"/>
      <c r="AB1184" s="41"/>
      <c r="AC1184" s="41"/>
      <c r="AD1184" s="41"/>
      <c r="AE1184" s="41"/>
      <c r="AF1184" s="41"/>
      <c r="AG1184" s="41"/>
      <c r="AH1184" s="41"/>
      <c r="AI1184" s="41"/>
      <c r="AJ1184" s="41"/>
      <c r="AK1184" s="41"/>
      <c r="AL1184" s="41"/>
      <c r="AM1184" s="41"/>
      <c r="AN1184" s="41"/>
      <c r="AO1184" s="41"/>
      <c r="AP1184" s="41"/>
      <c r="AQ1184" s="41"/>
    </row>
    <row r="1185">
      <c r="A1185" s="41"/>
      <c r="B1185" s="41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  <c r="AB1185" s="41"/>
      <c r="AC1185" s="41"/>
      <c r="AD1185" s="41"/>
      <c r="AE1185" s="41"/>
      <c r="AF1185" s="41"/>
      <c r="AG1185" s="41"/>
      <c r="AH1185" s="41"/>
      <c r="AI1185" s="41"/>
      <c r="AJ1185" s="41"/>
      <c r="AK1185" s="41"/>
      <c r="AL1185" s="41"/>
      <c r="AM1185" s="41"/>
      <c r="AN1185" s="41"/>
      <c r="AO1185" s="41"/>
      <c r="AP1185" s="41"/>
      <c r="AQ1185" s="41"/>
    </row>
    <row r="1186">
      <c r="A1186" s="41"/>
      <c r="B1186" s="41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</row>
    <row r="1187">
      <c r="A1187" s="41"/>
      <c r="B1187" s="41"/>
      <c r="C1187" s="41"/>
      <c r="D1187" s="41"/>
      <c r="E1187" s="41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  <c r="AA1187" s="41"/>
      <c r="AB1187" s="41"/>
      <c r="AC1187" s="41"/>
      <c r="AD1187" s="41"/>
      <c r="AE1187" s="41"/>
      <c r="AF1187" s="41"/>
      <c r="AG1187" s="41"/>
      <c r="AH1187" s="41"/>
      <c r="AI1187" s="41"/>
      <c r="AJ1187" s="41"/>
      <c r="AK1187" s="41"/>
      <c r="AL1187" s="41"/>
      <c r="AM1187" s="41"/>
      <c r="AN1187" s="41"/>
      <c r="AO1187" s="41"/>
      <c r="AP1187" s="41"/>
      <c r="AQ1187" s="41"/>
    </row>
    <row r="1188">
      <c r="A1188" s="41"/>
      <c r="B1188" s="41"/>
      <c r="C1188" s="41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  <c r="AA1188" s="41"/>
      <c r="AB1188" s="41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  <c r="AM1188" s="41"/>
      <c r="AN1188" s="41"/>
      <c r="AO1188" s="41"/>
      <c r="AP1188" s="41"/>
      <c r="AQ1188" s="41"/>
    </row>
    <row r="1189">
      <c r="A1189" s="41"/>
      <c r="B1189" s="41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  <c r="AA1189" s="41"/>
      <c r="AB1189" s="41"/>
      <c r="AC1189" s="41"/>
      <c r="AD1189" s="41"/>
      <c r="AE1189" s="41"/>
      <c r="AF1189" s="41"/>
      <c r="AG1189" s="41"/>
      <c r="AH1189" s="41"/>
      <c r="AI1189" s="41"/>
      <c r="AJ1189" s="41"/>
      <c r="AK1189" s="41"/>
      <c r="AL1189" s="41"/>
      <c r="AM1189" s="41"/>
      <c r="AN1189" s="41"/>
      <c r="AO1189" s="41"/>
      <c r="AP1189" s="41"/>
      <c r="AQ1189" s="41"/>
    </row>
    <row r="1190">
      <c r="A1190" s="41"/>
      <c r="B1190" s="41"/>
      <c r="C1190" s="41"/>
      <c r="D1190" s="41"/>
      <c r="E1190" s="41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  <c r="AA1190" s="41"/>
      <c r="AB1190" s="41"/>
      <c r="AC1190" s="41"/>
      <c r="AD1190" s="41"/>
      <c r="AE1190" s="41"/>
      <c r="AF1190" s="41"/>
      <c r="AG1190" s="41"/>
      <c r="AH1190" s="41"/>
      <c r="AI1190" s="41"/>
      <c r="AJ1190" s="41"/>
      <c r="AK1190" s="41"/>
      <c r="AL1190" s="41"/>
      <c r="AM1190" s="41"/>
      <c r="AN1190" s="41"/>
      <c r="AO1190" s="41"/>
      <c r="AP1190" s="41"/>
      <c r="AQ1190" s="41"/>
    </row>
    <row r="1191">
      <c r="A1191" s="41"/>
      <c r="B1191" s="41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  <c r="AA1191" s="41"/>
      <c r="AB1191" s="41"/>
      <c r="AC1191" s="41"/>
      <c r="AD1191" s="41"/>
      <c r="AE1191" s="41"/>
      <c r="AF1191" s="41"/>
      <c r="AG1191" s="41"/>
      <c r="AH1191" s="41"/>
      <c r="AI1191" s="41"/>
      <c r="AJ1191" s="41"/>
      <c r="AK1191" s="41"/>
      <c r="AL1191" s="41"/>
      <c r="AM1191" s="41"/>
      <c r="AN1191" s="41"/>
      <c r="AO1191" s="41"/>
      <c r="AP1191" s="41"/>
      <c r="AQ1191" s="41"/>
    </row>
    <row r="1192">
      <c r="A1192" s="41"/>
      <c r="B1192" s="41"/>
      <c r="C1192" s="41"/>
      <c r="D1192" s="41"/>
      <c r="E1192" s="41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  <c r="AA1192" s="41"/>
      <c r="AB1192" s="41"/>
      <c r="AC1192" s="41"/>
      <c r="AD1192" s="41"/>
      <c r="AE1192" s="41"/>
      <c r="AF1192" s="41"/>
      <c r="AG1192" s="41"/>
      <c r="AH1192" s="41"/>
      <c r="AI1192" s="41"/>
      <c r="AJ1192" s="41"/>
      <c r="AK1192" s="41"/>
      <c r="AL1192" s="41"/>
      <c r="AM1192" s="41"/>
      <c r="AN1192" s="41"/>
      <c r="AO1192" s="41"/>
      <c r="AP1192" s="41"/>
      <c r="AQ1192" s="41"/>
    </row>
    <row r="1193">
      <c r="A1193" s="41"/>
      <c r="B1193" s="41"/>
      <c r="C1193" s="41"/>
      <c r="D1193" s="41"/>
      <c r="E1193" s="41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  <c r="AA1193" s="41"/>
      <c r="AB1193" s="41"/>
      <c r="AC1193" s="41"/>
      <c r="AD1193" s="41"/>
      <c r="AE1193" s="41"/>
      <c r="AF1193" s="41"/>
      <c r="AG1193" s="41"/>
      <c r="AH1193" s="41"/>
      <c r="AI1193" s="41"/>
      <c r="AJ1193" s="41"/>
      <c r="AK1193" s="41"/>
      <c r="AL1193" s="41"/>
      <c r="AM1193" s="41"/>
      <c r="AN1193" s="41"/>
      <c r="AO1193" s="41"/>
      <c r="AP1193" s="41"/>
      <c r="AQ1193" s="41"/>
    </row>
    <row r="1194">
      <c r="A1194" s="41"/>
      <c r="B1194" s="41"/>
      <c r="C1194" s="41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  <c r="AA1194" s="41"/>
      <c r="AB1194" s="41"/>
      <c r="AC1194" s="41"/>
      <c r="AD1194" s="41"/>
      <c r="AE1194" s="41"/>
      <c r="AF1194" s="41"/>
      <c r="AG1194" s="41"/>
      <c r="AH1194" s="41"/>
      <c r="AI1194" s="41"/>
      <c r="AJ1194" s="41"/>
      <c r="AK1194" s="41"/>
      <c r="AL1194" s="41"/>
      <c r="AM1194" s="41"/>
      <c r="AN1194" s="41"/>
      <c r="AO1194" s="41"/>
      <c r="AP1194" s="41"/>
      <c r="AQ1194" s="41"/>
    </row>
    <row r="1195">
      <c r="A1195" s="41"/>
      <c r="B1195" s="41"/>
      <c r="C1195" s="41"/>
      <c r="D1195" s="41"/>
      <c r="E1195" s="41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  <c r="AB1195" s="41"/>
      <c r="AC1195" s="41"/>
      <c r="AD1195" s="41"/>
      <c r="AE1195" s="41"/>
      <c r="AF1195" s="41"/>
      <c r="AG1195" s="41"/>
      <c r="AH1195" s="41"/>
      <c r="AI1195" s="41"/>
      <c r="AJ1195" s="41"/>
      <c r="AK1195" s="41"/>
      <c r="AL1195" s="41"/>
      <c r="AM1195" s="41"/>
      <c r="AN1195" s="41"/>
      <c r="AO1195" s="41"/>
      <c r="AP1195" s="41"/>
      <c r="AQ1195" s="41"/>
    </row>
    <row r="1196">
      <c r="A1196" s="41"/>
      <c r="B1196" s="41"/>
      <c r="C1196" s="41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  <c r="AA1196" s="41"/>
      <c r="AB1196" s="41"/>
      <c r="AC1196" s="41"/>
      <c r="AD1196" s="41"/>
      <c r="AE1196" s="41"/>
      <c r="AF1196" s="41"/>
      <c r="AG1196" s="41"/>
      <c r="AH1196" s="41"/>
      <c r="AI1196" s="41"/>
      <c r="AJ1196" s="41"/>
      <c r="AK1196" s="41"/>
      <c r="AL1196" s="41"/>
      <c r="AM1196" s="41"/>
      <c r="AN1196" s="41"/>
      <c r="AO1196" s="41"/>
      <c r="AP1196" s="41"/>
      <c r="AQ1196" s="41"/>
    </row>
    <row r="1197">
      <c r="A1197" s="41"/>
      <c r="B1197" s="41"/>
      <c r="C1197" s="41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  <c r="AA1197" s="41"/>
      <c r="AB1197" s="41"/>
      <c r="AC1197" s="41"/>
      <c r="AD1197" s="41"/>
      <c r="AE1197" s="41"/>
      <c r="AF1197" s="41"/>
      <c r="AG1197" s="41"/>
      <c r="AH1197" s="41"/>
      <c r="AI1197" s="41"/>
      <c r="AJ1197" s="41"/>
      <c r="AK1197" s="41"/>
      <c r="AL1197" s="41"/>
      <c r="AM1197" s="41"/>
      <c r="AN1197" s="41"/>
      <c r="AO1197" s="41"/>
      <c r="AP1197" s="41"/>
      <c r="AQ1197" s="41"/>
    </row>
    <row r="1198">
      <c r="A1198" s="41"/>
      <c r="B1198" s="41"/>
      <c r="C1198" s="41"/>
      <c r="D1198" s="41"/>
      <c r="E1198" s="41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  <c r="AA1198" s="41"/>
      <c r="AB1198" s="41"/>
      <c r="AC1198" s="41"/>
      <c r="AD1198" s="41"/>
      <c r="AE1198" s="41"/>
      <c r="AF1198" s="41"/>
      <c r="AG1198" s="41"/>
      <c r="AH1198" s="41"/>
      <c r="AI1198" s="41"/>
      <c r="AJ1198" s="41"/>
      <c r="AK1198" s="41"/>
      <c r="AL1198" s="41"/>
      <c r="AM1198" s="41"/>
      <c r="AN1198" s="41"/>
      <c r="AO1198" s="41"/>
      <c r="AP1198" s="41"/>
      <c r="AQ1198" s="41"/>
    </row>
    <row r="1199">
      <c r="A1199" s="41"/>
      <c r="B1199" s="41"/>
      <c r="C1199" s="41"/>
      <c r="D1199" s="41"/>
      <c r="E1199" s="41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  <c r="AA1199" s="41"/>
      <c r="AB1199" s="41"/>
      <c r="AC1199" s="41"/>
      <c r="AD1199" s="41"/>
      <c r="AE1199" s="41"/>
      <c r="AF1199" s="41"/>
      <c r="AG1199" s="41"/>
      <c r="AH1199" s="41"/>
      <c r="AI1199" s="41"/>
      <c r="AJ1199" s="41"/>
      <c r="AK1199" s="41"/>
      <c r="AL1199" s="41"/>
      <c r="AM1199" s="41"/>
      <c r="AN1199" s="41"/>
      <c r="AO1199" s="41"/>
      <c r="AP1199" s="41"/>
      <c r="AQ1199" s="41"/>
    </row>
    <row r="1200">
      <c r="A1200" s="41"/>
      <c r="B1200" s="41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  <c r="AA1200" s="41"/>
      <c r="AB1200" s="41"/>
      <c r="AC1200" s="41"/>
      <c r="AD1200" s="41"/>
      <c r="AE1200" s="41"/>
      <c r="AF1200" s="41"/>
      <c r="AG1200" s="41"/>
      <c r="AH1200" s="41"/>
      <c r="AI1200" s="41"/>
      <c r="AJ1200" s="41"/>
      <c r="AK1200" s="41"/>
      <c r="AL1200" s="41"/>
      <c r="AM1200" s="41"/>
      <c r="AN1200" s="41"/>
      <c r="AO1200" s="41"/>
      <c r="AP1200" s="41"/>
      <c r="AQ1200" s="41"/>
    </row>
    <row r="1201">
      <c r="A1201" s="41"/>
      <c r="B1201" s="41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  <c r="AA1201" s="41"/>
      <c r="AB1201" s="41"/>
      <c r="AC1201" s="41"/>
      <c r="AD1201" s="41"/>
      <c r="AE1201" s="41"/>
      <c r="AF1201" s="41"/>
      <c r="AG1201" s="41"/>
      <c r="AH1201" s="41"/>
      <c r="AI1201" s="41"/>
      <c r="AJ1201" s="41"/>
      <c r="AK1201" s="41"/>
      <c r="AL1201" s="41"/>
      <c r="AM1201" s="41"/>
      <c r="AN1201" s="41"/>
      <c r="AO1201" s="41"/>
      <c r="AP1201" s="41"/>
      <c r="AQ1201" s="41"/>
    </row>
    <row r="1202">
      <c r="A1202" s="41"/>
      <c r="B1202" s="41"/>
      <c r="C1202" s="41"/>
      <c r="D1202" s="41"/>
      <c r="E1202" s="41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  <c r="AA1202" s="41"/>
      <c r="AB1202" s="41"/>
      <c r="AC1202" s="41"/>
      <c r="AD1202" s="41"/>
      <c r="AE1202" s="41"/>
      <c r="AF1202" s="41"/>
      <c r="AG1202" s="41"/>
      <c r="AH1202" s="41"/>
      <c r="AI1202" s="41"/>
      <c r="AJ1202" s="41"/>
      <c r="AK1202" s="41"/>
      <c r="AL1202" s="41"/>
      <c r="AM1202" s="41"/>
      <c r="AN1202" s="41"/>
      <c r="AO1202" s="41"/>
      <c r="AP1202" s="41"/>
      <c r="AQ1202" s="41"/>
    </row>
    <row r="1203">
      <c r="A1203" s="41"/>
      <c r="B1203" s="41"/>
      <c r="C1203" s="41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  <c r="AB1203" s="41"/>
      <c r="AC1203" s="41"/>
      <c r="AD1203" s="41"/>
      <c r="AE1203" s="41"/>
      <c r="AF1203" s="41"/>
      <c r="AG1203" s="41"/>
      <c r="AH1203" s="41"/>
      <c r="AI1203" s="41"/>
      <c r="AJ1203" s="41"/>
      <c r="AK1203" s="41"/>
      <c r="AL1203" s="41"/>
      <c r="AM1203" s="41"/>
      <c r="AN1203" s="41"/>
      <c r="AO1203" s="41"/>
      <c r="AP1203" s="41"/>
      <c r="AQ1203" s="41"/>
    </row>
    <row r="1204">
      <c r="A1204" s="41"/>
      <c r="B1204" s="41"/>
      <c r="C1204" s="41"/>
      <c r="D1204" s="41"/>
      <c r="E1204" s="41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1"/>
      <c r="AC1204" s="41"/>
      <c r="AD1204" s="41"/>
      <c r="AE1204" s="41"/>
      <c r="AF1204" s="41"/>
      <c r="AG1204" s="41"/>
      <c r="AH1204" s="41"/>
      <c r="AI1204" s="41"/>
      <c r="AJ1204" s="41"/>
      <c r="AK1204" s="41"/>
      <c r="AL1204" s="41"/>
      <c r="AM1204" s="41"/>
      <c r="AN1204" s="41"/>
      <c r="AO1204" s="41"/>
      <c r="AP1204" s="41"/>
      <c r="AQ1204" s="41"/>
    </row>
    <row r="1205">
      <c r="A1205" s="41"/>
      <c r="B1205" s="41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  <c r="AA1205" s="41"/>
      <c r="AB1205" s="41"/>
      <c r="AC1205" s="41"/>
      <c r="AD1205" s="41"/>
      <c r="AE1205" s="41"/>
      <c r="AF1205" s="41"/>
      <c r="AG1205" s="41"/>
      <c r="AH1205" s="41"/>
      <c r="AI1205" s="41"/>
      <c r="AJ1205" s="41"/>
      <c r="AK1205" s="41"/>
      <c r="AL1205" s="41"/>
      <c r="AM1205" s="41"/>
      <c r="AN1205" s="41"/>
      <c r="AO1205" s="41"/>
      <c r="AP1205" s="41"/>
      <c r="AQ1205" s="41"/>
    </row>
    <row r="1206">
      <c r="A1206" s="41"/>
      <c r="B1206" s="41"/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  <c r="AA1206" s="41"/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/>
      <c r="AN1206" s="41"/>
      <c r="AO1206" s="41"/>
      <c r="AP1206" s="41"/>
      <c r="AQ1206" s="41"/>
    </row>
    <row r="1207">
      <c r="A1207" s="41"/>
      <c r="B1207" s="41"/>
      <c r="C1207" s="41"/>
      <c r="D1207" s="41"/>
      <c r="E1207" s="41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  <c r="AA1207" s="41"/>
      <c r="AB1207" s="41"/>
      <c r="AC1207" s="41"/>
      <c r="AD1207" s="41"/>
      <c r="AE1207" s="41"/>
      <c r="AF1207" s="41"/>
      <c r="AG1207" s="41"/>
      <c r="AH1207" s="41"/>
      <c r="AI1207" s="41"/>
      <c r="AJ1207" s="41"/>
      <c r="AK1207" s="41"/>
      <c r="AL1207" s="41"/>
      <c r="AM1207" s="41"/>
      <c r="AN1207" s="41"/>
      <c r="AO1207" s="41"/>
      <c r="AP1207" s="41"/>
      <c r="AQ1207" s="41"/>
    </row>
    <row r="1208">
      <c r="A1208" s="41"/>
      <c r="B1208" s="41"/>
      <c r="C1208" s="41"/>
      <c r="D1208" s="41"/>
      <c r="E1208" s="41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  <c r="AA1208" s="41"/>
      <c r="AB1208" s="41"/>
      <c r="AC1208" s="41"/>
      <c r="AD1208" s="41"/>
      <c r="AE1208" s="41"/>
      <c r="AF1208" s="41"/>
      <c r="AG1208" s="41"/>
      <c r="AH1208" s="41"/>
      <c r="AI1208" s="41"/>
      <c r="AJ1208" s="41"/>
      <c r="AK1208" s="41"/>
      <c r="AL1208" s="41"/>
      <c r="AM1208" s="41"/>
      <c r="AN1208" s="41"/>
      <c r="AO1208" s="41"/>
      <c r="AP1208" s="41"/>
      <c r="AQ1208" s="41"/>
    </row>
    <row r="1209">
      <c r="A1209" s="41"/>
      <c r="B1209" s="41"/>
      <c r="C1209" s="41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  <c r="AA1209" s="41"/>
      <c r="AB1209" s="41"/>
      <c r="AC1209" s="41"/>
      <c r="AD1209" s="41"/>
      <c r="AE1209" s="41"/>
      <c r="AF1209" s="41"/>
      <c r="AG1209" s="41"/>
      <c r="AH1209" s="41"/>
      <c r="AI1209" s="41"/>
      <c r="AJ1209" s="41"/>
      <c r="AK1209" s="41"/>
      <c r="AL1209" s="41"/>
      <c r="AM1209" s="41"/>
      <c r="AN1209" s="41"/>
      <c r="AO1209" s="41"/>
      <c r="AP1209" s="41"/>
      <c r="AQ1209" s="41"/>
    </row>
    <row r="1210">
      <c r="A1210" s="41"/>
      <c r="B1210" s="41"/>
      <c r="C1210" s="41"/>
      <c r="D1210" s="41"/>
      <c r="E1210" s="41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  <c r="AA1210" s="41"/>
      <c r="AB1210" s="41"/>
      <c r="AC1210" s="41"/>
      <c r="AD1210" s="41"/>
      <c r="AE1210" s="41"/>
      <c r="AF1210" s="41"/>
      <c r="AG1210" s="41"/>
      <c r="AH1210" s="41"/>
      <c r="AI1210" s="41"/>
      <c r="AJ1210" s="41"/>
      <c r="AK1210" s="41"/>
      <c r="AL1210" s="41"/>
      <c r="AM1210" s="41"/>
      <c r="AN1210" s="41"/>
      <c r="AO1210" s="41"/>
      <c r="AP1210" s="41"/>
      <c r="AQ1210" s="41"/>
    </row>
    <row r="1211">
      <c r="A1211" s="41"/>
      <c r="B1211" s="41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  <c r="AA1211" s="41"/>
      <c r="AB1211" s="41"/>
      <c r="AC1211" s="41"/>
      <c r="AD1211" s="41"/>
      <c r="AE1211" s="41"/>
      <c r="AF1211" s="41"/>
      <c r="AG1211" s="41"/>
      <c r="AH1211" s="41"/>
      <c r="AI1211" s="41"/>
      <c r="AJ1211" s="41"/>
      <c r="AK1211" s="41"/>
      <c r="AL1211" s="41"/>
      <c r="AM1211" s="41"/>
      <c r="AN1211" s="41"/>
      <c r="AO1211" s="41"/>
      <c r="AP1211" s="41"/>
      <c r="AQ1211" s="41"/>
    </row>
    <row r="1212">
      <c r="A1212" s="41"/>
      <c r="B1212" s="41"/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  <c r="AA1212" s="41"/>
      <c r="AB1212" s="41"/>
      <c r="AC1212" s="41"/>
      <c r="AD1212" s="41"/>
      <c r="AE1212" s="41"/>
      <c r="AF1212" s="41"/>
      <c r="AG1212" s="41"/>
      <c r="AH1212" s="41"/>
      <c r="AI1212" s="41"/>
      <c r="AJ1212" s="41"/>
      <c r="AK1212" s="41"/>
      <c r="AL1212" s="41"/>
      <c r="AM1212" s="41"/>
      <c r="AN1212" s="41"/>
      <c r="AO1212" s="41"/>
      <c r="AP1212" s="41"/>
      <c r="AQ1212" s="41"/>
    </row>
    <row r="1213">
      <c r="A1213" s="41"/>
      <c r="B1213" s="41"/>
      <c r="C1213" s="41"/>
      <c r="D1213" s="41"/>
      <c r="E1213" s="41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  <c r="AA1213" s="41"/>
      <c r="AB1213" s="41"/>
      <c r="AC1213" s="41"/>
      <c r="AD1213" s="41"/>
      <c r="AE1213" s="41"/>
      <c r="AF1213" s="41"/>
      <c r="AG1213" s="41"/>
      <c r="AH1213" s="41"/>
      <c r="AI1213" s="41"/>
      <c r="AJ1213" s="41"/>
      <c r="AK1213" s="41"/>
      <c r="AL1213" s="41"/>
      <c r="AM1213" s="41"/>
      <c r="AN1213" s="41"/>
      <c r="AO1213" s="41"/>
      <c r="AP1213" s="41"/>
      <c r="AQ1213" s="41"/>
    </row>
    <row r="1214">
      <c r="A1214" s="41"/>
      <c r="B1214" s="41"/>
      <c r="C1214" s="41"/>
      <c r="D1214" s="41"/>
      <c r="E1214" s="41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  <c r="AA1214" s="41"/>
      <c r="AB1214" s="41"/>
      <c r="AC1214" s="41"/>
      <c r="AD1214" s="41"/>
      <c r="AE1214" s="41"/>
      <c r="AF1214" s="41"/>
      <c r="AG1214" s="41"/>
      <c r="AH1214" s="41"/>
      <c r="AI1214" s="41"/>
      <c r="AJ1214" s="41"/>
      <c r="AK1214" s="41"/>
      <c r="AL1214" s="41"/>
      <c r="AM1214" s="41"/>
      <c r="AN1214" s="41"/>
      <c r="AO1214" s="41"/>
      <c r="AP1214" s="41"/>
      <c r="AQ1214" s="41"/>
    </row>
    <row r="1215">
      <c r="A1215" s="41"/>
      <c r="B1215" s="41"/>
      <c r="C1215" s="41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  <c r="AA1215" s="41"/>
      <c r="AB1215" s="41"/>
      <c r="AC1215" s="41"/>
      <c r="AD1215" s="41"/>
      <c r="AE1215" s="41"/>
      <c r="AF1215" s="41"/>
      <c r="AG1215" s="41"/>
      <c r="AH1215" s="41"/>
      <c r="AI1215" s="41"/>
      <c r="AJ1215" s="41"/>
      <c r="AK1215" s="41"/>
      <c r="AL1215" s="41"/>
      <c r="AM1215" s="41"/>
      <c r="AN1215" s="41"/>
      <c r="AO1215" s="41"/>
      <c r="AP1215" s="41"/>
      <c r="AQ1215" s="41"/>
    </row>
    <row r="1216">
      <c r="A1216" s="41"/>
      <c r="B1216" s="41"/>
      <c r="C1216" s="41"/>
      <c r="D1216" s="41"/>
      <c r="E1216" s="41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  <c r="AA1216" s="41"/>
      <c r="AB1216" s="41"/>
      <c r="AC1216" s="41"/>
      <c r="AD1216" s="41"/>
      <c r="AE1216" s="41"/>
      <c r="AF1216" s="41"/>
      <c r="AG1216" s="41"/>
      <c r="AH1216" s="41"/>
      <c r="AI1216" s="41"/>
      <c r="AJ1216" s="41"/>
      <c r="AK1216" s="41"/>
      <c r="AL1216" s="41"/>
      <c r="AM1216" s="41"/>
      <c r="AN1216" s="41"/>
      <c r="AO1216" s="41"/>
      <c r="AP1216" s="41"/>
      <c r="AQ1216" s="41"/>
    </row>
    <row r="1217">
      <c r="A1217" s="41"/>
      <c r="B1217" s="41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  <c r="AA1217" s="41"/>
      <c r="AB1217" s="41"/>
      <c r="AC1217" s="41"/>
      <c r="AD1217" s="41"/>
      <c r="AE1217" s="41"/>
      <c r="AF1217" s="41"/>
      <c r="AG1217" s="41"/>
      <c r="AH1217" s="41"/>
      <c r="AI1217" s="41"/>
      <c r="AJ1217" s="41"/>
      <c r="AK1217" s="41"/>
      <c r="AL1217" s="41"/>
      <c r="AM1217" s="41"/>
      <c r="AN1217" s="41"/>
      <c r="AO1217" s="41"/>
      <c r="AP1217" s="41"/>
      <c r="AQ1217" s="41"/>
    </row>
    <row r="1218">
      <c r="A1218" s="41"/>
      <c r="B1218" s="41"/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  <c r="AA1218" s="41"/>
      <c r="AB1218" s="41"/>
      <c r="AC1218" s="41"/>
      <c r="AD1218" s="41"/>
      <c r="AE1218" s="41"/>
      <c r="AF1218" s="41"/>
      <c r="AG1218" s="41"/>
      <c r="AH1218" s="41"/>
      <c r="AI1218" s="41"/>
      <c r="AJ1218" s="41"/>
      <c r="AK1218" s="41"/>
      <c r="AL1218" s="41"/>
      <c r="AM1218" s="41"/>
      <c r="AN1218" s="41"/>
      <c r="AO1218" s="41"/>
      <c r="AP1218" s="41"/>
      <c r="AQ1218" s="41"/>
    </row>
    <row r="1219">
      <c r="A1219" s="41"/>
      <c r="B1219" s="41"/>
      <c r="C1219" s="41"/>
      <c r="D1219" s="41"/>
      <c r="E1219" s="41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  <c r="AA1219" s="41"/>
      <c r="AB1219" s="41"/>
      <c r="AC1219" s="41"/>
      <c r="AD1219" s="41"/>
      <c r="AE1219" s="41"/>
      <c r="AF1219" s="41"/>
      <c r="AG1219" s="41"/>
      <c r="AH1219" s="41"/>
      <c r="AI1219" s="41"/>
      <c r="AJ1219" s="41"/>
      <c r="AK1219" s="41"/>
      <c r="AL1219" s="41"/>
      <c r="AM1219" s="41"/>
      <c r="AN1219" s="41"/>
      <c r="AO1219" s="41"/>
      <c r="AP1219" s="41"/>
      <c r="AQ1219" s="41"/>
    </row>
    <row r="1220">
      <c r="A1220" s="41"/>
      <c r="B1220" s="41"/>
      <c r="C1220" s="41"/>
      <c r="D1220" s="41"/>
      <c r="E1220" s="41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  <c r="AA1220" s="41"/>
      <c r="AB1220" s="41"/>
      <c r="AC1220" s="41"/>
      <c r="AD1220" s="41"/>
      <c r="AE1220" s="41"/>
      <c r="AF1220" s="41"/>
      <c r="AG1220" s="41"/>
      <c r="AH1220" s="41"/>
      <c r="AI1220" s="41"/>
      <c r="AJ1220" s="41"/>
      <c r="AK1220" s="41"/>
      <c r="AL1220" s="41"/>
      <c r="AM1220" s="41"/>
      <c r="AN1220" s="41"/>
      <c r="AO1220" s="41"/>
      <c r="AP1220" s="41"/>
      <c r="AQ1220" s="41"/>
    </row>
    <row r="1221">
      <c r="A1221" s="41"/>
      <c r="B1221" s="41"/>
      <c r="C1221" s="41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  <c r="AA1221" s="41"/>
      <c r="AB1221" s="41"/>
      <c r="AC1221" s="41"/>
      <c r="AD1221" s="41"/>
      <c r="AE1221" s="41"/>
      <c r="AF1221" s="41"/>
      <c r="AG1221" s="41"/>
      <c r="AH1221" s="41"/>
      <c r="AI1221" s="41"/>
      <c r="AJ1221" s="41"/>
      <c r="AK1221" s="41"/>
      <c r="AL1221" s="41"/>
      <c r="AM1221" s="41"/>
      <c r="AN1221" s="41"/>
      <c r="AO1221" s="41"/>
      <c r="AP1221" s="41"/>
      <c r="AQ1221" s="41"/>
    </row>
    <row r="1222">
      <c r="A1222" s="41"/>
      <c r="B1222" s="41"/>
      <c r="C1222" s="41"/>
      <c r="D1222" s="41"/>
      <c r="E1222" s="41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  <c r="AB1222" s="41"/>
      <c r="AC1222" s="41"/>
      <c r="AD1222" s="41"/>
      <c r="AE1222" s="41"/>
      <c r="AF1222" s="41"/>
      <c r="AG1222" s="41"/>
      <c r="AH1222" s="41"/>
      <c r="AI1222" s="41"/>
      <c r="AJ1222" s="41"/>
      <c r="AK1222" s="41"/>
      <c r="AL1222" s="41"/>
      <c r="AM1222" s="41"/>
      <c r="AN1222" s="41"/>
      <c r="AO1222" s="41"/>
      <c r="AP1222" s="41"/>
      <c r="AQ1222" s="41"/>
    </row>
    <row r="1223">
      <c r="A1223" s="41"/>
      <c r="B1223" s="41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  <c r="AA1223" s="41"/>
      <c r="AB1223" s="41"/>
      <c r="AC1223" s="41"/>
      <c r="AD1223" s="41"/>
      <c r="AE1223" s="41"/>
      <c r="AF1223" s="41"/>
      <c r="AG1223" s="41"/>
      <c r="AH1223" s="41"/>
      <c r="AI1223" s="41"/>
      <c r="AJ1223" s="41"/>
      <c r="AK1223" s="41"/>
      <c r="AL1223" s="41"/>
      <c r="AM1223" s="41"/>
      <c r="AN1223" s="41"/>
      <c r="AO1223" s="41"/>
      <c r="AP1223" s="41"/>
      <c r="AQ1223" s="41"/>
    </row>
    <row r="1224">
      <c r="A1224" s="41"/>
      <c r="B1224" s="41"/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  <c r="AA1224" s="41"/>
      <c r="AB1224" s="41"/>
      <c r="AC1224" s="41"/>
      <c r="AD1224" s="41"/>
      <c r="AE1224" s="41"/>
      <c r="AF1224" s="41"/>
      <c r="AG1224" s="41"/>
      <c r="AH1224" s="41"/>
      <c r="AI1224" s="41"/>
      <c r="AJ1224" s="41"/>
      <c r="AK1224" s="41"/>
      <c r="AL1224" s="41"/>
      <c r="AM1224" s="41"/>
      <c r="AN1224" s="41"/>
      <c r="AO1224" s="41"/>
      <c r="AP1224" s="41"/>
      <c r="AQ1224" s="41"/>
    </row>
    <row r="1225">
      <c r="A1225" s="41"/>
      <c r="B1225" s="41"/>
      <c r="C1225" s="41"/>
      <c r="D1225" s="41"/>
      <c r="E1225" s="41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1"/>
      <c r="U1225" s="41"/>
      <c r="V1225" s="41"/>
      <c r="W1225" s="41"/>
      <c r="X1225" s="41"/>
      <c r="Y1225" s="41"/>
      <c r="Z1225" s="41"/>
      <c r="AA1225" s="41"/>
      <c r="AB1225" s="41"/>
      <c r="AC1225" s="41"/>
      <c r="AD1225" s="41"/>
      <c r="AE1225" s="41"/>
      <c r="AF1225" s="41"/>
      <c r="AG1225" s="41"/>
      <c r="AH1225" s="41"/>
      <c r="AI1225" s="41"/>
      <c r="AJ1225" s="41"/>
      <c r="AK1225" s="41"/>
      <c r="AL1225" s="41"/>
      <c r="AM1225" s="41"/>
      <c r="AN1225" s="41"/>
      <c r="AO1225" s="41"/>
      <c r="AP1225" s="41"/>
      <c r="AQ1225" s="41"/>
    </row>
    <row r="1226">
      <c r="A1226" s="41"/>
      <c r="B1226" s="41"/>
      <c r="C1226" s="41"/>
      <c r="D1226" s="41"/>
      <c r="E1226" s="41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  <c r="AA1226" s="41"/>
      <c r="AB1226" s="41"/>
      <c r="AC1226" s="41"/>
      <c r="AD1226" s="41"/>
      <c r="AE1226" s="41"/>
      <c r="AF1226" s="41"/>
      <c r="AG1226" s="41"/>
      <c r="AH1226" s="41"/>
      <c r="AI1226" s="41"/>
      <c r="AJ1226" s="41"/>
      <c r="AK1226" s="41"/>
      <c r="AL1226" s="41"/>
      <c r="AM1226" s="41"/>
      <c r="AN1226" s="41"/>
      <c r="AO1226" s="41"/>
      <c r="AP1226" s="41"/>
      <c r="AQ1226" s="41"/>
    </row>
    <row r="1227">
      <c r="A1227" s="41"/>
      <c r="B1227" s="41"/>
      <c r="C1227" s="41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  <c r="AA1227" s="41"/>
      <c r="AB1227" s="41"/>
      <c r="AC1227" s="41"/>
      <c r="AD1227" s="41"/>
      <c r="AE1227" s="41"/>
      <c r="AF1227" s="41"/>
      <c r="AG1227" s="41"/>
      <c r="AH1227" s="41"/>
      <c r="AI1227" s="41"/>
      <c r="AJ1227" s="41"/>
      <c r="AK1227" s="41"/>
      <c r="AL1227" s="41"/>
      <c r="AM1227" s="41"/>
      <c r="AN1227" s="41"/>
      <c r="AO1227" s="41"/>
      <c r="AP1227" s="41"/>
      <c r="AQ1227" s="41"/>
    </row>
    <row r="1228">
      <c r="A1228" s="41"/>
      <c r="B1228" s="41"/>
      <c r="C1228" s="41"/>
      <c r="D1228" s="41"/>
      <c r="E1228" s="41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1"/>
      <c r="U1228" s="41"/>
      <c r="V1228" s="41"/>
      <c r="W1228" s="41"/>
      <c r="X1228" s="41"/>
      <c r="Y1228" s="41"/>
      <c r="Z1228" s="41"/>
      <c r="AA1228" s="41"/>
      <c r="AB1228" s="41"/>
      <c r="AC1228" s="41"/>
      <c r="AD1228" s="41"/>
      <c r="AE1228" s="41"/>
      <c r="AF1228" s="41"/>
      <c r="AG1228" s="41"/>
      <c r="AH1228" s="41"/>
      <c r="AI1228" s="41"/>
      <c r="AJ1228" s="41"/>
      <c r="AK1228" s="41"/>
      <c r="AL1228" s="41"/>
      <c r="AM1228" s="41"/>
      <c r="AN1228" s="41"/>
      <c r="AO1228" s="41"/>
      <c r="AP1228" s="41"/>
      <c r="AQ1228" s="41"/>
    </row>
    <row r="1229">
      <c r="A1229" s="41"/>
      <c r="B1229" s="41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  <c r="AA1229" s="41"/>
      <c r="AB1229" s="41"/>
      <c r="AC1229" s="41"/>
      <c r="AD1229" s="41"/>
      <c r="AE1229" s="41"/>
      <c r="AF1229" s="41"/>
      <c r="AG1229" s="41"/>
      <c r="AH1229" s="41"/>
      <c r="AI1229" s="41"/>
      <c r="AJ1229" s="41"/>
      <c r="AK1229" s="41"/>
      <c r="AL1229" s="41"/>
      <c r="AM1229" s="41"/>
      <c r="AN1229" s="41"/>
      <c r="AO1229" s="41"/>
      <c r="AP1229" s="41"/>
      <c r="AQ1229" s="41"/>
    </row>
    <row r="1230">
      <c r="A1230" s="41"/>
      <c r="B1230" s="41"/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  <c r="AA1230" s="41"/>
      <c r="AB1230" s="41"/>
      <c r="AC1230" s="41"/>
      <c r="AD1230" s="41"/>
      <c r="AE1230" s="41"/>
      <c r="AF1230" s="41"/>
      <c r="AG1230" s="41"/>
      <c r="AH1230" s="41"/>
      <c r="AI1230" s="41"/>
      <c r="AJ1230" s="41"/>
      <c r="AK1230" s="41"/>
      <c r="AL1230" s="41"/>
      <c r="AM1230" s="41"/>
      <c r="AN1230" s="41"/>
      <c r="AO1230" s="41"/>
      <c r="AP1230" s="41"/>
      <c r="AQ1230" s="41"/>
    </row>
    <row r="1231">
      <c r="A1231" s="41"/>
      <c r="B1231" s="41"/>
      <c r="C1231" s="41"/>
      <c r="D1231" s="41"/>
      <c r="E1231" s="41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1"/>
      <c r="U1231" s="41"/>
      <c r="V1231" s="41"/>
      <c r="W1231" s="41"/>
      <c r="X1231" s="41"/>
      <c r="Y1231" s="41"/>
      <c r="Z1231" s="41"/>
      <c r="AA1231" s="41"/>
      <c r="AB1231" s="41"/>
      <c r="AC1231" s="41"/>
      <c r="AD1231" s="41"/>
      <c r="AE1231" s="41"/>
      <c r="AF1231" s="41"/>
      <c r="AG1231" s="41"/>
      <c r="AH1231" s="41"/>
      <c r="AI1231" s="41"/>
      <c r="AJ1231" s="41"/>
      <c r="AK1231" s="41"/>
      <c r="AL1231" s="41"/>
      <c r="AM1231" s="41"/>
      <c r="AN1231" s="41"/>
      <c r="AO1231" s="41"/>
      <c r="AP1231" s="41"/>
      <c r="AQ1231" s="41"/>
    </row>
    <row r="1232">
      <c r="A1232" s="41"/>
      <c r="B1232" s="41"/>
      <c r="C1232" s="41"/>
      <c r="D1232" s="41"/>
      <c r="E1232" s="41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  <c r="AA1232" s="41"/>
      <c r="AB1232" s="41"/>
      <c r="AC1232" s="41"/>
      <c r="AD1232" s="41"/>
      <c r="AE1232" s="41"/>
      <c r="AF1232" s="41"/>
      <c r="AG1232" s="41"/>
      <c r="AH1232" s="41"/>
      <c r="AI1232" s="41"/>
      <c r="AJ1232" s="41"/>
      <c r="AK1232" s="41"/>
      <c r="AL1232" s="41"/>
      <c r="AM1232" s="41"/>
      <c r="AN1232" s="41"/>
      <c r="AO1232" s="41"/>
      <c r="AP1232" s="41"/>
      <c r="AQ1232" s="41"/>
    </row>
    <row r="1233">
      <c r="A1233" s="41"/>
      <c r="B1233" s="41"/>
      <c r="C1233" s="41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  <c r="AA1233" s="41"/>
      <c r="AB1233" s="41"/>
      <c r="AC1233" s="41"/>
      <c r="AD1233" s="41"/>
      <c r="AE1233" s="41"/>
      <c r="AF1233" s="41"/>
      <c r="AG1233" s="41"/>
      <c r="AH1233" s="41"/>
      <c r="AI1233" s="41"/>
      <c r="AJ1233" s="41"/>
      <c r="AK1233" s="41"/>
      <c r="AL1233" s="41"/>
      <c r="AM1233" s="41"/>
      <c r="AN1233" s="41"/>
      <c r="AO1233" s="41"/>
      <c r="AP1233" s="41"/>
      <c r="AQ1233" s="41"/>
    </row>
    <row r="1234">
      <c r="A1234" s="41"/>
      <c r="B1234" s="41"/>
      <c r="C1234" s="41"/>
      <c r="D1234" s="41"/>
      <c r="E1234" s="41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  <c r="AA1234" s="41"/>
      <c r="AB1234" s="41"/>
      <c r="AC1234" s="41"/>
      <c r="AD1234" s="41"/>
      <c r="AE1234" s="41"/>
      <c r="AF1234" s="41"/>
      <c r="AG1234" s="41"/>
      <c r="AH1234" s="41"/>
      <c r="AI1234" s="41"/>
      <c r="AJ1234" s="41"/>
      <c r="AK1234" s="41"/>
      <c r="AL1234" s="41"/>
      <c r="AM1234" s="41"/>
      <c r="AN1234" s="41"/>
      <c r="AO1234" s="41"/>
      <c r="AP1234" s="41"/>
      <c r="AQ1234" s="41"/>
    </row>
    <row r="1235">
      <c r="A1235" s="41"/>
      <c r="B1235" s="41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  <c r="AA1235" s="41"/>
      <c r="AB1235" s="41"/>
      <c r="AC1235" s="41"/>
      <c r="AD1235" s="41"/>
      <c r="AE1235" s="41"/>
      <c r="AF1235" s="41"/>
      <c r="AG1235" s="41"/>
      <c r="AH1235" s="41"/>
      <c r="AI1235" s="41"/>
      <c r="AJ1235" s="41"/>
      <c r="AK1235" s="41"/>
      <c r="AL1235" s="41"/>
      <c r="AM1235" s="41"/>
      <c r="AN1235" s="41"/>
      <c r="AO1235" s="41"/>
      <c r="AP1235" s="41"/>
      <c r="AQ1235" s="41"/>
    </row>
    <row r="1236">
      <c r="A1236" s="41"/>
      <c r="B1236" s="41"/>
      <c r="C1236" s="41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  <c r="AA1236" s="41"/>
      <c r="AB1236" s="41"/>
      <c r="AC1236" s="41"/>
      <c r="AD1236" s="41"/>
      <c r="AE1236" s="41"/>
      <c r="AF1236" s="41"/>
      <c r="AG1236" s="41"/>
      <c r="AH1236" s="41"/>
      <c r="AI1236" s="41"/>
      <c r="AJ1236" s="41"/>
      <c r="AK1236" s="41"/>
      <c r="AL1236" s="41"/>
      <c r="AM1236" s="41"/>
      <c r="AN1236" s="41"/>
      <c r="AO1236" s="41"/>
      <c r="AP1236" s="41"/>
      <c r="AQ1236" s="41"/>
    </row>
    <row r="1237">
      <c r="A1237" s="41"/>
      <c r="B1237" s="41"/>
      <c r="C1237" s="41"/>
      <c r="D1237" s="41"/>
      <c r="E1237" s="41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41"/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1237" s="41"/>
      <c r="AB1237" s="41"/>
      <c r="AC1237" s="41"/>
      <c r="AD1237" s="41"/>
      <c r="AE1237" s="41"/>
      <c r="AF1237" s="41"/>
      <c r="AG1237" s="41"/>
      <c r="AH1237" s="41"/>
      <c r="AI1237" s="41"/>
      <c r="AJ1237" s="41"/>
      <c r="AK1237" s="41"/>
      <c r="AL1237" s="41"/>
      <c r="AM1237" s="41"/>
      <c r="AN1237" s="41"/>
      <c r="AO1237" s="41"/>
      <c r="AP1237" s="41"/>
      <c r="AQ1237" s="41"/>
    </row>
    <row r="1238">
      <c r="A1238" s="41"/>
      <c r="B1238" s="41"/>
      <c r="C1238" s="41"/>
      <c r="D1238" s="41"/>
      <c r="E1238" s="41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41"/>
      <c r="Q1238" s="41"/>
      <c r="R1238" s="41"/>
      <c r="S1238" s="41"/>
      <c r="T1238" s="41"/>
      <c r="U1238" s="41"/>
      <c r="V1238" s="41"/>
      <c r="W1238" s="41"/>
      <c r="X1238" s="41"/>
      <c r="Y1238" s="41"/>
      <c r="Z1238" s="41"/>
      <c r="AA1238" s="41"/>
      <c r="AB1238" s="41"/>
      <c r="AC1238" s="41"/>
      <c r="AD1238" s="41"/>
      <c r="AE1238" s="41"/>
      <c r="AF1238" s="41"/>
      <c r="AG1238" s="41"/>
      <c r="AH1238" s="41"/>
      <c r="AI1238" s="41"/>
      <c r="AJ1238" s="41"/>
      <c r="AK1238" s="41"/>
      <c r="AL1238" s="41"/>
      <c r="AM1238" s="41"/>
      <c r="AN1238" s="41"/>
      <c r="AO1238" s="41"/>
      <c r="AP1238" s="41"/>
      <c r="AQ1238" s="41"/>
    </row>
    <row r="1239">
      <c r="A1239" s="41"/>
      <c r="B1239" s="41"/>
      <c r="C1239" s="41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1"/>
      <c r="AC1239" s="41"/>
      <c r="AD1239" s="41"/>
      <c r="AE1239" s="41"/>
      <c r="AF1239" s="41"/>
      <c r="AG1239" s="41"/>
      <c r="AH1239" s="41"/>
      <c r="AI1239" s="41"/>
      <c r="AJ1239" s="41"/>
      <c r="AK1239" s="41"/>
      <c r="AL1239" s="41"/>
      <c r="AM1239" s="41"/>
      <c r="AN1239" s="41"/>
      <c r="AO1239" s="41"/>
      <c r="AP1239" s="41"/>
      <c r="AQ1239" s="41"/>
    </row>
    <row r="1240">
      <c r="A1240" s="41"/>
      <c r="B1240" s="41"/>
      <c r="C1240" s="41"/>
      <c r="D1240" s="41"/>
      <c r="E1240" s="41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  <c r="AB1240" s="41"/>
      <c r="AC1240" s="41"/>
      <c r="AD1240" s="41"/>
      <c r="AE1240" s="41"/>
      <c r="AF1240" s="41"/>
      <c r="AG1240" s="41"/>
      <c r="AH1240" s="41"/>
      <c r="AI1240" s="41"/>
      <c r="AJ1240" s="41"/>
      <c r="AK1240" s="41"/>
      <c r="AL1240" s="41"/>
      <c r="AM1240" s="41"/>
      <c r="AN1240" s="41"/>
      <c r="AO1240" s="41"/>
      <c r="AP1240" s="41"/>
      <c r="AQ1240" s="41"/>
    </row>
    <row r="1241">
      <c r="A1241" s="41"/>
      <c r="B1241" s="41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  <c r="AA1241" s="41"/>
      <c r="AB1241" s="41"/>
      <c r="AC1241" s="41"/>
      <c r="AD1241" s="41"/>
      <c r="AE1241" s="41"/>
      <c r="AF1241" s="41"/>
      <c r="AG1241" s="41"/>
      <c r="AH1241" s="41"/>
      <c r="AI1241" s="41"/>
      <c r="AJ1241" s="41"/>
      <c r="AK1241" s="41"/>
      <c r="AL1241" s="41"/>
      <c r="AM1241" s="41"/>
      <c r="AN1241" s="41"/>
      <c r="AO1241" s="41"/>
      <c r="AP1241" s="41"/>
      <c r="AQ1241" s="41"/>
    </row>
    <row r="1242">
      <c r="A1242" s="41"/>
      <c r="B1242" s="41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  <c r="AB1242" s="41"/>
      <c r="AC1242" s="41"/>
      <c r="AD1242" s="41"/>
      <c r="AE1242" s="41"/>
      <c r="AF1242" s="41"/>
      <c r="AG1242" s="41"/>
      <c r="AH1242" s="41"/>
      <c r="AI1242" s="41"/>
      <c r="AJ1242" s="41"/>
      <c r="AK1242" s="41"/>
      <c r="AL1242" s="41"/>
      <c r="AM1242" s="41"/>
      <c r="AN1242" s="41"/>
      <c r="AO1242" s="41"/>
      <c r="AP1242" s="41"/>
      <c r="AQ1242" s="41"/>
    </row>
    <row r="1243">
      <c r="A1243" s="41"/>
      <c r="B1243" s="41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  <c r="AA1243" s="41"/>
      <c r="AB1243" s="41"/>
      <c r="AC1243" s="41"/>
      <c r="AD1243" s="41"/>
      <c r="AE1243" s="41"/>
      <c r="AF1243" s="41"/>
      <c r="AG1243" s="41"/>
      <c r="AH1243" s="41"/>
      <c r="AI1243" s="41"/>
      <c r="AJ1243" s="41"/>
      <c r="AK1243" s="41"/>
      <c r="AL1243" s="41"/>
      <c r="AM1243" s="41"/>
      <c r="AN1243" s="41"/>
      <c r="AO1243" s="41"/>
      <c r="AP1243" s="41"/>
      <c r="AQ1243" s="41"/>
    </row>
    <row r="1244">
      <c r="A1244" s="41"/>
      <c r="B1244" s="41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1"/>
      <c r="Q1244" s="41"/>
      <c r="R1244" s="41"/>
      <c r="S1244" s="41"/>
      <c r="T1244" s="41"/>
      <c r="U1244" s="41"/>
      <c r="V1244" s="41"/>
      <c r="W1244" s="41"/>
      <c r="X1244" s="41"/>
      <c r="Y1244" s="41"/>
      <c r="Z1244" s="41"/>
      <c r="AA1244" s="41"/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/>
      <c r="AN1244" s="41"/>
      <c r="AO1244" s="41"/>
      <c r="AP1244" s="41"/>
      <c r="AQ1244" s="41"/>
    </row>
    <row r="1245">
      <c r="A1245" s="41"/>
      <c r="B1245" s="41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  <c r="AA1245" s="41"/>
      <c r="AB1245" s="41"/>
      <c r="AC1245" s="41"/>
      <c r="AD1245" s="41"/>
      <c r="AE1245" s="41"/>
      <c r="AF1245" s="41"/>
      <c r="AG1245" s="41"/>
      <c r="AH1245" s="41"/>
      <c r="AI1245" s="41"/>
      <c r="AJ1245" s="41"/>
      <c r="AK1245" s="41"/>
      <c r="AL1245" s="41"/>
      <c r="AM1245" s="41"/>
      <c r="AN1245" s="41"/>
      <c r="AO1245" s="41"/>
      <c r="AP1245" s="41"/>
      <c r="AQ1245" s="41"/>
    </row>
    <row r="1246">
      <c r="A1246" s="41"/>
      <c r="B1246" s="41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1"/>
      <c r="Q1246" s="41"/>
      <c r="R1246" s="41"/>
      <c r="S1246" s="41"/>
      <c r="T1246" s="41"/>
      <c r="U1246" s="41"/>
      <c r="V1246" s="41"/>
      <c r="W1246" s="41"/>
      <c r="X1246" s="41"/>
      <c r="Y1246" s="41"/>
      <c r="Z1246" s="41"/>
      <c r="AA1246" s="41"/>
      <c r="AB1246" s="41"/>
      <c r="AC1246" s="41"/>
      <c r="AD1246" s="41"/>
      <c r="AE1246" s="41"/>
      <c r="AF1246" s="41"/>
      <c r="AG1246" s="41"/>
      <c r="AH1246" s="41"/>
      <c r="AI1246" s="41"/>
      <c r="AJ1246" s="41"/>
      <c r="AK1246" s="41"/>
      <c r="AL1246" s="41"/>
      <c r="AM1246" s="41"/>
      <c r="AN1246" s="41"/>
      <c r="AO1246" s="41"/>
      <c r="AP1246" s="41"/>
      <c r="AQ1246" s="41"/>
    </row>
    <row r="1247">
      <c r="A1247" s="41"/>
      <c r="B1247" s="41"/>
      <c r="C1247" s="41"/>
      <c r="D1247" s="41"/>
      <c r="E1247" s="41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41"/>
      <c r="Q1247" s="41"/>
      <c r="R1247" s="41"/>
      <c r="S1247" s="41"/>
      <c r="T1247" s="41"/>
      <c r="U1247" s="41"/>
      <c r="V1247" s="41"/>
      <c r="W1247" s="41"/>
      <c r="X1247" s="41"/>
      <c r="Y1247" s="41"/>
      <c r="Z1247" s="41"/>
      <c r="AA1247" s="41"/>
      <c r="AB1247" s="41"/>
      <c r="AC1247" s="41"/>
      <c r="AD1247" s="41"/>
      <c r="AE1247" s="41"/>
      <c r="AF1247" s="41"/>
      <c r="AG1247" s="41"/>
      <c r="AH1247" s="41"/>
      <c r="AI1247" s="41"/>
      <c r="AJ1247" s="41"/>
      <c r="AK1247" s="41"/>
      <c r="AL1247" s="41"/>
      <c r="AM1247" s="41"/>
      <c r="AN1247" s="41"/>
      <c r="AO1247" s="41"/>
      <c r="AP1247" s="41"/>
      <c r="AQ1247" s="41"/>
    </row>
    <row r="1248">
      <c r="A1248" s="41"/>
      <c r="B1248" s="41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  <c r="AA1248" s="41"/>
      <c r="AB1248" s="41"/>
      <c r="AC1248" s="41"/>
      <c r="AD1248" s="41"/>
      <c r="AE1248" s="41"/>
      <c r="AF1248" s="41"/>
      <c r="AG1248" s="41"/>
      <c r="AH1248" s="41"/>
      <c r="AI1248" s="41"/>
      <c r="AJ1248" s="41"/>
      <c r="AK1248" s="41"/>
      <c r="AL1248" s="41"/>
      <c r="AM1248" s="41"/>
      <c r="AN1248" s="41"/>
      <c r="AO1248" s="41"/>
      <c r="AP1248" s="41"/>
      <c r="AQ1248" s="41"/>
    </row>
    <row r="1249">
      <c r="A1249" s="41"/>
      <c r="B1249" s="41"/>
      <c r="C1249" s="41"/>
      <c r="D1249" s="41"/>
      <c r="E1249" s="41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  <c r="AA1249" s="41"/>
      <c r="AB1249" s="41"/>
      <c r="AC1249" s="41"/>
      <c r="AD1249" s="41"/>
      <c r="AE1249" s="41"/>
      <c r="AF1249" s="41"/>
      <c r="AG1249" s="41"/>
      <c r="AH1249" s="41"/>
      <c r="AI1249" s="41"/>
      <c r="AJ1249" s="41"/>
      <c r="AK1249" s="41"/>
      <c r="AL1249" s="41"/>
      <c r="AM1249" s="41"/>
      <c r="AN1249" s="41"/>
      <c r="AO1249" s="41"/>
      <c r="AP1249" s="41"/>
      <c r="AQ1249" s="41"/>
    </row>
    <row r="1250">
      <c r="A1250" s="41"/>
      <c r="B1250" s="41"/>
      <c r="C1250" s="41"/>
      <c r="D1250" s="41"/>
      <c r="E1250" s="41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  <c r="AA1250" s="41"/>
      <c r="AB1250" s="41"/>
      <c r="AC1250" s="41"/>
      <c r="AD1250" s="41"/>
      <c r="AE1250" s="41"/>
      <c r="AF1250" s="41"/>
      <c r="AG1250" s="41"/>
      <c r="AH1250" s="41"/>
      <c r="AI1250" s="41"/>
      <c r="AJ1250" s="41"/>
      <c r="AK1250" s="41"/>
      <c r="AL1250" s="41"/>
      <c r="AM1250" s="41"/>
      <c r="AN1250" s="41"/>
      <c r="AO1250" s="41"/>
      <c r="AP1250" s="41"/>
      <c r="AQ1250" s="41"/>
    </row>
    <row r="1251">
      <c r="A1251" s="41"/>
      <c r="B1251" s="41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  <c r="AA1251" s="41"/>
      <c r="AB1251" s="41"/>
      <c r="AC1251" s="41"/>
      <c r="AD1251" s="41"/>
      <c r="AE1251" s="41"/>
      <c r="AF1251" s="41"/>
      <c r="AG1251" s="41"/>
      <c r="AH1251" s="41"/>
      <c r="AI1251" s="41"/>
      <c r="AJ1251" s="41"/>
      <c r="AK1251" s="41"/>
      <c r="AL1251" s="41"/>
      <c r="AM1251" s="41"/>
      <c r="AN1251" s="41"/>
      <c r="AO1251" s="41"/>
      <c r="AP1251" s="41"/>
      <c r="AQ1251" s="41"/>
    </row>
    <row r="1252">
      <c r="A1252" s="41"/>
      <c r="B1252" s="41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41"/>
      <c r="Z1252" s="41"/>
      <c r="AA1252" s="41"/>
      <c r="AB1252" s="41"/>
      <c r="AC1252" s="41"/>
      <c r="AD1252" s="41"/>
      <c r="AE1252" s="41"/>
      <c r="AF1252" s="41"/>
      <c r="AG1252" s="41"/>
      <c r="AH1252" s="41"/>
      <c r="AI1252" s="41"/>
      <c r="AJ1252" s="41"/>
      <c r="AK1252" s="41"/>
      <c r="AL1252" s="41"/>
      <c r="AM1252" s="41"/>
      <c r="AN1252" s="41"/>
      <c r="AO1252" s="41"/>
      <c r="AP1252" s="41"/>
      <c r="AQ1252" s="41"/>
    </row>
    <row r="1253">
      <c r="A1253" s="41"/>
      <c r="B1253" s="41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1"/>
      <c r="U1253" s="41"/>
      <c r="V1253" s="41"/>
      <c r="W1253" s="41"/>
      <c r="X1253" s="41"/>
      <c r="Y1253" s="41"/>
      <c r="Z1253" s="41"/>
      <c r="AA1253" s="41"/>
      <c r="AB1253" s="41"/>
      <c r="AC1253" s="41"/>
      <c r="AD1253" s="41"/>
      <c r="AE1253" s="41"/>
      <c r="AF1253" s="41"/>
      <c r="AG1253" s="41"/>
      <c r="AH1253" s="41"/>
      <c r="AI1253" s="41"/>
      <c r="AJ1253" s="41"/>
      <c r="AK1253" s="41"/>
      <c r="AL1253" s="41"/>
      <c r="AM1253" s="41"/>
      <c r="AN1253" s="41"/>
      <c r="AO1253" s="41"/>
      <c r="AP1253" s="41"/>
      <c r="AQ1253" s="41"/>
    </row>
    <row r="1254">
      <c r="A1254" s="41"/>
      <c r="B1254" s="41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  <c r="Q1254" s="41"/>
      <c r="R1254" s="41"/>
      <c r="S1254" s="41"/>
      <c r="T1254" s="41"/>
      <c r="U1254" s="41"/>
      <c r="V1254" s="41"/>
      <c r="W1254" s="41"/>
      <c r="X1254" s="41"/>
      <c r="Y1254" s="41"/>
      <c r="Z1254" s="41"/>
      <c r="AA1254" s="41"/>
      <c r="AB1254" s="41"/>
      <c r="AC1254" s="41"/>
      <c r="AD1254" s="41"/>
      <c r="AE1254" s="41"/>
      <c r="AF1254" s="41"/>
      <c r="AG1254" s="41"/>
      <c r="AH1254" s="41"/>
      <c r="AI1254" s="41"/>
      <c r="AJ1254" s="41"/>
      <c r="AK1254" s="41"/>
      <c r="AL1254" s="41"/>
      <c r="AM1254" s="41"/>
      <c r="AN1254" s="41"/>
      <c r="AO1254" s="41"/>
      <c r="AP1254" s="41"/>
      <c r="AQ1254" s="41"/>
    </row>
    <row r="1255">
      <c r="A1255" s="41"/>
      <c r="B1255" s="41"/>
      <c r="C1255" s="41"/>
      <c r="D1255" s="41"/>
      <c r="E1255" s="41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41"/>
      <c r="Q1255" s="41"/>
      <c r="R1255" s="41"/>
      <c r="S1255" s="41"/>
      <c r="T1255" s="41"/>
      <c r="U1255" s="41"/>
      <c r="V1255" s="41"/>
      <c r="W1255" s="41"/>
      <c r="X1255" s="41"/>
      <c r="Y1255" s="41"/>
      <c r="Z1255" s="41"/>
      <c r="AA1255" s="41"/>
      <c r="AB1255" s="41"/>
      <c r="AC1255" s="41"/>
      <c r="AD1255" s="41"/>
      <c r="AE1255" s="41"/>
      <c r="AF1255" s="41"/>
      <c r="AG1255" s="41"/>
      <c r="AH1255" s="41"/>
      <c r="AI1255" s="41"/>
      <c r="AJ1255" s="41"/>
      <c r="AK1255" s="41"/>
      <c r="AL1255" s="41"/>
      <c r="AM1255" s="41"/>
      <c r="AN1255" s="41"/>
      <c r="AO1255" s="41"/>
      <c r="AP1255" s="41"/>
      <c r="AQ1255" s="41"/>
    </row>
    <row r="1256">
      <c r="A1256" s="41"/>
      <c r="B1256" s="41"/>
      <c r="C1256" s="41"/>
      <c r="D1256" s="41"/>
      <c r="E1256" s="41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41"/>
      <c r="Q1256" s="41"/>
      <c r="R1256" s="41"/>
      <c r="S1256" s="41"/>
      <c r="T1256" s="41"/>
      <c r="U1256" s="41"/>
      <c r="V1256" s="41"/>
      <c r="W1256" s="41"/>
      <c r="X1256" s="41"/>
      <c r="Y1256" s="41"/>
      <c r="Z1256" s="41"/>
      <c r="AA1256" s="41"/>
      <c r="AB1256" s="41"/>
      <c r="AC1256" s="41"/>
      <c r="AD1256" s="41"/>
      <c r="AE1256" s="41"/>
      <c r="AF1256" s="41"/>
      <c r="AG1256" s="41"/>
      <c r="AH1256" s="41"/>
      <c r="AI1256" s="41"/>
      <c r="AJ1256" s="41"/>
      <c r="AK1256" s="41"/>
      <c r="AL1256" s="41"/>
      <c r="AM1256" s="41"/>
      <c r="AN1256" s="41"/>
      <c r="AO1256" s="41"/>
      <c r="AP1256" s="41"/>
      <c r="AQ1256" s="41"/>
    </row>
    <row r="1257">
      <c r="A1257" s="41"/>
      <c r="B1257" s="41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  <c r="AA1257" s="41"/>
      <c r="AB1257" s="41"/>
      <c r="AC1257" s="41"/>
      <c r="AD1257" s="41"/>
      <c r="AE1257" s="41"/>
      <c r="AF1257" s="41"/>
      <c r="AG1257" s="41"/>
      <c r="AH1257" s="41"/>
      <c r="AI1257" s="41"/>
      <c r="AJ1257" s="41"/>
      <c r="AK1257" s="41"/>
      <c r="AL1257" s="41"/>
      <c r="AM1257" s="41"/>
      <c r="AN1257" s="41"/>
      <c r="AO1257" s="41"/>
      <c r="AP1257" s="41"/>
      <c r="AQ1257" s="41"/>
    </row>
    <row r="1258">
      <c r="A1258" s="41"/>
      <c r="B1258" s="41"/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  <c r="AA1258" s="41"/>
      <c r="AB1258" s="41"/>
      <c r="AC1258" s="41"/>
      <c r="AD1258" s="41"/>
      <c r="AE1258" s="41"/>
      <c r="AF1258" s="41"/>
      <c r="AG1258" s="41"/>
      <c r="AH1258" s="41"/>
      <c r="AI1258" s="41"/>
      <c r="AJ1258" s="41"/>
      <c r="AK1258" s="41"/>
      <c r="AL1258" s="41"/>
      <c r="AM1258" s="41"/>
      <c r="AN1258" s="41"/>
      <c r="AO1258" s="41"/>
      <c r="AP1258" s="41"/>
      <c r="AQ1258" s="41"/>
    </row>
    <row r="1259">
      <c r="A1259" s="41"/>
      <c r="B1259" s="41"/>
      <c r="C1259" s="41"/>
      <c r="D1259" s="41"/>
      <c r="E1259" s="41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41"/>
      <c r="Q1259" s="41"/>
      <c r="R1259" s="41"/>
      <c r="S1259" s="41"/>
      <c r="T1259" s="41"/>
      <c r="U1259" s="41"/>
      <c r="V1259" s="41"/>
      <c r="W1259" s="41"/>
      <c r="X1259" s="41"/>
      <c r="Y1259" s="41"/>
      <c r="Z1259" s="41"/>
      <c r="AA1259" s="41"/>
      <c r="AB1259" s="41"/>
      <c r="AC1259" s="41"/>
      <c r="AD1259" s="41"/>
      <c r="AE1259" s="41"/>
      <c r="AF1259" s="41"/>
      <c r="AG1259" s="41"/>
      <c r="AH1259" s="41"/>
      <c r="AI1259" s="41"/>
      <c r="AJ1259" s="41"/>
      <c r="AK1259" s="41"/>
      <c r="AL1259" s="41"/>
      <c r="AM1259" s="41"/>
      <c r="AN1259" s="41"/>
      <c r="AO1259" s="41"/>
      <c r="AP1259" s="41"/>
      <c r="AQ1259" s="41"/>
    </row>
    <row r="1260">
      <c r="A1260" s="41"/>
      <c r="B1260" s="41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  <c r="Q1260" s="41"/>
      <c r="R1260" s="41"/>
      <c r="S1260" s="41"/>
      <c r="T1260" s="41"/>
      <c r="U1260" s="41"/>
      <c r="V1260" s="41"/>
      <c r="W1260" s="41"/>
      <c r="X1260" s="41"/>
      <c r="Y1260" s="41"/>
      <c r="Z1260" s="41"/>
      <c r="AA1260" s="41"/>
      <c r="AB1260" s="41"/>
      <c r="AC1260" s="41"/>
      <c r="AD1260" s="41"/>
      <c r="AE1260" s="41"/>
      <c r="AF1260" s="41"/>
      <c r="AG1260" s="41"/>
      <c r="AH1260" s="41"/>
      <c r="AI1260" s="41"/>
      <c r="AJ1260" s="41"/>
      <c r="AK1260" s="41"/>
      <c r="AL1260" s="41"/>
      <c r="AM1260" s="41"/>
      <c r="AN1260" s="41"/>
      <c r="AO1260" s="41"/>
      <c r="AP1260" s="41"/>
      <c r="AQ1260" s="41"/>
    </row>
    <row r="1261">
      <c r="A1261" s="41"/>
      <c r="B1261" s="41"/>
      <c r="C1261" s="41"/>
      <c r="D1261" s="41"/>
      <c r="E1261" s="41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41"/>
      <c r="Q1261" s="41"/>
      <c r="R1261" s="41"/>
      <c r="S1261" s="41"/>
      <c r="T1261" s="41"/>
      <c r="U1261" s="41"/>
      <c r="V1261" s="41"/>
      <c r="W1261" s="41"/>
      <c r="X1261" s="41"/>
      <c r="Y1261" s="41"/>
      <c r="Z1261" s="41"/>
      <c r="AA1261" s="41"/>
      <c r="AB1261" s="41"/>
      <c r="AC1261" s="41"/>
      <c r="AD1261" s="41"/>
      <c r="AE1261" s="41"/>
      <c r="AF1261" s="41"/>
      <c r="AG1261" s="41"/>
      <c r="AH1261" s="41"/>
      <c r="AI1261" s="41"/>
      <c r="AJ1261" s="41"/>
      <c r="AK1261" s="41"/>
      <c r="AL1261" s="41"/>
      <c r="AM1261" s="41"/>
      <c r="AN1261" s="41"/>
      <c r="AO1261" s="41"/>
      <c r="AP1261" s="41"/>
      <c r="AQ1261" s="41"/>
    </row>
    <row r="1262">
      <c r="A1262" s="41"/>
      <c r="B1262" s="41"/>
      <c r="C1262" s="41"/>
      <c r="D1262" s="41"/>
      <c r="E1262" s="41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41"/>
      <c r="Q1262" s="41"/>
      <c r="R1262" s="41"/>
      <c r="S1262" s="41"/>
      <c r="T1262" s="41"/>
      <c r="U1262" s="41"/>
      <c r="V1262" s="41"/>
      <c r="W1262" s="41"/>
      <c r="X1262" s="41"/>
      <c r="Y1262" s="41"/>
      <c r="Z1262" s="41"/>
      <c r="AA1262" s="41"/>
      <c r="AB1262" s="41"/>
      <c r="AC1262" s="41"/>
      <c r="AD1262" s="41"/>
      <c r="AE1262" s="41"/>
      <c r="AF1262" s="41"/>
      <c r="AG1262" s="41"/>
      <c r="AH1262" s="41"/>
      <c r="AI1262" s="41"/>
      <c r="AJ1262" s="41"/>
      <c r="AK1262" s="41"/>
      <c r="AL1262" s="41"/>
      <c r="AM1262" s="41"/>
      <c r="AN1262" s="41"/>
      <c r="AO1262" s="41"/>
      <c r="AP1262" s="41"/>
      <c r="AQ1262" s="41"/>
    </row>
    <row r="1263">
      <c r="A1263" s="41"/>
      <c r="B1263" s="41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41"/>
      <c r="W1263" s="41"/>
      <c r="X1263" s="41"/>
      <c r="Y1263" s="41"/>
      <c r="Z1263" s="41"/>
      <c r="AA1263" s="41"/>
      <c r="AB1263" s="41"/>
      <c r="AC1263" s="41"/>
      <c r="AD1263" s="41"/>
      <c r="AE1263" s="41"/>
      <c r="AF1263" s="41"/>
      <c r="AG1263" s="41"/>
      <c r="AH1263" s="41"/>
      <c r="AI1263" s="41"/>
      <c r="AJ1263" s="41"/>
      <c r="AK1263" s="41"/>
      <c r="AL1263" s="41"/>
      <c r="AM1263" s="41"/>
      <c r="AN1263" s="41"/>
      <c r="AO1263" s="41"/>
      <c r="AP1263" s="41"/>
      <c r="AQ1263" s="41"/>
    </row>
    <row r="1264">
      <c r="A1264" s="41"/>
      <c r="B1264" s="41"/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41"/>
      <c r="Q1264" s="41"/>
      <c r="R1264" s="41"/>
      <c r="S1264" s="41"/>
      <c r="T1264" s="41"/>
      <c r="U1264" s="41"/>
      <c r="V1264" s="41"/>
      <c r="W1264" s="41"/>
      <c r="X1264" s="41"/>
      <c r="Y1264" s="41"/>
      <c r="Z1264" s="41"/>
      <c r="AA1264" s="41"/>
      <c r="AB1264" s="41"/>
      <c r="AC1264" s="41"/>
      <c r="AD1264" s="41"/>
      <c r="AE1264" s="41"/>
      <c r="AF1264" s="41"/>
      <c r="AG1264" s="41"/>
      <c r="AH1264" s="41"/>
      <c r="AI1264" s="41"/>
      <c r="AJ1264" s="41"/>
      <c r="AK1264" s="41"/>
      <c r="AL1264" s="41"/>
      <c r="AM1264" s="41"/>
      <c r="AN1264" s="41"/>
      <c r="AO1264" s="41"/>
      <c r="AP1264" s="41"/>
      <c r="AQ1264" s="41"/>
    </row>
    <row r="1265">
      <c r="A1265" s="41"/>
      <c r="B1265" s="41"/>
      <c r="C1265" s="41"/>
      <c r="D1265" s="41"/>
      <c r="E1265" s="41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41"/>
      <c r="Q1265" s="41"/>
      <c r="R1265" s="41"/>
      <c r="S1265" s="41"/>
      <c r="T1265" s="41"/>
      <c r="U1265" s="41"/>
      <c r="V1265" s="41"/>
      <c r="W1265" s="41"/>
      <c r="X1265" s="41"/>
      <c r="Y1265" s="41"/>
      <c r="Z1265" s="41"/>
      <c r="AA1265" s="41"/>
      <c r="AB1265" s="41"/>
      <c r="AC1265" s="41"/>
      <c r="AD1265" s="41"/>
      <c r="AE1265" s="41"/>
      <c r="AF1265" s="41"/>
      <c r="AG1265" s="41"/>
      <c r="AH1265" s="41"/>
      <c r="AI1265" s="41"/>
      <c r="AJ1265" s="41"/>
      <c r="AK1265" s="41"/>
      <c r="AL1265" s="41"/>
      <c r="AM1265" s="41"/>
      <c r="AN1265" s="41"/>
      <c r="AO1265" s="41"/>
      <c r="AP1265" s="41"/>
      <c r="AQ1265" s="41"/>
    </row>
    <row r="1266">
      <c r="A1266" s="41"/>
      <c r="B1266" s="41"/>
      <c r="C1266" s="41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41"/>
      <c r="Q1266" s="41"/>
      <c r="R1266" s="41"/>
      <c r="S1266" s="41"/>
      <c r="T1266" s="41"/>
      <c r="U1266" s="41"/>
      <c r="V1266" s="41"/>
      <c r="W1266" s="41"/>
      <c r="X1266" s="41"/>
      <c r="Y1266" s="41"/>
      <c r="Z1266" s="41"/>
      <c r="AA1266" s="41"/>
      <c r="AB1266" s="41"/>
      <c r="AC1266" s="41"/>
      <c r="AD1266" s="41"/>
      <c r="AE1266" s="41"/>
      <c r="AF1266" s="41"/>
      <c r="AG1266" s="41"/>
      <c r="AH1266" s="41"/>
      <c r="AI1266" s="41"/>
      <c r="AJ1266" s="41"/>
      <c r="AK1266" s="41"/>
      <c r="AL1266" s="41"/>
      <c r="AM1266" s="41"/>
      <c r="AN1266" s="41"/>
      <c r="AO1266" s="41"/>
      <c r="AP1266" s="41"/>
      <c r="AQ1266" s="41"/>
    </row>
    <row r="1267">
      <c r="A1267" s="41"/>
      <c r="B1267" s="41"/>
      <c r="C1267" s="41"/>
      <c r="D1267" s="41"/>
      <c r="E1267" s="41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41"/>
      <c r="Q1267" s="41"/>
      <c r="R1267" s="41"/>
      <c r="S1267" s="41"/>
      <c r="T1267" s="41"/>
      <c r="U1267" s="41"/>
      <c r="V1267" s="41"/>
      <c r="W1267" s="41"/>
      <c r="X1267" s="41"/>
      <c r="Y1267" s="41"/>
      <c r="Z1267" s="41"/>
      <c r="AA1267" s="41"/>
      <c r="AB1267" s="41"/>
      <c r="AC1267" s="41"/>
      <c r="AD1267" s="41"/>
      <c r="AE1267" s="41"/>
      <c r="AF1267" s="41"/>
      <c r="AG1267" s="41"/>
      <c r="AH1267" s="41"/>
      <c r="AI1267" s="41"/>
      <c r="AJ1267" s="41"/>
      <c r="AK1267" s="41"/>
      <c r="AL1267" s="41"/>
      <c r="AM1267" s="41"/>
      <c r="AN1267" s="41"/>
      <c r="AO1267" s="41"/>
      <c r="AP1267" s="41"/>
      <c r="AQ1267" s="41"/>
    </row>
    <row r="1268">
      <c r="A1268" s="41"/>
      <c r="B1268" s="41"/>
      <c r="C1268" s="41"/>
      <c r="D1268" s="41"/>
      <c r="E1268" s="41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41"/>
      <c r="Q1268" s="41"/>
      <c r="R1268" s="41"/>
      <c r="S1268" s="41"/>
      <c r="T1268" s="41"/>
      <c r="U1268" s="41"/>
      <c r="V1268" s="41"/>
      <c r="W1268" s="41"/>
      <c r="X1268" s="41"/>
      <c r="Y1268" s="41"/>
      <c r="Z1268" s="41"/>
      <c r="AA1268" s="41"/>
      <c r="AB1268" s="41"/>
      <c r="AC1268" s="41"/>
      <c r="AD1268" s="41"/>
      <c r="AE1268" s="41"/>
      <c r="AF1268" s="41"/>
      <c r="AG1268" s="41"/>
      <c r="AH1268" s="41"/>
      <c r="AI1268" s="41"/>
      <c r="AJ1268" s="41"/>
      <c r="AK1268" s="41"/>
      <c r="AL1268" s="41"/>
      <c r="AM1268" s="41"/>
      <c r="AN1268" s="41"/>
      <c r="AO1268" s="41"/>
      <c r="AP1268" s="41"/>
      <c r="AQ1268" s="41"/>
    </row>
    <row r="1269">
      <c r="A1269" s="41"/>
      <c r="B1269" s="41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41"/>
      <c r="Q1269" s="41"/>
      <c r="R1269" s="41"/>
      <c r="S1269" s="41"/>
      <c r="T1269" s="41"/>
      <c r="U1269" s="41"/>
      <c r="V1269" s="41"/>
      <c r="W1269" s="41"/>
      <c r="X1269" s="41"/>
      <c r="Y1269" s="41"/>
      <c r="Z1269" s="41"/>
      <c r="AA1269" s="41"/>
      <c r="AB1269" s="41"/>
      <c r="AC1269" s="41"/>
      <c r="AD1269" s="41"/>
      <c r="AE1269" s="41"/>
      <c r="AF1269" s="41"/>
      <c r="AG1269" s="41"/>
      <c r="AH1269" s="41"/>
      <c r="AI1269" s="41"/>
      <c r="AJ1269" s="41"/>
      <c r="AK1269" s="41"/>
      <c r="AL1269" s="41"/>
      <c r="AM1269" s="41"/>
      <c r="AN1269" s="41"/>
      <c r="AO1269" s="41"/>
      <c r="AP1269" s="41"/>
      <c r="AQ1269" s="41"/>
    </row>
    <row r="1270">
      <c r="A1270" s="41"/>
      <c r="B1270" s="41"/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41"/>
      <c r="Q1270" s="41"/>
      <c r="R1270" s="41"/>
      <c r="S1270" s="41"/>
      <c r="T1270" s="41"/>
      <c r="U1270" s="41"/>
      <c r="V1270" s="41"/>
      <c r="W1270" s="41"/>
      <c r="X1270" s="41"/>
      <c r="Y1270" s="41"/>
      <c r="Z1270" s="41"/>
      <c r="AA1270" s="41"/>
      <c r="AB1270" s="41"/>
      <c r="AC1270" s="41"/>
      <c r="AD1270" s="41"/>
      <c r="AE1270" s="41"/>
      <c r="AF1270" s="41"/>
      <c r="AG1270" s="41"/>
      <c r="AH1270" s="41"/>
      <c r="AI1270" s="41"/>
      <c r="AJ1270" s="41"/>
      <c r="AK1270" s="41"/>
      <c r="AL1270" s="41"/>
      <c r="AM1270" s="41"/>
      <c r="AN1270" s="41"/>
      <c r="AO1270" s="41"/>
      <c r="AP1270" s="41"/>
      <c r="AQ1270" s="41"/>
    </row>
    <row r="1271">
      <c r="A1271" s="41"/>
      <c r="B1271" s="41"/>
      <c r="C1271" s="41"/>
      <c r="D1271" s="41"/>
      <c r="E1271" s="41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41"/>
      <c r="Q1271" s="41"/>
      <c r="R1271" s="41"/>
      <c r="S1271" s="41"/>
      <c r="T1271" s="41"/>
      <c r="U1271" s="41"/>
      <c r="V1271" s="41"/>
      <c r="W1271" s="41"/>
      <c r="X1271" s="41"/>
      <c r="Y1271" s="41"/>
      <c r="Z1271" s="41"/>
      <c r="AA1271" s="41"/>
      <c r="AB1271" s="41"/>
      <c r="AC1271" s="41"/>
      <c r="AD1271" s="41"/>
      <c r="AE1271" s="41"/>
      <c r="AF1271" s="41"/>
      <c r="AG1271" s="41"/>
      <c r="AH1271" s="41"/>
      <c r="AI1271" s="41"/>
      <c r="AJ1271" s="41"/>
      <c r="AK1271" s="41"/>
      <c r="AL1271" s="41"/>
      <c r="AM1271" s="41"/>
      <c r="AN1271" s="41"/>
      <c r="AO1271" s="41"/>
      <c r="AP1271" s="41"/>
      <c r="AQ1271" s="41"/>
    </row>
    <row r="1272">
      <c r="A1272" s="41"/>
      <c r="B1272" s="41"/>
      <c r="C1272" s="41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  <c r="Q1272" s="41"/>
      <c r="R1272" s="41"/>
      <c r="S1272" s="41"/>
      <c r="T1272" s="41"/>
      <c r="U1272" s="41"/>
      <c r="V1272" s="41"/>
      <c r="W1272" s="41"/>
      <c r="X1272" s="41"/>
      <c r="Y1272" s="41"/>
      <c r="Z1272" s="41"/>
      <c r="AA1272" s="41"/>
      <c r="AB1272" s="41"/>
      <c r="AC1272" s="41"/>
      <c r="AD1272" s="41"/>
      <c r="AE1272" s="41"/>
      <c r="AF1272" s="41"/>
      <c r="AG1272" s="41"/>
      <c r="AH1272" s="41"/>
      <c r="AI1272" s="41"/>
      <c r="AJ1272" s="41"/>
      <c r="AK1272" s="41"/>
      <c r="AL1272" s="41"/>
      <c r="AM1272" s="41"/>
      <c r="AN1272" s="41"/>
      <c r="AO1272" s="41"/>
      <c r="AP1272" s="41"/>
      <c r="AQ1272" s="41"/>
    </row>
    <row r="1273">
      <c r="A1273" s="41"/>
      <c r="B1273" s="41"/>
      <c r="C1273" s="41"/>
      <c r="D1273" s="41"/>
      <c r="E1273" s="41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  <c r="Q1273" s="41"/>
      <c r="R1273" s="41"/>
      <c r="S1273" s="41"/>
      <c r="T1273" s="41"/>
      <c r="U1273" s="41"/>
      <c r="V1273" s="41"/>
      <c r="W1273" s="41"/>
      <c r="X1273" s="41"/>
      <c r="Y1273" s="41"/>
      <c r="Z1273" s="41"/>
      <c r="AA1273" s="41"/>
      <c r="AB1273" s="41"/>
      <c r="AC1273" s="41"/>
      <c r="AD1273" s="41"/>
      <c r="AE1273" s="41"/>
      <c r="AF1273" s="41"/>
      <c r="AG1273" s="41"/>
      <c r="AH1273" s="41"/>
      <c r="AI1273" s="41"/>
      <c r="AJ1273" s="41"/>
      <c r="AK1273" s="41"/>
      <c r="AL1273" s="41"/>
      <c r="AM1273" s="41"/>
      <c r="AN1273" s="41"/>
      <c r="AO1273" s="41"/>
      <c r="AP1273" s="41"/>
      <c r="AQ1273" s="41"/>
    </row>
    <row r="1274">
      <c r="A1274" s="41"/>
      <c r="B1274" s="41"/>
      <c r="C1274" s="41"/>
      <c r="D1274" s="41"/>
      <c r="E1274" s="41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  <c r="Q1274" s="41"/>
      <c r="R1274" s="41"/>
      <c r="S1274" s="41"/>
      <c r="T1274" s="41"/>
      <c r="U1274" s="41"/>
      <c r="V1274" s="41"/>
      <c r="W1274" s="41"/>
      <c r="X1274" s="41"/>
      <c r="Y1274" s="41"/>
      <c r="Z1274" s="41"/>
      <c r="AA1274" s="41"/>
      <c r="AB1274" s="41"/>
      <c r="AC1274" s="41"/>
      <c r="AD1274" s="41"/>
      <c r="AE1274" s="41"/>
      <c r="AF1274" s="41"/>
      <c r="AG1274" s="41"/>
      <c r="AH1274" s="41"/>
      <c r="AI1274" s="41"/>
      <c r="AJ1274" s="41"/>
      <c r="AK1274" s="41"/>
      <c r="AL1274" s="41"/>
      <c r="AM1274" s="41"/>
      <c r="AN1274" s="41"/>
      <c r="AO1274" s="41"/>
      <c r="AP1274" s="41"/>
      <c r="AQ1274" s="41"/>
    </row>
    <row r="1275">
      <c r="A1275" s="41"/>
      <c r="B1275" s="41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  <c r="AA1275" s="41"/>
      <c r="AB1275" s="41"/>
      <c r="AC1275" s="41"/>
      <c r="AD1275" s="41"/>
      <c r="AE1275" s="41"/>
      <c r="AF1275" s="41"/>
      <c r="AG1275" s="41"/>
      <c r="AH1275" s="41"/>
      <c r="AI1275" s="41"/>
      <c r="AJ1275" s="41"/>
      <c r="AK1275" s="41"/>
      <c r="AL1275" s="41"/>
      <c r="AM1275" s="41"/>
      <c r="AN1275" s="41"/>
      <c r="AO1275" s="41"/>
      <c r="AP1275" s="41"/>
      <c r="AQ1275" s="41"/>
    </row>
    <row r="1276">
      <c r="A1276" s="41"/>
      <c r="B1276" s="41"/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  <c r="AA1276" s="41"/>
      <c r="AB1276" s="41"/>
      <c r="AC1276" s="41"/>
      <c r="AD1276" s="41"/>
      <c r="AE1276" s="41"/>
      <c r="AF1276" s="41"/>
      <c r="AG1276" s="41"/>
      <c r="AH1276" s="41"/>
      <c r="AI1276" s="41"/>
      <c r="AJ1276" s="41"/>
      <c r="AK1276" s="41"/>
      <c r="AL1276" s="41"/>
      <c r="AM1276" s="41"/>
      <c r="AN1276" s="41"/>
      <c r="AO1276" s="41"/>
      <c r="AP1276" s="41"/>
      <c r="AQ1276" s="41"/>
    </row>
    <row r="1277">
      <c r="A1277" s="41"/>
      <c r="B1277" s="41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  <c r="AA1277" s="41"/>
      <c r="AB1277" s="41"/>
      <c r="AC1277" s="41"/>
      <c r="AD1277" s="41"/>
      <c r="AE1277" s="41"/>
      <c r="AF1277" s="41"/>
      <c r="AG1277" s="41"/>
      <c r="AH1277" s="41"/>
      <c r="AI1277" s="41"/>
      <c r="AJ1277" s="41"/>
      <c r="AK1277" s="41"/>
      <c r="AL1277" s="41"/>
      <c r="AM1277" s="41"/>
      <c r="AN1277" s="41"/>
      <c r="AO1277" s="41"/>
      <c r="AP1277" s="41"/>
      <c r="AQ1277" s="41"/>
    </row>
    <row r="1278">
      <c r="A1278" s="41"/>
      <c r="B1278" s="41"/>
      <c r="C1278" s="41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41"/>
      <c r="Q1278" s="41"/>
      <c r="R1278" s="41"/>
      <c r="S1278" s="41"/>
      <c r="T1278" s="41"/>
      <c r="U1278" s="41"/>
      <c r="V1278" s="41"/>
      <c r="W1278" s="41"/>
      <c r="X1278" s="41"/>
      <c r="Y1278" s="41"/>
      <c r="Z1278" s="41"/>
      <c r="AA1278" s="41"/>
      <c r="AB1278" s="41"/>
      <c r="AC1278" s="41"/>
      <c r="AD1278" s="41"/>
      <c r="AE1278" s="41"/>
      <c r="AF1278" s="41"/>
      <c r="AG1278" s="41"/>
      <c r="AH1278" s="41"/>
      <c r="AI1278" s="41"/>
      <c r="AJ1278" s="41"/>
      <c r="AK1278" s="41"/>
      <c r="AL1278" s="41"/>
      <c r="AM1278" s="41"/>
      <c r="AN1278" s="41"/>
      <c r="AO1278" s="41"/>
      <c r="AP1278" s="41"/>
      <c r="AQ1278" s="41"/>
    </row>
    <row r="1279">
      <c r="A1279" s="41"/>
      <c r="B1279" s="41"/>
      <c r="C1279" s="41"/>
      <c r="D1279" s="41"/>
      <c r="E1279" s="41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  <c r="Q1279" s="41"/>
      <c r="R1279" s="41"/>
      <c r="S1279" s="41"/>
      <c r="T1279" s="41"/>
      <c r="U1279" s="41"/>
      <c r="V1279" s="41"/>
      <c r="W1279" s="41"/>
      <c r="X1279" s="41"/>
      <c r="Y1279" s="41"/>
      <c r="Z1279" s="41"/>
      <c r="AA1279" s="41"/>
      <c r="AB1279" s="41"/>
      <c r="AC1279" s="41"/>
      <c r="AD1279" s="41"/>
      <c r="AE1279" s="41"/>
      <c r="AF1279" s="41"/>
      <c r="AG1279" s="41"/>
      <c r="AH1279" s="41"/>
      <c r="AI1279" s="41"/>
      <c r="AJ1279" s="41"/>
      <c r="AK1279" s="41"/>
      <c r="AL1279" s="41"/>
      <c r="AM1279" s="41"/>
      <c r="AN1279" s="41"/>
      <c r="AO1279" s="41"/>
      <c r="AP1279" s="41"/>
      <c r="AQ1279" s="41"/>
    </row>
    <row r="1280">
      <c r="A1280" s="41"/>
      <c r="B1280" s="41"/>
      <c r="C1280" s="41"/>
      <c r="D1280" s="41"/>
      <c r="E1280" s="41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41"/>
      <c r="Q1280" s="41"/>
      <c r="R1280" s="41"/>
      <c r="S1280" s="41"/>
      <c r="T1280" s="41"/>
      <c r="U1280" s="41"/>
      <c r="V1280" s="41"/>
      <c r="W1280" s="41"/>
      <c r="X1280" s="41"/>
      <c r="Y1280" s="41"/>
      <c r="Z1280" s="41"/>
      <c r="AA1280" s="41"/>
      <c r="AB1280" s="41"/>
      <c r="AC1280" s="41"/>
      <c r="AD1280" s="41"/>
      <c r="AE1280" s="41"/>
      <c r="AF1280" s="41"/>
      <c r="AG1280" s="41"/>
      <c r="AH1280" s="41"/>
      <c r="AI1280" s="41"/>
      <c r="AJ1280" s="41"/>
      <c r="AK1280" s="41"/>
      <c r="AL1280" s="41"/>
      <c r="AM1280" s="41"/>
      <c r="AN1280" s="41"/>
      <c r="AO1280" s="41"/>
      <c r="AP1280" s="41"/>
      <c r="AQ1280" s="41"/>
    </row>
    <row r="1281">
      <c r="A1281" s="41"/>
      <c r="B1281" s="41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41"/>
      <c r="W1281" s="41"/>
      <c r="X1281" s="41"/>
      <c r="Y1281" s="41"/>
      <c r="Z1281" s="41"/>
      <c r="AA1281" s="41"/>
      <c r="AB1281" s="41"/>
      <c r="AC1281" s="41"/>
      <c r="AD1281" s="41"/>
      <c r="AE1281" s="41"/>
      <c r="AF1281" s="41"/>
      <c r="AG1281" s="41"/>
      <c r="AH1281" s="41"/>
      <c r="AI1281" s="41"/>
      <c r="AJ1281" s="41"/>
      <c r="AK1281" s="41"/>
      <c r="AL1281" s="41"/>
      <c r="AM1281" s="41"/>
      <c r="AN1281" s="41"/>
      <c r="AO1281" s="41"/>
      <c r="AP1281" s="41"/>
      <c r="AQ1281" s="41"/>
    </row>
    <row r="1282">
      <c r="A1282" s="41"/>
      <c r="B1282" s="41"/>
      <c r="C1282" s="41"/>
      <c r="D1282" s="41"/>
      <c r="E1282" s="41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  <c r="Q1282" s="41"/>
      <c r="R1282" s="41"/>
      <c r="S1282" s="41"/>
      <c r="T1282" s="41"/>
      <c r="U1282" s="41"/>
      <c r="V1282" s="41"/>
      <c r="W1282" s="41"/>
      <c r="X1282" s="41"/>
      <c r="Y1282" s="41"/>
      <c r="Z1282" s="41"/>
      <c r="AA1282" s="41"/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/>
      <c r="AN1282" s="41"/>
      <c r="AO1282" s="41"/>
      <c r="AP1282" s="41"/>
      <c r="AQ1282" s="41"/>
    </row>
    <row r="1283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1"/>
      <c r="AC1283" s="41"/>
      <c r="AD1283" s="41"/>
      <c r="AE1283" s="41"/>
      <c r="AF1283" s="41"/>
      <c r="AG1283" s="41"/>
      <c r="AH1283" s="41"/>
      <c r="AI1283" s="41"/>
      <c r="AJ1283" s="41"/>
      <c r="AK1283" s="41"/>
      <c r="AL1283" s="41"/>
      <c r="AM1283" s="41"/>
      <c r="AN1283" s="41"/>
      <c r="AO1283" s="41"/>
      <c r="AP1283" s="41"/>
      <c r="AQ1283" s="41"/>
    </row>
    <row r="1284">
      <c r="A1284" s="41"/>
      <c r="B1284" s="41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  <c r="AA1284" s="41"/>
      <c r="AB1284" s="41"/>
      <c r="AC1284" s="41"/>
      <c r="AD1284" s="41"/>
      <c r="AE1284" s="41"/>
      <c r="AF1284" s="41"/>
      <c r="AG1284" s="41"/>
      <c r="AH1284" s="41"/>
      <c r="AI1284" s="41"/>
      <c r="AJ1284" s="41"/>
      <c r="AK1284" s="41"/>
      <c r="AL1284" s="41"/>
      <c r="AM1284" s="41"/>
      <c r="AN1284" s="41"/>
      <c r="AO1284" s="41"/>
      <c r="AP1284" s="41"/>
      <c r="AQ1284" s="41"/>
    </row>
    <row r="1285">
      <c r="A1285" s="41"/>
      <c r="B1285" s="41"/>
      <c r="C1285" s="41"/>
      <c r="D1285" s="41"/>
      <c r="E1285" s="41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41"/>
      <c r="Q1285" s="41"/>
      <c r="R1285" s="41"/>
      <c r="S1285" s="41"/>
      <c r="T1285" s="41"/>
      <c r="U1285" s="41"/>
      <c r="V1285" s="41"/>
      <c r="W1285" s="41"/>
      <c r="X1285" s="41"/>
      <c r="Y1285" s="41"/>
      <c r="Z1285" s="41"/>
      <c r="AA1285" s="41"/>
      <c r="AB1285" s="41"/>
      <c r="AC1285" s="41"/>
      <c r="AD1285" s="41"/>
      <c r="AE1285" s="41"/>
      <c r="AF1285" s="41"/>
      <c r="AG1285" s="41"/>
      <c r="AH1285" s="41"/>
      <c r="AI1285" s="41"/>
      <c r="AJ1285" s="41"/>
      <c r="AK1285" s="41"/>
      <c r="AL1285" s="41"/>
      <c r="AM1285" s="41"/>
      <c r="AN1285" s="41"/>
      <c r="AO1285" s="41"/>
      <c r="AP1285" s="41"/>
      <c r="AQ1285" s="41"/>
    </row>
    <row r="1286">
      <c r="A1286" s="41"/>
      <c r="B1286" s="41"/>
      <c r="C1286" s="41"/>
      <c r="D1286" s="41"/>
      <c r="E1286" s="41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41"/>
      <c r="Q1286" s="41"/>
      <c r="R1286" s="41"/>
      <c r="S1286" s="41"/>
      <c r="T1286" s="41"/>
      <c r="U1286" s="41"/>
      <c r="V1286" s="41"/>
      <c r="W1286" s="41"/>
      <c r="X1286" s="41"/>
      <c r="Y1286" s="41"/>
      <c r="Z1286" s="41"/>
      <c r="AA1286" s="41"/>
      <c r="AB1286" s="41"/>
      <c r="AC1286" s="41"/>
      <c r="AD1286" s="41"/>
      <c r="AE1286" s="41"/>
      <c r="AF1286" s="41"/>
      <c r="AG1286" s="41"/>
      <c r="AH1286" s="41"/>
      <c r="AI1286" s="41"/>
      <c r="AJ1286" s="41"/>
      <c r="AK1286" s="41"/>
      <c r="AL1286" s="41"/>
      <c r="AM1286" s="41"/>
      <c r="AN1286" s="41"/>
      <c r="AO1286" s="41"/>
      <c r="AP1286" s="41"/>
      <c r="AQ1286" s="41"/>
    </row>
    <row r="1287">
      <c r="A1287" s="41"/>
      <c r="B1287" s="41"/>
      <c r="C1287" s="41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41"/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  <c r="AA1287" s="41"/>
      <c r="AB1287" s="41"/>
      <c r="AC1287" s="41"/>
      <c r="AD1287" s="41"/>
      <c r="AE1287" s="41"/>
      <c r="AF1287" s="41"/>
      <c r="AG1287" s="41"/>
      <c r="AH1287" s="41"/>
      <c r="AI1287" s="41"/>
      <c r="AJ1287" s="41"/>
      <c r="AK1287" s="41"/>
      <c r="AL1287" s="41"/>
      <c r="AM1287" s="41"/>
      <c r="AN1287" s="41"/>
      <c r="AO1287" s="41"/>
      <c r="AP1287" s="41"/>
      <c r="AQ1287" s="41"/>
    </row>
    <row r="1288">
      <c r="A1288" s="41"/>
      <c r="B1288" s="41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  <c r="AA1288" s="41"/>
      <c r="AB1288" s="41"/>
      <c r="AC1288" s="41"/>
      <c r="AD1288" s="41"/>
      <c r="AE1288" s="41"/>
      <c r="AF1288" s="41"/>
      <c r="AG1288" s="41"/>
      <c r="AH1288" s="41"/>
      <c r="AI1288" s="41"/>
      <c r="AJ1288" s="41"/>
      <c r="AK1288" s="41"/>
      <c r="AL1288" s="41"/>
      <c r="AM1288" s="41"/>
      <c r="AN1288" s="41"/>
      <c r="AO1288" s="41"/>
      <c r="AP1288" s="41"/>
      <c r="AQ1288" s="41"/>
    </row>
    <row r="1289">
      <c r="A1289" s="41"/>
      <c r="B1289" s="41"/>
      <c r="C1289" s="41"/>
      <c r="D1289" s="41"/>
      <c r="E1289" s="41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41"/>
      <c r="Q1289" s="41"/>
      <c r="R1289" s="41"/>
      <c r="S1289" s="41"/>
      <c r="T1289" s="41"/>
      <c r="U1289" s="41"/>
      <c r="V1289" s="41"/>
      <c r="W1289" s="41"/>
      <c r="X1289" s="41"/>
      <c r="Y1289" s="41"/>
      <c r="Z1289" s="41"/>
      <c r="AA1289" s="41"/>
      <c r="AB1289" s="41"/>
      <c r="AC1289" s="41"/>
      <c r="AD1289" s="41"/>
      <c r="AE1289" s="41"/>
      <c r="AF1289" s="41"/>
      <c r="AG1289" s="41"/>
      <c r="AH1289" s="41"/>
      <c r="AI1289" s="41"/>
      <c r="AJ1289" s="41"/>
      <c r="AK1289" s="41"/>
      <c r="AL1289" s="41"/>
      <c r="AM1289" s="41"/>
      <c r="AN1289" s="41"/>
      <c r="AO1289" s="41"/>
      <c r="AP1289" s="41"/>
      <c r="AQ1289" s="41"/>
    </row>
    <row r="1290">
      <c r="A1290" s="41"/>
      <c r="B1290" s="41"/>
      <c r="C1290" s="41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41"/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  <c r="AA1290" s="41"/>
      <c r="AB1290" s="41"/>
      <c r="AC1290" s="41"/>
      <c r="AD1290" s="41"/>
      <c r="AE1290" s="41"/>
      <c r="AF1290" s="41"/>
      <c r="AG1290" s="41"/>
      <c r="AH1290" s="41"/>
      <c r="AI1290" s="41"/>
      <c r="AJ1290" s="41"/>
      <c r="AK1290" s="41"/>
      <c r="AL1290" s="41"/>
      <c r="AM1290" s="41"/>
      <c r="AN1290" s="41"/>
      <c r="AO1290" s="41"/>
      <c r="AP1290" s="41"/>
      <c r="AQ1290" s="41"/>
    </row>
    <row r="1291">
      <c r="A1291" s="41"/>
      <c r="B1291" s="41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  <c r="AA1291" s="41"/>
      <c r="AB1291" s="41"/>
      <c r="AC1291" s="41"/>
      <c r="AD1291" s="41"/>
      <c r="AE1291" s="41"/>
      <c r="AF1291" s="41"/>
      <c r="AG1291" s="41"/>
      <c r="AH1291" s="41"/>
      <c r="AI1291" s="41"/>
      <c r="AJ1291" s="41"/>
      <c r="AK1291" s="41"/>
      <c r="AL1291" s="41"/>
      <c r="AM1291" s="41"/>
      <c r="AN1291" s="41"/>
      <c r="AO1291" s="41"/>
      <c r="AP1291" s="41"/>
      <c r="AQ1291" s="41"/>
    </row>
    <row r="1292">
      <c r="A1292" s="41"/>
      <c r="B1292" s="41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  <c r="AA1292" s="41"/>
      <c r="AB1292" s="41"/>
      <c r="AC1292" s="41"/>
      <c r="AD1292" s="41"/>
      <c r="AE1292" s="41"/>
      <c r="AF1292" s="41"/>
      <c r="AG1292" s="41"/>
      <c r="AH1292" s="41"/>
      <c r="AI1292" s="41"/>
      <c r="AJ1292" s="41"/>
      <c r="AK1292" s="41"/>
      <c r="AL1292" s="41"/>
      <c r="AM1292" s="41"/>
      <c r="AN1292" s="41"/>
      <c r="AO1292" s="41"/>
      <c r="AP1292" s="41"/>
      <c r="AQ1292" s="41"/>
    </row>
    <row r="1293">
      <c r="A1293" s="41"/>
      <c r="B1293" s="41"/>
      <c r="C1293" s="41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  <c r="AA1293" s="41"/>
      <c r="AB1293" s="41"/>
      <c r="AC1293" s="41"/>
      <c r="AD1293" s="41"/>
      <c r="AE1293" s="41"/>
      <c r="AF1293" s="41"/>
      <c r="AG1293" s="41"/>
      <c r="AH1293" s="41"/>
      <c r="AI1293" s="41"/>
      <c r="AJ1293" s="41"/>
      <c r="AK1293" s="41"/>
      <c r="AL1293" s="41"/>
      <c r="AM1293" s="41"/>
      <c r="AN1293" s="41"/>
      <c r="AO1293" s="41"/>
      <c r="AP1293" s="41"/>
      <c r="AQ1293" s="41"/>
    </row>
    <row r="1294">
      <c r="A1294" s="41"/>
      <c r="B1294" s="41"/>
      <c r="C1294" s="41"/>
      <c r="D1294" s="41"/>
      <c r="E1294" s="41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/>
      <c r="AB1294" s="41"/>
      <c r="AC1294" s="41"/>
      <c r="AD1294" s="41"/>
      <c r="AE1294" s="41"/>
      <c r="AF1294" s="41"/>
      <c r="AG1294" s="41"/>
      <c r="AH1294" s="41"/>
      <c r="AI1294" s="41"/>
      <c r="AJ1294" s="41"/>
      <c r="AK1294" s="41"/>
      <c r="AL1294" s="41"/>
      <c r="AM1294" s="41"/>
      <c r="AN1294" s="41"/>
      <c r="AO1294" s="41"/>
      <c r="AP1294" s="41"/>
      <c r="AQ1294" s="41"/>
    </row>
    <row r="1295">
      <c r="A1295" s="41"/>
      <c r="B1295" s="41"/>
      <c r="C1295" s="41"/>
      <c r="D1295" s="41"/>
      <c r="E1295" s="41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41"/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  <c r="AA1295" s="41"/>
      <c r="AB1295" s="41"/>
      <c r="AC1295" s="41"/>
      <c r="AD1295" s="41"/>
      <c r="AE1295" s="41"/>
      <c r="AF1295" s="41"/>
      <c r="AG1295" s="41"/>
      <c r="AH1295" s="41"/>
      <c r="AI1295" s="41"/>
      <c r="AJ1295" s="41"/>
      <c r="AK1295" s="41"/>
      <c r="AL1295" s="41"/>
      <c r="AM1295" s="41"/>
      <c r="AN1295" s="41"/>
      <c r="AO1295" s="41"/>
      <c r="AP1295" s="41"/>
      <c r="AQ1295" s="41"/>
    </row>
    <row r="1296">
      <c r="A1296" s="41"/>
      <c r="B1296" s="41"/>
      <c r="C1296" s="41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41"/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  <c r="AA1296" s="41"/>
      <c r="AB1296" s="41"/>
      <c r="AC1296" s="41"/>
      <c r="AD1296" s="41"/>
      <c r="AE1296" s="41"/>
      <c r="AF1296" s="41"/>
      <c r="AG1296" s="41"/>
      <c r="AH1296" s="41"/>
      <c r="AI1296" s="41"/>
      <c r="AJ1296" s="41"/>
      <c r="AK1296" s="41"/>
      <c r="AL1296" s="41"/>
      <c r="AM1296" s="41"/>
      <c r="AN1296" s="41"/>
      <c r="AO1296" s="41"/>
      <c r="AP1296" s="41"/>
      <c r="AQ1296" s="41"/>
    </row>
    <row r="1297">
      <c r="A1297" s="41"/>
      <c r="B1297" s="41"/>
      <c r="C1297" s="41"/>
      <c r="D1297" s="41"/>
      <c r="E1297" s="41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41"/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  <c r="AA1297" s="41"/>
      <c r="AB1297" s="41"/>
      <c r="AC1297" s="41"/>
      <c r="AD1297" s="41"/>
      <c r="AE1297" s="41"/>
      <c r="AF1297" s="41"/>
      <c r="AG1297" s="41"/>
      <c r="AH1297" s="41"/>
      <c r="AI1297" s="41"/>
      <c r="AJ1297" s="41"/>
      <c r="AK1297" s="41"/>
      <c r="AL1297" s="41"/>
      <c r="AM1297" s="41"/>
      <c r="AN1297" s="41"/>
      <c r="AO1297" s="41"/>
      <c r="AP1297" s="41"/>
      <c r="AQ1297" s="41"/>
    </row>
    <row r="1298">
      <c r="A1298" s="41"/>
      <c r="B1298" s="41"/>
      <c r="C1298" s="41"/>
      <c r="D1298" s="41"/>
      <c r="E1298" s="41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  <c r="AA1298" s="41"/>
      <c r="AB1298" s="41"/>
      <c r="AC1298" s="41"/>
      <c r="AD1298" s="41"/>
      <c r="AE1298" s="41"/>
      <c r="AF1298" s="41"/>
      <c r="AG1298" s="41"/>
      <c r="AH1298" s="41"/>
      <c r="AI1298" s="41"/>
      <c r="AJ1298" s="41"/>
      <c r="AK1298" s="41"/>
      <c r="AL1298" s="41"/>
      <c r="AM1298" s="41"/>
      <c r="AN1298" s="41"/>
      <c r="AO1298" s="41"/>
      <c r="AP1298" s="41"/>
      <c r="AQ1298" s="41"/>
    </row>
    <row r="1299">
      <c r="A1299" s="41"/>
      <c r="B1299" s="41"/>
      <c r="C1299" s="41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  <c r="AA1299" s="41"/>
      <c r="AB1299" s="41"/>
      <c r="AC1299" s="41"/>
      <c r="AD1299" s="41"/>
      <c r="AE1299" s="41"/>
      <c r="AF1299" s="41"/>
      <c r="AG1299" s="41"/>
      <c r="AH1299" s="41"/>
      <c r="AI1299" s="41"/>
      <c r="AJ1299" s="41"/>
      <c r="AK1299" s="41"/>
      <c r="AL1299" s="41"/>
      <c r="AM1299" s="41"/>
      <c r="AN1299" s="41"/>
      <c r="AO1299" s="41"/>
      <c r="AP1299" s="41"/>
      <c r="AQ1299" s="41"/>
    </row>
    <row r="1300">
      <c r="A1300" s="41"/>
      <c r="B1300" s="41"/>
      <c r="C1300" s="41"/>
      <c r="D1300" s="41"/>
      <c r="E1300" s="41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  <c r="AA1300" s="41"/>
      <c r="AB1300" s="41"/>
      <c r="AC1300" s="41"/>
      <c r="AD1300" s="41"/>
      <c r="AE1300" s="41"/>
      <c r="AF1300" s="41"/>
      <c r="AG1300" s="41"/>
      <c r="AH1300" s="41"/>
      <c r="AI1300" s="41"/>
      <c r="AJ1300" s="41"/>
      <c r="AK1300" s="41"/>
      <c r="AL1300" s="41"/>
      <c r="AM1300" s="41"/>
      <c r="AN1300" s="41"/>
      <c r="AO1300" s="41"/>
      <c r="AP1300" s="41"/>
      <c r="AQ1300" s="41"/>
    </row>
    <row r="1301">
      <c r="A1301" s="41"/>
      <c r="B1301" s="41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  <c r="AA1301" s="41"/>
      <c r="AB1301" s="41"/>
      <c r="AC1301" s="41"/>
      <c r="AD1301" s="41"/>
      <c r="AE1301" s="41"/>
      <c r="AF1301" s="41"/>
      <c r="AG1301" s="41"/>
      <c r="AH1301" s="41"/>
      <c r="AI1301" s="41"/>
      <c r="AJ1301" s="41"/>
      <c r="AK1301" s="41"/>
      <c r="AL1301" s="41"/>
      <c r="AM1301" s="41"/>
      <c r="AN1301" s="41"/>
      <c r="AO1301" s="41"/>
      <c r="AP1301" s="41"/>
      <c r="AQ1301" s="41"/>
    </row>
    <row r="1302">
      <c r="A1302" s="41"/>
      <c r="B1302" s="41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  <c r="AA1302" s="41"/>
      <c r="AB1302" s="41"/>
      <c r="AC1302" s="41"/>
      <c r="AD1302" s="41"/>
      <c r="AE1302" s="41"/>
      <c r="AF1302" s="41"/>
      <c r="AG1302" s="41"/>
      <c r="AH1302" s="41"/>
      <c r="AI1302" s="41"/>
      <c r="AJ1302" s="41"/>
      <c r="AK1302" s="41"/>
      <c r="AL1302" s="41"/>
      <c r="AM1302" s="41"/>
      <c r="AN1302" s="41"/>
      <c r="AO1302" s="41"/>
      <c r="AP1302" s="41"/>
      <c r="AQ1302" s="41"/>
    </row>
    <row r="1303">
      <c r="A1303" s="41"/>
      <c r="B1303" s="41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1"/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  <c r="AA1303" s="41"/>
      <c r="AB1303" s="41"/>
      <c r="AC1303" s="41"/>
      <c r="AD1303" s="41"/>
      <c r="AE1303" s="41"/>
      <c r="AF1303" s="41"/>
      <c r="AG1303" s="41"/>
      <c r="AH1303" s="41"/>
      <c r="AI1303" s="41"/>
      <c r="AJ1303" s="41"/>
      <c r="AK1303" s="41"/>
      <c r="AL1303" s="41"/>
      <c r="AM1303" s="41"/>
      <c r="AN1303" s="41"/>
      <c r="AO1303" s="41"/>
      <c r="AP1303" s="41"/>
      <c r="AQ1303" s="41"/>
    </row>
    <row r="1304">
      <c r="A1304" s="41"/>
      <c r="B1304" s="41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1"/>
      <c r="Q1304" s="41"/>
      <c r="R1304" s="41"/>
      <c r="S1304" s="41"/>
      <c r="T1304" s="41"/>
      <c r="U1304" s="41"/>
      <c r="V1304" s="41"/>
      <c r="W1304" s="41"/>
      <c r="X1304" s="41"/>
      <c r="Y1304" s="41"/>
      <c r="Z1304" s="41"/>
      <c r="AA1304" s="41"/>
      <c r="AB1304" s="41"/>
      <c r="AC1304" s="41"/>
      <c r="AD1304" s="41"/>
      <c r="AE1304" s="41"/>
      <c r="AF1304" s="41"/>
      <c r="AG1304" s="41"/>
      <c r="AH1304" s="41"/>
      <c r="AI1304" s="41"/>
      <c r="AJ1304" s="41"/>
      <c r="AK1304" s="41"/>
      <c r="AL1304" s="41"/>
      <c r="AM1304" s="41"/>
      <c r="AN1304" s="41"/>
      <c r="AO1304" s="41"/>
      <c r="AP1304" s="41"/>
      <c r="AQ1304" s="41"/>
    </row>
    <row r="1305">
      <c r="A1305" s="41"/>
      <c r="B1305" s="41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1"/>
      <c r="U1305" s="41"/>
      <c r="V1305" s="41"/>
      <c r="W1305" s="41"/>
      <c r="X1305" s="41"/>
      <c r="Y1305" s="41"/>
      <c r="Z1305" s="41"/>
      <c r="AA1305" s="41"/>
      <c r="AB1305" s="41"/>
      <c r="AC1305" s="41"/>
      <c r="AD1305" s="41"/>
      <c r="AE1305" s="41"/>
      <c r="AF1305" s="41"/>
      <c r="AG1305" s="41"/>
      <c r="AH1305" s="41"/>
      <c r="AI1305" s="41"/>
      <c r="AJ1305" s="41"/>
      <c r="AK1305" s="41"/>
      <c r="AL1305" s="41"/>
      <c r="AM1305" s="41"/>
      <c r="AN1305" s="41"/>
      <c r="AO1305" s="41"/>
      <c r="AP1305" s="41"/>
      <c r="AQ1305" s="41"/>
    </row>
    <row r="1306">
      <c r="A1306" s="41"/>
      <c r="B1306" s="41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1"/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  <c r="AA1306" s="41"/>
      <c r="AB1306" s="41"/>
      <c r="AC1306" s="41"/>
      <c r="AD1306" s="41"/>
      <c r="AE1306" s="41"/>
      <c r="AF1306" s="41"/>
      <c r="AG1306" s="41"/>
      <c r="AH1306" s="41"/>
      <c r="AI1306" s="41"/>
      <c r="AJ1306" s="41"/>
      <c r="AK1306" s="41"/>
      <c r="AL1306" s="41"/>
      <c r="AM1306" s="41"/>
      <c r="AN1306" s="41"/>
      <c r="AO1306" s="41"/>
      <c r="AP1306" s="41"/>
      <c r="AQ1306" s="41"/>
    </row>
    <row r="1307">
      <c r="A1307" s="41"/>
      <c r="B1307" s="41"/>
      <c r="C1307" s="41"/>
      <c r="D1307" s="41"/>
      <c r="E1307" s="41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  <c r="AA1307" s="41"/>
      <c r="AB1307" s="41"/>
      <c r="AC1307" s="41"/>
      <c r="AD1307" s="41"/>
      <c r="AE1307" s="41"/>
      <c r="AF1307" s="41"/>
      <c r="AG1307" s="41"/>
      <c r="AH1307" s="41"/>
      <c r="AI1307" s="41"/>
      <c r="AJ1307" s="41"/>
      <c r="AK1307" s="41"/>
      <c r="AL1307" s="41"/>
      <c r="AM1307" s="41"/>
      <c r="AN1307" s="41"/>
      <c r="AO1307" s="41"/>
      <c r="AP1307" s="41"/>
      <c r="AQ1307" s="41"/>
    </row>
    <row r="1308">
      <c r="A1308" s="41"/>
      <c r="B1308" s="41"/>
      <c r="C1308" s="41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  <c r="AA1308" s="41"/>
      <c r="AB1308" s="41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  <c r="AM1308" s="41"/>
      <c r="AN1308" s="41"/>
      <c r="AO1308" s="41"/>
      <c r="AP1308" s="41"/>
      <c r="AQ1308" s="41"/>
    </row>
    <row r="1309">
      <c r="A1309" s="41"/>
      <c r="B1309" s="41"/>
      <c r="C1309" s="41"/>
      <c r="D1309" s="41"/>
      <c r="E1309" s="41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  <c r="AA1309" s="41"/>
      <c r="AB1309" s="41"/>
      <c r="AC1309" s="41"/>
      <c r="AD1309" s="41"/>
      <c r="AE1309" s="41"/>
      <c r="AF1309" s="41"/>
      <c r="AG1309" s="41"/>
      <c r="AH1309" s="41"/>
      <c r="AI1309" s="41"/>
      <c r="AJ1309" s="41"/>
      <c r="AK1309" s="41"/>
      <c r="AL1309" s="41"/>
      <c r="AM1309" s="41"/>
      <c r="AN1309" s="41"/>
      <c r="AO1309" s="41"/>
      <c r="AP1309" s="41"/>
      <c r="AQ1309" s="41"/>
    </row>
    <row r="1310">
      <c r="A1310" s="41"/>
      <c r="B1310" s="41"/>
      <c r="C1310" s="41"/>
      <c r="D1310" s="41"/>
      <c r="E1310" s="41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  <c r="AA1310" s="41"/>
      <c r="AB1310" s="41"/>
      <c r="AC1310" s="41"/>
      <c r="AD1310" s="41"/>
      <c r="AE1310" s="41"/>
      <c r="AF1310" s="41"/>
      <c r="AG1310" s="41"/>
      <c r="AH1310" s="41"/>
      <c r="AI1310" s="41"/>
      <c r="AJ1310" s="41"/>
      <c r="AK1310" s="41"/>
      <c r="AL1310" s="41"/>
      <c r="AM1310" s="41"/>
      <c r="AN1310" s="41"/>
      <c r="AO1310" s="41"/>
      <c r="AP1310" s="41"/>
      <c r="AQ1310" s="41"/>
    </row>
    <row r="1311">
      <c r="A1311" s="41"/>
      <c r="B1311" s="41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  <c r="AA1311" s="41"/>
      <c r="AB1311" s="41"/>
      <c r="AC1311" s="41"/>
      <c r="AD1311" s="41"/>
      <c r="AE1311" s="41"/>
      <c r="AF1311" s="41"/>
      <c r="AG1311" s="41"/>
      <c r="AH1311" s="41"/>
      <c r="AI1311" s="41"/>
      <c r="AJ1311" s="41"/>
      <c r="AK1311" s="41"/>
      <c r="AL1311" s="41"/>
      <c r="AM1311" s="41"/>
      <c r="AN1311" s="41"/>
      <c r="AO1311" s="41"/>
      <c r="AP1311" s="41"/>
      <c r="AQ1311" s="41"/>
    </row>
    <row r="1312">
      <c r="A1312" s="41"/>
      <c r="B1312" s="41"/>
      <c r="C1312" s="41"/>
      <c r="D1312" s="41"/>
      <c r="E1312" s="41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/>
      <c r="AB1312" s="41"/>
      <c r="AC1312" s="41"/>
      <c r="AD1312" s="41"/>
      <c r="AE1312" s="41"/>
      <c r="AF1312" s="41"/>
      <c r="AG1312" s="41"/>
      <c r="AH1312" s="41"/>
      <c r="AI1312" s="41"/>
      <c r="AJ1312" s="41"/>
      <c r="AK1312" s="41"/>
      <c r="AL1312" s="41"/>
      <c r="AM1312" s="41"/>
      <c r="AN1312" s="41"/>
      <c r="AO1312" s="41"/>
      <c r="AP1312" s="41"/>
      <c r="AQ1312" s="41"/>
    </row>
    <row r="1313">
      <c r="A1313" s="41"/>
      <c r="B1313" s="41"/>
      <c r="C1313" s="41"/>
      <c r="D1313" s="41"/>
      <c r="E1313" s="41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41"/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  <c r="AA1313" s="41"/>
      <c r="AB1313" s="41"/>
      <c r="AC1313" s="41"/>
      <c r="AD1313" s="41"/>
      <c r="AE1313" s="41"/>
      <c r="AF1313" s="41"/>
      <c r="AG1313" s="41"/>
      <c r="AH1313" s="41"/>
      <c r="AI1313" s="41"/>
      <c r="AJ1313" s="41"/>
      <c r="AK1313" s="41"/>
      <c r="AL1313" s="41"/>
      <c r="AM1313" s="41"/>
      <c r="AN1313" s="41"/>
      <c r="AO1313" s="41"/>
      <c r="AP1313" s="41"/>
      <c r="AQ1313" s="41"/>
    </row>
    <row r="1314">
      <c r="A1314" s="41"/>
      <c r="B1314" s="41"/>
      <c r="C1314" s="41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41"/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  <c r="AA1314" s="41"/>
      <c r="AB1314" s="41"/>
      <c r="AC1314" s="41"/>
      <c r="AD1314" s="41"/>
      <c r="AE1314" s="41"/>
      <c r="AF1314" s="41"/>
      <c r="AG1314" s="41"/>
      <c r="AH1314" s="41"/>
      <c r="AI1314" s="41"/>
      <c r="AJ1314" s="41"/>
      <c r="AK1314" s="41"/>
      <c r="AL1314" s="41"/>
      <c r="AM1314" s="41"/>
      <c r="AN1314" s="41"/>
      <c r="AO1314" s="41"/>
      <c r="AP1314" s="41"/>
      <c r="AQ1314" s="41"/>
    </row>
    <row r="1315">
      <c r="A1315" s="41"/>
      <c r="B1315" s="41"/>
      <c r="C1315" s="41"/>
      <c r="D1315" s="41"/>
      <c r="E1315" s="41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41"/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  <c r="AA1315" s="41"/>
      <c r="AB1315" s="41"/>
      <c r="AC1315" s="41"/>
      <c r="AD1315" s="41"/>
      <c r="AE1315" s="41"/>
      <c r="AF1315" s="41"/>
      <c r="AG1315" s="41"/>
      <c r="AH1315" s="41"/>
      <c r="AI1315" s="41"/>
      <c r="AJ1315" s="41"/>
      <c r="AK1315" s="41"/>
      <c r="AL1315" s="41"/>
      <c r="AM1315" s="41"/>
      <c r="AN1315" s="41"/>
      <c r="AO1315" s="41"/>
      <c r="AP1315" s="41"/>
      <c r="AQ1315" s="41"/>
    </row>
    <row r="1316">
      <c r="A1316" s="41"/>
      <c r="B1316" s="41"/>
      <c r="C1316" s="41"/>
      <c r="D1316" s="41"/>
      <c r="E1316" s="41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41"/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  <c r="AA1316" s="41"/>
      <c r="AB1316" s="41"/>
      <c r="AC1316" s="41"/>
      <c r="AD1316" s="41"/>
      <c r="AE1316" s="41"/>
      <c r="AF1316" s="41"/>
      <c r="AG1316" s="41"/>
      <c r="AH1316" s="41"/>
      <c r="AI1316" s="41"/>
      <c r="AJ1316" s="41"/>
      <c r="AK1316" s="41"/>
      <c r="AL1316" s="41"/>
      <c r="AM1316" s="41"/>
      <c r="AN1316" s="41"/>
      <c r="AO1316" s="41"/>
      <c r="AP1316" s="41"/>
      <c r="AQ1316" s="41"/>
    </row>
    <row r="1317">
      <c r="A1317" s="41"/>
      <c r="B1317" s="41"/>
      <c r="C1317" s="41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  <c r="AA1317" s="41"/>
      <c r="AB1317" s="41"/>
      <c r="AC1317" s="41"/>
      <c r="AD1317" s="41"/>
      <c r="AE1317" s="41"/>
      <c r="AF1317" s="41"/>
      <c r="AG1317" s="41"/>
      <c r="AH1317" s="41"/>
      <c r="AI1317" s="41"/>
      <c r="AJ1317" s="41"/>
      <c r="AK1317" s="41"/>
      <c r="AL1317" s="41"/>
      <c r="AM1317" s="41"/>
      <c r="AN1317" s="41"/>
      <c r="AO1317" s="41"/>
      <c r="AP1317" s="41"/>
      <c r="AQ1317" s="41"/>
    </row>
    <row r="1318">
      <c r="A1318" s="41"/>
      <c r="B1318" s="41"/>
      <c r="C1318" s="41"/>
      <c r="D1318" s="41"/>
      <c r="E1318" s="41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  <c r="AA1318" s="41"/>
      <c r="AB1318" s="41"/>
      <c r="AC1318" s="41"/>
      <c r="AD1318" s="41"/>
      <c r="AE1318" s="41"/>
      <c r="AF1318" s="41"/>
      <c r="AG1318" s="41"/>
      <c r="AH1318" s="41"/>
      <c r="AI1318" s="41"/>
      <c r="AJ1318" s="41"/>
      <c r="AK1318" s="41"/>
      <c r="AL1318" s="41"/>
      <c r="AM1318" s="41"/>
      <c r="AN1318" s="41"/>
      <c r="AO1318" s="41"/>
      <c r="AP1318" s="41"/>
      <c r="AQ1318" s="41"/>
    </row>
    <row r="1319">
      <c r="A1319" s="41"/>
      <c r="B1319" s="41"/>
      <c r="C1319" s="41"/>
      <c r="D1319" s="41"/>
      <c r="E1319" s="41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41"/>
      <c r="Q1319" s="41"/>
      <c r="R1319" s="41"/>
      <c r="S1319" s="41"/>
      <c r="T1319" s="41"/>
      <c r="U1319" s="41"/>
      <c r="V1319" s="41"/>
      <c r="W1319" s="41"/>
      <c r="X1319" s="41"/>
      <c r="Y1319" s="41"/>
      <c r="Z1319" s="41"/>
      <c r="AA1319" s="41"/>
      <c r="AB1319" s="41"/>
      <c r="AC1319" s="41"/>
      <c r="AD1319" s="41"/>
      <c r="AE1319" s="41"/>
      <c r="AF1319" s="41"/>
      <c r="AG1319" s="41"/>
      <c r="AH1319" s="41"/>
      <c r="AI1319" s="41"/>
      <c r="AJ1319" s="41"/>
      <c r="AK1319" s="41"/>
      <c r="AL1319" s="41"/>
      <c r="AM1319" s="41"/>
      <c r="AN1319" s="41"/>
      <c r="AO1319" s="41"/>
      <c r="AP1319" s="41"/>
      <c r="AQ1319" s="41"/>
    </row>
    <row r="1320">
      <c r="A1320" s="41"/>
      <c r="B1320" s="41"/>
      <c r="C1320" s="41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41"/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  <c r="AA1320" s="41"/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/>
      <c r="AN1320" s="41"/>
      <c r="AO1320" s="41"/>
      <c r="AP1320" s="41"/>
      <c r="AQ1320" s="41"/>
    </row>
    <row r="1321">
      <c r="A1321" s="41"/>
      <c r="B1321" s="41"/>
      <c r="C1321" s="41"/>
      <c r="D1321" s="41"/>
      <c r="E1321" s="41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  <c r="Q1321" s="41"/>
      <c r="R1321" s="41"/>
      <c r="S1321" s="41"/>
      <c r="T1321" s="41"/>
      <c r="U1321" s="41"/>
      <c r="V1321" s="41"/>
      <c r="W1321" s="41"/>
      <c r="X1321" s="41"/>
      <c r="Y1321" s="41"/>
      <c r="Z1321" s="41"/>
      <c r="AA1321" s="41"/>
      <c r="AB1321" s="41"/>
      <c r="AC1321" s="41"/>
      <c r="AD1321" s="41"/>
      <c r="AE1321" s="41"/>
      <c r="AF1321" s="41"/>
      <c r="AG1321" s="41"/>
      <c r="AH1321" s="41"/>
      <c r="AI1321" s="41"/>
      <c r="AJ1321" s="41"/>
      <c r="AK1321" s="41"/>
      <c r="AL1321" s="41"/>
      <c r="AM1321" s="41"/>
      <c r="AN1321" s="41"/>
      <c r="AO1321" s="41"/>
      <c r="AP1321" s="41"/>
      <c r="AQ1321" s="41"/>
    </row>
    <row r="1322">
      <c r="A1322" s="41"/>
      <c r="B1322" s="41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  <c r="AA1322" s="41"/>
      <c r="AB1322" s="41"/>
      <c r="AC1322" s="41"/>
      <c r="AD1322" s="41"/>
      <c r="AE1322" s="41"/>
      <c r="AF1322" s="41"/>
      <c r="AG1322" s="41"/>
      <c r="AH1322" s="41"/>
      <c r="AI1322" s="41"/>
      <c r="AJ1322" s="41"/>
      <c r="AK1322" s="41"/>
      <c r="AL1322" s="41"/>
      <c r="AM1322" s="41"/>
      <c r="AN1322" s="41"/>
      <c r="AO1322" s="41"/>
      <c r="AP1322" s="41"/>
      <c r="AQ1322" s="41"/>
    </row>
    <row r="1323">
      <c r="A1323" s="41"/>
      <c r="B1323" s="41"/>
      <c r="C1323" s="41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  <c r="Q1323" s="41"/>
      <c r="R1323" s="41"/>
      <c r="S1323" s="41"/>
      <c r="T1323" s="41"/>
      <c r="U1323" s="41"/>
      <c r="V1323" s="41"/>
      <c r="W1323" s="41"/>
      <c r="X1323" s="41"/>
      <c r="Y1323" s="41"/>
      <c r="Z1323" s="41"/>
      <c r="AA1323" s="41"/>
      <c r="AB1323" s="41"/>
      <c r="AC1323" s="41"/>
      <c r="AD1323" s="41"/>
      <c r="AE1323" s="41"/>
      <c r="AF1323" s="41"/>
      <c r="AG1323" s="41"/>
      <c r="AH1323" s="41"/>
      <c r="AI1323" s="41"/>
      <c r="AJ1323" s="41"/>
      <c r="AK1323" s="41"/>
      <c r="AL1323" s="41"/>
      <c r="AM1323" s="41"/>
      <c r="AN1323" s="41"/>
      <c r="AO1323" s="41"/>
      <c r="AP1323" s="41"/>
      <c r="AQ1323" s="41"/>
    </row>
    <row r="1324">
      <c r="A1324" s="41"/>
      <c r="B1324" s="41"/>
      <c r="C1324" s="41"/>
      <c r="D1324" s="41"/>
      <c r="E1324" s="41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41"/>
      <c r="Q1324" s="41"/>
      <c r="R1324" s="41"/>
      <c r="S1324" s="41"/>
      <c r="T1324" s="41"/>
      <c r="U1324" s="41"/>
      <c r="V1324" s="41"/>
      <c r="W1324" s="41"/>
      <c r="X1324" s="41"/>
      <c r="Y1324" s="41"/>
      <c r="Z1324" s="41"/>
      <c r="AA1324" s="41"/>
      <c r="AB1324" s="41"/>
      <c r="AC1324" s="41"/>
      <c r="AD1324" s="41"/>
      <c r="AE1324" s="41"/>
      <c r="AF1324" s="41"/>
      <c r="AG1324" s="41"/>
      <c r="AH1324" s="41"/>
      <c r="AI1324" s="41"/>
      <c r="AJ1324" s="41"/>
      <c r="AK1324" s="41"/>
      <c r="AL1324" s="41"/>
      <c r="AM1324" s="41"/>
      <c r="AN1324" s="41"/>
      <c r="AO1324" s="41"/>
      <c r="AP1324" s="41"/>
      <c r="AQ1324" s="41"/>
    </row>
    <row r="1325">
      <c r="A1325" s="41"/>
      <c r="B1325" s="41"/>
      <c r="C1325" s="41"/>
      <c r="D1325" s="41"/>
      <c r="E1325" s="41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41"/>
      <c r="Q1325" s="41"/>
      <c r="R1325" s="41"/>
      <c r="S1325" s="41"/>
      <c r="T1325" s="41"/>
      <c r="U1325" s="41"/>
      <c r="V1325" s="41"/>
      <c r="W1325" s="41"/>
      <c r="X1325" s="41"/>
      <c r="Y1325" s="41"/>
      <c r="Z1325" s="41"/>
      <c r="AA1325" s="41"/>
      <c r="AB1325" s="41"/>
      <c r="AC1325" s="41"/>
      <c r="AD1325" s="41"/>
      <c r="AE1325" s="41"/>
      <c r="AF1325" s="41"/>
      <c r="AG1325" s="41"/>
      <c r="AH1325" s="41"/>
      <c r="AI1325" s="41"/>
      <c r="AJ1325" s="41"/>
      <c r="AK1325" s="41"/>
      <c r="AL1325" s="41"/>
      <c r="AM1325" s="41"/>
      <c r="AN1325" s="41"/>
      <c r="AO1325" s="41"/>
      <c r="AP1325" s="41"/>
      <c r="AQ1325" s="41"/>
    </row>
    <row r="1326">
      <c r="A1326" s="41"/>
      <c r="B1326" s="41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1"/>
      <c r="U1326" s="41"/>
      <c r="V1326" s="41"/>
      <c r="W1326" s="41"/>
      <c r="X1326" s="41"/>
      <c r="Y1326" s="41"/>
      <c r="Z1326" s="41"/>
      <c r="AA1326" s="41"/>
      <c r="AB1326" s="41"/>
      <c r="AC1326" s="41"/>
      <c r="AD1326" s="41"/>
      <c r="AE1326" s="41"/>
      <c r="AF1326" s="41"/>
      <c r="AG1326" s="41"/>
      <c r="AH1326" s="41"/>
      <c r="AI1326" s="41"/>
      <c r="AJ1326" s="41"/>
      <c r="AK1326" s="41"/>
      <c r="AL1326" s="41"/>
      <c r="AM1326" s="41"/>
      <c r="AN1326" s="41"/>
      <c r="AO1326" s="41"/>
      <c r="AP1326" s="41"/>
      <c r="AQ1326" s="41"/>
    </row>
    <row r="1327">
      <c r="A1327" s="41"/>
      <c r="B1327" s="41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1"/>
      <c r="U1327" s="41"/>
      <c r="V1327" s="41"/>
      <c r="W1327" s="41"/>
      <c r="X1327" s="41"/>
      <c r="Y1327" s="41"/>
      <c r="Z1327" s="41"/>
      <c r="AA1327" s="41"/>
      <c r="AB1327" s="41"/>
      <c r="AC1327" s="41"/>
      <c r="AD1327" s="41"/>
      <c r="AE1327" s="41"/>
      <c r="AF1327" s="41"/>
      <c r="AG1327" s="41"/>
      <c r="AH1327" s="41"/>
      <c r="AI1327" s="41"/>
      <c r="AJ1327" s="41"/>
      <c r="AK1327" s="41"/>
      <c r="AL1327" s="41"/>
      <c r="AM1327" s="41"/>
      <c r="AN1327" s="41"/>
      <c r="AO1327" s="41"/>
      <c r="AP1327" s="41"/>
      <c r="AQ1327" s="41"/>
    </row>
    <row r="1328">
      <c r="A1328" s="41"/>
      <c r="B1328" s="41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1"/>
      <c r="U1328" s="41"/>
      <c r="V1328" s="41"/>
      <c r="W1328" s="41"/>
      <c r="X1328" s="41"/>
      <c r="Y1328" s="41"/>
      <c r="Z1328" s="41"/>
      <c r="AA1328" s="41"/>
      <c r="AB1328" s="41"/>
      <c r="AC1328" s="41"/>
      <c r="AD1328" s="41"/>
      <c r="AE1328" s="41"/>
      <c r="AF1328" s="41"/>
      <c r="AG1328" s="41"/>
      <c r="AH1328" s="41"/>
      <c r="AI1328" s="41"/>
      <c r="AJ1328" s="41"/>
      <c r="AK1328" s="41"/>
      <c r="AL1328" s="41"/>
      <c r="AM1328" s="41"/>
      <c r="AN1328" s="41"/>
      <c r="AO1328" s="41"/>
      <c r="AP1328" s="41"/>
      <c r="AQ1328" s="41"/>
    </row>
    <row r="1329">
      <c r="A1329" s="41"/>
      <c r="B1329" s="41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41"/>
      <c r="Z1329" s="41"/>
      <c r="AA1329" s="41"/>
      <c r="AB1329" s="41"/>
      <c r="AC1329" s="41"/>
      <c r="AD1329" s="41"/>
      <c r="AE1329" s="41"/>
      <c r="AF1329" s="41"/>
      <c r="AG1329" s="41"/>
      <c r="AH1329" s="41"/>
      <c r="AI1329" s="41"/>
      <c r="AJ1329" s="41"/>
      <c r="AK1329" s="41"/>
      <c r="AL1329" s="41"/>
      <c r="AM1329" s="41"/>
      <c r="AN1329" s="41"/>
      <c r="AO1329" s="41"/>
      <c r="AP1329" s="41"/>
      <c r="AQ1329" s="41"/>
    </row>
    <row r="1330">
      <c r="A1330" s="41"/>
      <c r="B1330" s="41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  <c r="AA1330" s="41"/>
      <c r="AB1330" s="41"/>
      <c r="AC1330" s="41"/>
      <c r="AD1330" s="41"/>
      <c r="AE1330" s="41"/>
      <c r="AF1330" s="41"/>
      <c r="AG1330" s="41"/>
      <c r="AH1330" s="41"/>
      <c r="AI1330" s="41"/>
      <c r="AJ1330" s="41"/>
      <c r="AK1330" s="41"/>
      <c r="AL1330" s="41"/>
      <c r="AM1330" s="41"/>
      <c r="AN1330" s="41"/>
      <c r="AO1330" s="41"/>
      <c r="AP1330" s="41"/>
      <c r="AQ1330" s="41"/>
    </row>
    <row r="1331">
      <c r="A1331" s="41"/>
      <c r="B1331" s="41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1"/>
      <c r="AC1331" s="41"/>
      <c r="AD1331" s="41"/>
      <c r="AE1331" s="41"/>
      <c r="AF1331" s="41"/>
      <c r="AG1331" s="41"/>
      <c r="AH1331" s="41"/>
      <c r="AI1331" s="41"/>
      <c r="AJ1331" s="41"/>
      <c r="AK1331" s="41"/>
      <c r="AL1331" s="41"/>
      <c r="AM1331" s="41"/>
      <c r="AN1331" s="41"/>
      <c r="AO1331" s="41"/>
      <c r="AP1331" s="41"/>
      <c r="AQ1331" s="41"/>
    </row>
    <row r="1332">
      <c r="A1332" s="41"/>
      <c r="B1332" s="41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  <c r="AA1332" s="41"/>
      <c r="AB1332" s="41"/>
      <c r="AC1332" s="41"/>
      <c r="AD1332" s="41"/>
      <c r="AE1332" s="41"/>
      <c r="AF1332" s="41"/>
      <c r="AG1332" s="41"/>
      <c r="AH1332" s="41"/>
      <c r="AI1332" s="41"/>
      <c r="AJ1332" s="41"/>
      <c r="AK1332" s="41"/>
      <c r="AL1332" s="41"/>
      <c r="AM1332" s="41"/>
      <c r="AN1332" s="41"/>
      <c r="AO1332" s="41"/>
      <c r="AP1332" s="41"/>
      <c r="AQ1332" s="41"/>
    </row>
    <row r="1333">
      <c r="A1333" s="41"/>
      <c r="B1333" s="41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1"/>
      <c r="U1333" s="41"/>
      <c r="V1333" s="41"/>
      <c r="W1333" s="41"/>
      <c r="X1333" s="41"/>
      <c r="Y1333" s="41"/>
      <c r="Z1333" s="41"/>
      <c r="AA1333" s="41"/>
      <c r="AB1333" s="41"/>
      <c r="AC1333" s="41"/>
      <c r="AD1333" s="41"/>
      <c r="AE1333" s="41"/>
      <c r="AF1333" s="41"/>
      <c r="AG1333" s="41"/>
      <c r="AH1333" s="41"/>
      <c r="AI1333" s="41"/>
      <c r="AJ1333" s="41"/>
      <c r="AK1333" s="41"/>
      <c r="AL1333" s="41"/>
      <c r="AM1333" s="41"/>
      <c r="AN1333" s="41"/>
      <c r="AO1333" s="41"/>
      <c r="AP1333" s="41"/>
      <c r="AQ1333" s="41"/>
    </row>
    <row r="1334">
      <c r="A1334" s="41"/>
      <c r="B1334" s="41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1"/>
      <c r="U1334" s="41"/>
      <c r="V1334" s="41"/>
      <c r="W1334" s="41"/>
      <c r="X1334" s="41"/>
      <c r="Y1334" s="41"/>
      <c r="Z1334" s="41"/>
      <c r="AA1334" s="41"/>
      <c r="AB1334" s="41"/>
      <c r="AC1334" s="41"/>
      <c r="AD1334" s="41"/>
      <c r="AE1334" s="41"/>
      <c r="AF1334" s="41"/>
      <c r="AG1334" s="41"/>
      <c r="AH1334" s="41"/>
      <c r="AI1334" s="41"/>
      <c r="AJ1334" s="41"/>
      <c r="AK1334" s="41"/>
      <c r="AL1334" s="41"/>
      <c r="AM1334" s="41"/>
      <c r="AN1334" s="41"/>
      <c r="AO1334" s="41"/>
      <c r="AP1334" s="41"/>
      <c r="AQ1334" s="41"/>
    </row>
    <row r="1335">
      <c r="A1335" s="41"/>
      <c r="B1335" s="41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1"/>
      <c r="X1335" s="41"/>
      <c r="Y1335" s="41"/>
      <c r="Z1335" s="41"/>
      <c r="AA1335" s="41"/>
      <c r="AB1335" s="41"/>
      <c r="AC1335" s="41"/>
      <c r="AD1335" s="41"/>
      <c r="AE1335" s="41"/>
      <c r="AF1335" s="41"/>
      <c r="AG1335" s="41"/>
      <c r="AH1335" s="41"/>
      <c r="AI1335" s="41"/>
      <c r="AJ1335" s="41"/>
      <c r="AK1335" s="41"/>
      <c r="AL1335" s="41"/>
      <c r="AM1335" s="41"/>
      <c r="AN1335" s="41"/>
      <c r="AO1335" s="41"/>
      <c r="AP1335" s="41"/>
      <c r="AQ1335" s="41"/>
    </row>
    <row r="1336">
      <c r="A1336" s="41"/>
      <c r="B1336" s="41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1"/>
      <c r="U1336" s="41"/>
      <c r="V1336" s="41"/>
      <c r="W1336" s="41"/>
      <c r="X1336" s="41"/>
      <c r="Y1336" s="41"/>
      <c r="Z1336" s="41"/>
      <c r="AA1336" s="41"/>
      <c r="AB1336" s="41"/>
      <c r="AC1336" s="41"/>
      <c r="AD1336" s="41"/>
      <c r="AE1336" s="41"/>
      <c r="AF1336" s="41"/>
      <c r="AG1336" s="41"/>
      <c r="AH1336" s="41"/>
      <c r="AI1336" s="41"/>
      <c r="AJ1336" s="41"/>
      <c r="AK1336" s="41"/>
      <c r="AL1336" s="41"/>
      <c r="AM1336" s="41"/>
      <c r="AN1336" s="41"/>
      <c r="AO1336" s="41"/>
      <c r="AP1336" s="41"/>
      <c r="AQ1336" s="41"/>
    </row>
    <row r="1337">
      <c r="A1337" s="41"/>
      <c r="B1337" s="41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1"/>
      <c r="U1337" s="41"/>
      <c r="V1337" s="41"/>
      <c r="W1337" s="41"/>
      <c r="X1337" s="41"/>
      <c r="Y1337" s="41"/>
      <c r="Z1337" s="41"/>
      <c r="AA1337" s="41"/>
      <c r="AB1337" s="41"/>
      <c r="AC1337" s="41"/>
      <c r="AD1337" s="41"/>
      <c r="AE1337" s="41"/>
      <c r="AF1337" s="41"/>
      <c r="AG1337" s="41"/>
      <c r="AH1337" s="41"/>
      <c r="AI1337" s="41"/>
      <c r="AJ1337" s="41"/>
      <c r="AK1337" s="41"/>
      <c r="AL1337" s="41"/>
      <c r="AM1337" s="41"/>
      <c r="AN1337" s="41"/>
      <c r="AO1337" s="41"/>
      <c r="AP1337" s="41"/>
      <c r="AQ1337" s="41"/>
    </row>
    <row r="1338">
      <c r="A1338" s="41"/>
      <c r="B1338" s="41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1"/>
      <c r="U1338" s="41"/>
      <c r="V1338" s="41"/>
      <c r="W1338" s="41"/>
      <c r="X1338" s="41"/>
      <c r="Y1338" s="41"/>
      <c r="Z1338" s="41"/>
      <c r="AA1338" s="41"/>
      <c r="AB1338" s="41"/>
      <c r="AC1338" s="41"/>
      <c r="AD1338" s="41"/>
      <c r="AE1338" s="41"/>
      <c r="AF1338" s="41"/>
      <c r="AG1338" s="41"/>
      <c r="AH1338" s="41"/>
      <c r="AI1338" s="41"/>
      <c r="AJ1338" s="41"/>
      <c r="AK1338" s="41"/>
      <c r="AL1338" s="41"/>
      <c r="AM1338" s="41"/>
      <c r="AN1338" s="41"/>
      <c r="AO1338" s="41"/>
      <c r="AP1338" s="41"/>
      <c r="AQ1338" s="41"/>
    </row>
    <row r="1339">
      <c r="A1339" s="41"/>
      <c r="B1339" s="41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1"/>
      <c r="U1339" s="41"/>
      <c r="V1339" s="41"/>
      <c r="W1339" s="41"/>
      <c r="X1339" s="41"/>
      <c r="Y1339" s="41"/>
      <c r="Z1339" s="41"/>
      <c r="AA1339" s="41"/>
      <c r="AB1339" s="41"/>
      <c r="AC1339" s="41"/>
      <c r="AD1339" s="41"/>
      <c r="AE1339" s="41"/>
      <c r="AF1339" s="41"/>
      <c r="AG1339" s="41"/>
      <c r="AH1339" s="41"/>
      <c r="AI1339" s="41"/>
      <c r="AJ1339" s="41"/>
      <c r="AK1339" s="41"/>
      <c r="AL1339" s="41"/>
      <c r="AM1339" s="41"/>
      <c r="AN1339" s="41"/>
      <c r="AO1339" s="41"/>
      <c r="AP1339" s="41"/>
      <c r="AQ1339" s="41"/>
    </row>
    <row r="1340">
      <c r="A1340" s="41"/>
      <c r="B1340" s="41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1"/>
      <c r="U1340" s="41"/>
      <c r="V1340" s="41"/>
      <c r="W1340" s="41"/>
      <c r="X1340" s="41"/>
      <c r="Y1340" s="41"/>
      <c r="Z1340" s="41"/>
      <c r="AA1340" s="41"/>
      <c r="AB1340" s="41"/>
      <c r="AC1340" s="41"/>
      <c r="AD1340" s="41"/>
      <c r="AE1340" s="41"/>
      <c r="AF1340" s="41"/>
      <c r="AG1340" s="41"/>
      <c r="AH1340" s="41"/>
      <c r="AI1340" s="41"/>
      <c r="AJ1340" s="41"/>
      <c r="AK1340" s="41"/>
      <c r="AL1340" s="41"/>
      <c r="AM1340" s="41"/>
      <c r="AN1340" s="41"/>
      <c r="AO1340" s="41"/>
      <c r="AP1340" s="41"/>
      <c r="AQ1340" s="41"/>
    </row>
    <row r="1341">
      <c r="A1341" s="41"/>
      <c r="B1341" s="41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1"/>
      <c r="U1341" s="41"/>
      <c r="V1341" s="41"/>
      <c r="W1341" s="41"/>
      <c r="X1341" s="41"/>
      <c r="Y1341" s="41"/>
      <c r="Z1341" s="41"/>
      <c r="AA1341" s="41"/>
      <c r="AB1341" s="41"/>
      <c r="AC1341" s="41"/>
      <c r="AD1341" s="41"/>
      <c r="AE1341" s="41"/>
      <c r="AF1341" s="41"/>
      <c r="AG1341" s="41"/>
      <c r="AH1341" s="41"/>
      <c r="AI1341" s="41"/>
      <c r="AJ1341" s="41"/>
      <c r="AK1341" s="41"/>
      <c r="AL1341" s="41"/>
      <c r="AM1341" s="41"/>
      <c r="AN1341" s="41"/>
      <c r="AO1341" s="41"/>
      <c r="AP1341" s="41"/>
      <c r="AQ1341" s="41"/>
    </row>
    <row r="1342">
      <c r="A1342" s="41"/>
      <c r="B1342" s="41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41"/>
      <c r="V1342" s="41"/>
      <c r="W1342" s="41"/>
      <c r="X1342" s="41"/>
      <c r="Y1342" s="41"/>
      <c r="Z1342" s="41"/>
      <c r="AA1342" s="41"/>
      <c r="AB1342" s="41"/>
      <c r="AC1342" s="41"/>
      <c r="AD1342" s="41"/>
      <c r="AE1342" s="41"/>
      <c r="AF1342" s="41"/>
      <c r="AG1342" s="41"/>
      <c r="AH1342" s="41"/>
      <c r="AI1342" s="41"/>
      <c r="AJ1342" s="41"/>
      <c r="AK1342" s="41"/>
      <c r="AL1342" s="41"/>
      <c r="AM1342" s="41"/>
      <c r="AN1342" s="41"/>
      <c r="AO1342" s="41"/>
      <c r="AP1342" s="41"/>
      <c r="AQ1342" s="41"/>
    </row>
    <row r="1343">
      <c r="A1343" s="41"/>
      <c r="B1343" s="41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  <c r="AA1343" s="41"/>
      <c r="AB1343" s="41"/>
      <c r="AC1343" s="41"/>
      <c r="AD1343" s="41"/>
      <c r="AE1343" s="41"/>
      <c r="AF1343" s="41"/>
      <c r="AG1343" s="41"/>
      <c r="AH1343" s="41"/>
      <c r="AI1343" s="41"/>
      <c r="AJ1343" s="41"/>
      <c r="AK1343" s="41"/>
      <c r="AL1343" s="41"/>
      <c r="AM1343" s="41"/>
      <c r="AN1343" s="41"/>
      <c r="AO1343" s="41"/>
      <c r="AP1343" s="41"/>
      <c r="AQ1343" s="41"/>
    </row>
    <row r="1344">
      <c r="A1344" s="41"/>
      <c r="B1344" s="41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1"/>
      <c r="U1344" s="41"/>
      <c r="V1344" s="41"/>
      <c r="W1344" s="41"/>
      <c r="X1344" s="41"/>
      <c r="Y1344" s="41"/>
      <c r="Z1344" s="41"/>
      <c r="AA1344" s="41"/>
      <c r="AB1344" s="41"/>
      <c r="AC1344" s="41"/>
      <c r="AD1344" s="41"/>
      <c r="AE1344" s="41"/>
      <c r="AF1344" s="41"/>
      <c r="AG1344" s="41"/>
      <c r="AH1344" s="41"/>
      <c r="AI1344" s="41"/>
      <c r="AJ1344" s="41"/>
      <c r="AK1344" s="41"/>
      <c r="AL1344" s="41"/>
      <c r="AM1344" s="41"/>
      <c r="AN1344" s="41"/>
      <c r="AO1344" s="41"/>
      <c r="AP1344" s="41"/>
      <c r="AQ1344" s="41"/>
    </row>
    <row r="1345">
      <c r="A1345" s="41"/>
      <c r="B1345" s="41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  <c r="AA1345" s="41"/>
      <c r="AB1345" s="41"/>
      <c r="AC1345" s="41"/>
      <c r="AD1345" s="41"/>
      <c r="AE1345" s="41"/>
      <c r="AF1345" s="41"/>
      <c r="AG1345" s="41"/>
      <c r="AH1345" s="41"/>
      <c r="AI1345" s="41"/>
      <c r="AJ1345" s="41"/>
      <c r="AK1345" s="41"/>
      <c r="AL1345" s="41"/>
      <c r="AM1345" s="41"/>
      <c r="AN1345" s="41"/>
      <c r="AO1345" s="41"/>
      <c r="AP1345" s="41"/>
      <c r="AQ1345" s="41"/>
    </row>
    <row r="1346">
      <c r="A1346" s="41"/>
      <c r="B1346" s="41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1"/>
      <c r="U1346" s="41"/>
      <c r="V1346" s="41"/>
      <c r="W1346" s="41"/>
      <c r="X1346" s="41"/>
      <c r="Y1346" s="41"/>
      <c r="Z1346" s="41"/>
      <c r="AA1346" s="41"/>
      <c r="AB1346" s="41"/>
      <c r="AC1346" s="41"/>
      <c r="AD1346" s="41"/>
      <c r="AE1346" s="41"/>
      <c r="AF1346" s="41"/>
      <c r="AG1346" s="41"/>
      <c r="AH1346" s="41"/>
      <c r="AI1346" s="41"/>
      <c r="AJ1346" s="41"/>
      <c r="AK1346" s="41"/>
      <c r="AL1346" s="41"/>
      <c r="AM1346" s="41"/>
      <c r="AN1346" s="41"/>
      <c r="AO1346" s="41"/>
      <c r="AP1346" s="41"/>
      <c r="AQ1346" s="41"/>
    </row>
    <row r="1347">
      <c r="A1347" s="41"/>
      <c r="B1347" s="41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1"/>
      <c r="AC1347" s="41"/>
      <c r="AD1347" s="41"/>
      <c r="AE1347" s="41"/>
      <c r="AF1347" s="41"/>
      <c r="AG1347" s="41"/>
      <c r="AH1347" s="41"/>
      <c r="AI1347" s="41"/>
      <c r="AJ1347" s="41"/>
      <c r="AK1347" s="41"/>
      <c r="AL1347" s="41"/>
      <c r="AM1347" s="41"/>
      <c r="AN1347" s="41"/>
      <c r="AO1347" s="41"/>
      <c r="AP1347" s="41"/>
      <c r="AQ1347" s="41"/>
    </row>
    <row r="1348">
      <c r="A1348" s="41"/>
      <c r="B1348" s="41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  <c r="AA1348" s="41"/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/>
      <c r="AN1348" s="41"/>
      <c r="AO1348" s="41"/>
      <c r="AP1348" s="41"/>
      <c r="AQ1348" s="41"/>
    </row>
    <row r="1349">
      <c r="A1349" s="41"/>
      <c r="B1349" s="41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1"/>
      <c r="U1349" s="41"/>
      <c r="V1349" s="41"/>
      <c r="W1349" s="41"/>
      <c r="X1349" s="41"/>
      <c r="Y1349" s="41"/>
      <c r="Z1349" s="41"/>
      <c r="AA1349" s="41"/>
      <c r="AB1349" s="41"/>
      <c r="AC1349" s="41"/>
      <c r="AD1349" s="41"/>
      <c r="AE1349" s="41"/>
      <c r="AF1349" s="41"/>
      <c r="AG1349" s="41"/>
      <c r="AH1349" s="41"/>
      <c r="AI1349" s="41"/>
      <c r="AJ1349" s="41"/>
      <c r="AK1349" s="41"/>
      <c r="AL1349" s="41"/>
      <c r="AM1349" s="41"/>
      <c r="AN1349" s="41"/>
      <c r="AO1349" s="41"/>
      <c r="AP1349" s="41"/>
      <c r="AQ1349" s="41"/>
    </row>
    <row r="1350">
      <c r="A1350" s="41"/>
      <c r="B1350" s="41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1"/>
      <c r="U1350" s="41"/>
      <c r="V1350" s="41"/>
      <c r="W1350" s="41"/>
      <c r="X1350" s="41"/>
      <c r="Y1350" s="41"/>
      <c r="Z1350" s="41"/>
      <c r="AA1350" s="41"/>
      <c r="AB1350" s="41"/>
      <c r="AC1350" s="41"/>
      <c r="AD1350" s="41"/>
      <c r="AE1350" s="41"/>
      <c r="AF1350" s="41"/>
      <c r="AG1350" s="41"/>
      <c r="AH1350" s="41"/>
      <c r="AI1350" s="41"/>
      <c r="AJ1350" s="41"/>
      <c r="AK1350" s="41"/>
      <c r="AL1350" s="41"/>
      <c r="AM1350" s="41"/>
      <c r="AN1350" s="41"/>
      <c r="AO1350" s="41"/>
      <c r="AP1350" s="41"/>
      <c r="AQ1350" s="41"/>
    </row>
    <row r="1351">
      <c r="A1351" s="41"/>
      <c r="B1351" s="41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  <c r="AA1351" s="41"/>
      <c r="AB1351" s="41"/>
      <c r="AC1351" s="41"/>
      <c r="AD1351" s="41"/>
      <c r="AE1351" s="41"/>
      <c r="AF1351" s="41"/>
      <c r="AG1351" s="41"/>
      <c r="AH1351" s="41"/>
      <c r="AI1351" s="41"/>
      <c r="AJ1351" s="41"/>
      <c r="AK1351" s="41"/>
      <c r="AL1351" s="41"/>
      <c r="AM1351" s="41"/>
      <c r="AN1351" s="41"/>
      <c r="AO1351" s="41"/>
      <c r="AP1351" s="41"/>
      <c r="AQ1351" s="41"/>
    </row>
    <row r="1352">
      <c r="A1352" s="41"/>
      <c r="B1352" s="41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1"/>
      <c r="U1352" s="41"/>
      <c r="V1352" s="41"/>
      <c r="W1352" s="41"/>
      <c r="X1352" s="41"/>
      <c r="Y1352" s="41"/>
      <c r="Z1352" s="41"/>
      <c r="AA1352" s="41"/>
      <c r="AB1352" s="41"/>
      <c r="AC1352" s="41"/>
      <c r="AD1352" s="41"/>
      <c r="AE1352" s="41"/>
      <c r="AF1352" s="41"/>
      <c r="AG1352" s="41"/>
      <c r="AH1352" s="41"/>
      <c r="AI1352" s="41"/>
      <c r="AJ1352" s="41"/>
      <c r="AK1352" s="41"/>
      <c r="AL1352" s="41"/>
      <c r="AM1352" s="41"/>
      <c r="AN1352" s="41"/>
      <c r="AO1352" s="41"/>
      <c r="AP1352" s="41"/>
      <c r="AQ1352" s="41"/>
    </row>
    <row r="1353">
      <c r="A1353" s="41"/>
      <c r="B1353" s="41"/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41"/>
      <c r="W1353" s="41"/>
      <c r="X1353" s="41"/>
      <c r="Y1353" s="41"/>
      <c r="Z1353" s="41"/>
      <c r="AA1353" s="41"/>
      <c r="AB1353" s="41"/>
      <c r="AC1353" s="41"/>
      <c r="AD1353" s="41"/>
      <c r="AE1353" s="41"/>
      <c r="AF1353" s="41"/>
      <c r="AG1353" s="41"/>
      <c r="AH1353" s="41"/>
      <c r="AI1353" s="41"/>
      <c r="AJ1353" s="41"/>
      <c r="AK1353" s="41"/>
      <c r="AL1353" s="41"/>
      <c r="AM1353" s="41"/>
      <c r="AN1353" s="41"/>
      <c r="AO1353" s="41"/>
      <c r="AP1353" s="41"/>
      <c r="AQ1353" s="41"/>
    </row>
    <row r="1354">
      <c r="A1354" s="41"/>
      <c r="B1354" s="41"/>
      <c r="C1354" s="41"/>
      <c r="D1354" s="41"/>
      <c r="E1354" s="41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41"/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  <c r="AA1354" s="41"/>
      <c r="AB1354" s="41"/>
      <c r="AC1354" s="41"/>
      <c r="AD1354" s="41"/>
      <c r="AE1354" s="41"/>
      <c r="AF1354" s="41"/>
      <c r="AG1354" s="41"/>
      <c r="AH1354" s="41"/>
      <c r="AI1354" s="41"/>
      <c r="AJ1354" s="41"/>
      <c r="AK1354" s="41"/>
      <c r="AL1354" s="41"/>
      <c r="AM1354" s="41"/>
      <c r="AN1354" s="41"/>
      <c r="AO1354" s="41"/>
      <c r="AP1354" s="41"/>
      <c r="AQ1354" s="41"/>
    </row>
    <row r="1355">
      <c r="A1355" s="41"/>
      <c r="B1355" s="41"/>
      <c r="C1355" s="41"/>
      <c r="D1355" s="41"/>
      <c r="E1355" s="41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41"/>
      <c r="Q1355" s="41"/>
      <c r="R1355" s="41"/>
      <c r="S1355" s="41"/>
      <c r="T1355" s="41"/>
      <c r="U1355" s="41"/>
      <c r="V1355" s="41"/>
      <c r="W1355" s="41"/>
      <c r="X1355" s="41"/>
      <c r="Y1355" s="41"/>
      <c r="Z1355" s="41"/>
      <c r="AA1355" s="41"/>
      <c r="AB1355" s="41"/>
      <c r="AC1355" s="41"/>
      <c r="AD1355" s="41"/>
      <c r="AE1355" s="41"/>
      <c r="AF1355" s="41"/>
      <c r="AG1355" s="41"/>
      <c r="AH1355" s="41"/>
      <c r="AI1355" s="41"/>
      <c r="AJ1355" s="41"/>
      <c r="AK1355" s="41"/>
      <c r="AL1355" s="41"/>
      <c r="AM1355" s="41"/>
      <c r="AN1355" s="41"/>
      <c r="AO1355" s="41"/>
      <c r="AP1355" s="41"/>
      <c r="AQ1355" s="41"/>
    </row>
    <row r="1356">
      <c r="A1356" s="41"/>
      <c r="B1356" s="41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1"/>
      <c r="U1356" s="41"/>
      <c r="V1356" s="41"/>
      <c r="W1356" s="41"/>
      <c r="X1356" s="41"/>
      <c r="Y1356" s="41"/>
      <c r="Z1356" s="41"/>
      <c r="AA1356" s="41"/>
      <c r="AB1356" s="41"/>
      <c r="AC1356" s="41"/>
      <c r="AD1356" s="41"/>
      <c r="AE1356" s="41"/>
      <c r="AF1356" s="41"/>
      <c r="AG1356" s="41"/>
      <c r="AH1356" s="41"/>
      <c r="AI1356" s="41"/>
      <c r="AJ1356" s="41"/>
      <c r="AK1356" s="41"/>
      <c r="AL1356" s="41"/>
      <c r="AM1356" s="41"/>
      <c r="AN1356" s="41"/>
      <c r="AO1356" s="41"/>
      <c r="AP1356" s="41"/>
      <c r="AQ1356" s="41"/>
    </row>
    <row r="1357">
      <c r="A1357" s="41"/>
      <c r="B1357" s="41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  <c r="AA1357" s="41"/>
      <c r="AB1357" s="41"/>
      <c r="AC1357" s="41"/>
      <c r="AD1357" s="41"/>
      <c r="AE1357" s="41"/>
      <c r="AF1357" s="41"/>
      <c r="AG1357" s="41"/>
      <c r="AH1357" s="41"/>
      <c r="AI1357" s="41"/>
      <c r="AJ1357" s="41"/>
      <c r="AK1357" s="41"/>
      <c r="AL1357" s="41"/>
      <c r="AM1357" s="41"/>
      <c r="AN1357" s="41"/>
      <c r="AO1357" s="41"/>
      <c r="AP1357" s="41"/>
      <c r="AQ1357" s="41"/>
    </row>
    <row r="1358">
      <c r="A1358" s="41"/>
      <c r="B1358" s="41"/>
      <c r="C1358" s="41"/>
      <c r="D1358" s="41"/>
      <c r="E1358" s="41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41"/>
      <c r="Q1358" s="41"/>
      <c r="R1358" s="41"/>
      <c r="S1358" s="41"/>
      <c r="T1358" s="41"/>
      <c r="U1358" s="41"/>
      <c r="V1358" s="41"/>
      <c r="W1358" s="41"/>
      <c r="X1358" s="41"/>
      <c r="Y1358" s="41"/>
      <c r="Z1358" s="41"/>
      <c r="AA1358" s="41"/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/>
      <c r="AN1358" s="41"/>
      <c r="AO1358" s="41"/>
      <c r="AP1358" s="41"/>
      <c r="AQ1358" s="41"/>
    </row>
    <row r="1359">
      <c r="A1359" s="41"/>
      <c r="B1359" s="41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  <c r="T1359" s="41"/>
      <c r="U1359" s="41"/>
      <c r="V1359" s="41"/>
      <c r="W1359" s="41"/>
      <c r="X1359" s="41"/>
      <c r="Y1359" s="41"/>
      <c r="Z1359" s="41"/>
      <c r="AA1359" s="41"/>
      <c r="AB1359" s="41"/>
      <c r="AC1359" s="41"/>
      <c r="AD1359" s="41"/>
      <c r="AE1359" s="41"/>
      <c r="AF1359" s="41"/>
      <c r="AG1359" s="41"/>
      <c r="AH1359" s="41"/>
      <c r="AI1359" s="41"/>
      <c r="AJ1359" s="41"/>
      <c r="AK1359" s="41"/>
      <c r="AL1359" s="41"/>
      <c r="AM1359" s="41"/>
      <c r="AN1359" s="41"/>
      <c r="AO1359" s="41"/>
      <c r="AP1359" s="41"/>
      <c r="AQ1359" s="41"/>
    </row>
    <row r="1360">
      <c r="A1360" s="41"/>
      <c r="B1360" s="41"/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1"/>
      <c r="U1360" s="41"/>
      <c r="V1360" s="41"/>
      <c r="W1360" s="41"/>
      <c r="X1360" s="41"/>
      <c r="Y1360" s="41"/>
      <c r="Z1360" s="41"/>
      <c r="AA1360" s="41"/>
      <c r="AB1360" s="41"/>
      <c r="AC1360" s="41"/>
      <c r="AD1360" s="41"/>
      <c r="AE1360" s="41"/>
      <c r="AF1360" s="41"/>
      <c r="AG1360" s="41"/>
      <c r="AH1360" s="41"/>
      <c r="AI1360" s="41"/>
      <c r="AJ1360" s="41"/>
      <c r="AK1360" s="41"/>
      <c r="AL1360" s="41"/>
      <c r="AM1360" s="41"/>
      <c r="AN1360" s="41"/>
      <c r="AO1360" s="41"/>
      <c r="AP1360" s="41"/>
      <c r="AQ1360" s="41"/>
    </row>
    <row r="1361">
      <c r="A1361" s="41"/>
      <c r="B1361" s="41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1"/>
      <c r="Q1361" s="41"/>
      <c r="R1361" s="41"/>
      <c r="S1361" s="41"/>
      <c r="T1361" s="41"/>
      <c r="U1361" s="41"/>
      <c r="V1361" s="41"/>
      <c r="W1361" s="41"/>
      <c r="X1361" s="41"/>
      <c r="Y1361" s="41"/>
      <c r="Z1361" s="41"/>
      <c r="AA1361" s="41"/>
      <c r="AB1361" s="41"/>
      <c r="AC1361" s="41"/>
      <c r="AD1361" s="41"/>
      <c r="AE1361" s="41"/>
      <c r="AF1361" s="41"/>
      <c r="AG1361" s="41"/>
      <c r="AH1361" s="41"/>
      <c r="AI1361" s="41"/>
      <c r="AJ1361" s="41"/>
      <c r="AK1361" s="41"/>
      <c r="AL1361" s="41"/>
      <c r="AM1361" s="41"/>
      <c r="AN1361" s="41"/>
      <c r="AO1361" s="41"/>
      <c r="AP1361" s="41"/>
      <c r="AQ1361" s="41"/>
    </row>
    <row r="1362">
      <c r="A1362" s="41"/>
      <c r="B1362" s="41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1"/>
      <c r="Q1362" s="41"/>
      <c r="R1362" s="41"/>
      <c r="S1362" s="41"/>
      <c r="T1362" s="41"/>
      <c r="U1362" s="41"/>
      <c r="V1362" s="41"/>
      <c r="W1362" s="41"/>
      <c r="X1362" s="41"/>
      <c r="Y1362" s="41"/>
      <c r="Z1362" s="41"/>
      <c r="AA1362" s="41"/>
      <c r="AB1362" s="41"/>
      <c r="AC1362" s="41"/>
      <c r="AD1362" s="41"/>
      <c r="AE1362" s="41"/>
      <c r="AF1362" s="41"/>
      <c r="AG1362" s="41"/>
      <c r="AH1362" s="41"/>
      <c r="AI1362" s="41"/>
      <c r="AJ1362" s="41"/>
      <c r="AK1362" s="41"/>
      <c r="AL1362" s="41"/>
      <c r="AM1362" s="41"/>
      <c r="AN1362" s="41"/>
      <c r="AO1362" s="41"/>
      <c r="AP1362" s="41"/>
      <c r="AQ1362" s="41"/>
    </row>
    <row r="1363">
      <c r="A1363" s="41"/>
      <c r="B1363" s="41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1"/>
      <c r="Q1363" s="41"/>
      <c r="R1363" s="41"/>
      <c r="S1363" s="41"/>
      <c r="T1363" s="41"/>
      <c r="U1363" s="41"/>
      <c r="V1363" s="41"/>
      <c r="W1363" s="41"/>
      <c r="X1363" s="41"/>
      <c r="Y1363" s="41"/>
      <c r="Z1363" s="41"/>
      <c r="AA1363" s="41"/>
      <c r="AB1363" s="41"/>
      <c r="AC1363" s="41"/>
      <c r="AD1363" s="41"/>
      <c r="AE1363" s="41"/>
      <c r="AF1363" s="41"/>
      <c r="AG1363" s="41"/>
      <c r="AH1363" s="41"/>
      <c r="AI1363" s="41"/>
      <c r="AJ1363" s="41"/>
      <c r="AK1363" s="41"/>
      <c r="AL1363" s="41"/>
      <c r="AM1363" s="41"/>
      <c r="AN1363" s="41"/>
      <c r="AO1363" s="41"/>
      <c r="AP1363" s="41"/>
      <c r="AQ1363" s="41"/>
    </row>
    <row r="1364">
      <c r="A1364" s="41"/>
      <c r="B1364" s="41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1"/>
      <c r="U1364" s="41"/>
      <c r="V1364" s="41"/>
      <c r="W1364" s="41"/>
      <c r="X1364" s="41"/>
      <c r="Y1364" s="41"/>
      <c r="Z1364" s="41"/>
      <c r="AA1364" s="41"/>
      <c r="AB1364" s="41"/>
      <c r="AC1364" s="41"/>
      <c r="AD1364" s="41"/>
      <c r="AE1364" s="41"/>
      <c r="AF1364" s="41"/>
      <c r="AG1364" s="41"/>
      <c r="AH1364" s="41"/>
      <c r="AI1364" s="41"/>
      <c r="AJ1364" s="41"/>
      <c r="AK1364" s="41"/>
      <c r="AL1364" s="41"/>
      <c r="AM1364" s="41"/>
      <c r="AN1364" s="41"/>
      <c r="AO1364" s="41"/>
      <c r="AP1364" s="41"/>
      <c r="AQ1364" s="41"/>
    </row>
    <row r="1365">
      <c r="A1365" s="41"/>
      <c r="B1365" s="41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  <c r="AA1365" s="41"/>
      <c r="AB1365" s="41"/>
      <c r="AC1365" s="41"/>
      <c r="AD1365" s="41"/>
      <c r="AE1365" s="41"/>
      <c r="AF1365" s="41"/>
      <c r="AG1365" s="41"/>
      <c r="AH1365" s="41"/>
      <c r="AI1365" s="41"/>
      <c r="AJ1365" s="41"/>
      <c r="AK1365" s="41"/>
      <c r="AL1365" s="41"/>
      <c r="AM1365" s="41"/>
      <c r="AN1365" s="41"/>
      <c r="AO1365" s="41"/>
      <c r="AP1365" s="41"/>
      <c r="AQ1365" s="41"/>
    </row>
    <row r="1366">
      <c r="A1366" s="41"/>
      <c r="B1366" s="41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  <c r="AA1366" s="41"/>
      <c r="AB1366" s="41"/>
      <c r="AC1366" s="41"/>
      <c r="AD1366" s="41"/>
      <c r="AE1366" s="41"/>
      <c r="AF1366" s="41"/>
      <c r="AG1366" s="41"/>
      <c r="AH1366" s="41"/>
      <c r="AI1366" s="41"/>
      <c r="AJ1366" s="41"/>
      <c r="AK1366" s="41"/>
      <c r="AL1366" s="41"/>
      <c r="AM1366" s="41"/>
      <c r="AN1366" s="41"/>
      <c r="AO1366" s="41"/>
      <c r="AP1366" s="41"/>
      <c r="AQ1366" s="41"/>
    </row>
    <row r="1367">
      <c r="A1367" s="41"/>
      <c r="B1367" s="41"/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41"/>
      <c r="Q1367" s="41"/>
      <c r="R1367" s="41"/>
      <c r="S1367" s="41"/>
      <c r="T1367" s="41"/>
      <c r="U1367" s="41"/>
      <c r="V1367" s="41"/>
      <c r="W1367" s="41"/>
      <c r="X1367" s="41"/>
      <c r="Y1367" s="41"/>
      <c r="Z1367" s="41"/>
      <c r="AA1367" s="41"/>
      <c r="AB1367" s="41"/>
      <c r="AC1367" s="41"/>
      <c r="AD1367" s="41"/>
      <c r="AE1367" s="41"/>
      <c r="AF1367" s="41"/>
      <c r="AG1367" s="41"/>
      <c r="AH1367" s="41"/>
      <c r="AI1367" s="41"/>
      <c r="AJ1367" s="41"/>
      <c r="AK1367" s="41"/>
      <c r="AL1367" s="41"/>
      <c r="AM1367" s="41"/>
      <c r="AN1367" s="41"/>
      <c r="AO1367" s="41"/>
      <c r="AP1367" s="41"/>
      <c r="AQ1367" s="41"/>
    </row>
    <row r="1368">
      <c r="A1368" s="41"/>
      <c r="B1368" s="41"/>
      <c r="C1368" s="41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41"/>
      <c r="Q1368" s="41"/>
      <c r="R1368" s="41"/>
      <c r="S1368" s="41"/>
      <c r="T1368" s="41"/>
      <c r="U1368" s="41"/>
      <c r="V1368" s="41"/>
      <c r="W1368" s="41"/>
      <c r="X1368" s="41"/>
      <c r="Y1368" s="41"/>
      <c r="Z1368" s="41"/>
      <c r="AA1368" s="41"/>
      <c r="AB1368" s="41"/>
      <c r="AC1368" s="41"/>
      <c r="AD1368" s="41"/>
      <c r="AE1368" s="41"/>
      <c r="AF1368" s="41"/>
      <c r="AG1368" s="41"/>
      <c r="AH1368" s="41"/>
      <c r="AI1368" s="41"/>
      <c r="AJ1368" s="41"/>
      <c r="AK1368" s="41"/>
      <c r="AL1368" s="41"/>
      <c r="AM1368" s="41"/>
      <c r="AN1368" s="41"/>
      <c r="AO1368" s="41"/>
      <c r="AP1368" s="41"/>
      <c r="AQ1368" s="41"/>
    </row>
    <row r="1369">
      <c r="A1369" s="41"/>
      <c r="B1369" s="41"/>
      <c r="C1369" s="41"/>
      <c r="D1369" s="41"/>
      <c r="E1369" s="41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41"/>
      <c r="Q1369" s="41"/>
      <c r="R1369" s="41"/>
      <c r="S1369" s="41"/>
      <c r="T1369" s="41"/>
      <c r="U1369" s="41"/>
      <c r="V1369" s="41"/>
      <c r="W1369" s="41"/>
      <c r="X1369" s="41"/>
      <c r="Y1369" s="41"/>
      <c r="Z1369" s="41"/>
      <c r="AA1369" s="41"/>
      <c r="AB1369" s="41"/>
      <c r="AC1369" s="41"/>
      <c r="AD1369" s="41"/>
      <c r="AE1369" s="41"/>
      <c r="AF1369" s="41"/>
      <c r="AG1369" s="41"/>
      <c r="AH1369" s="41"/>
      <c r="AI1369" s="41"/>
      <c r="AJ1369" s="41"/>
      <c r="AK1369" s="41"/>
      <c r="AL1369" s="41"/>
      <c r="AM1369" s="41"/>
      <c r="AN1369" s="41"/>
      <c r="AO1369" s="41"/>
      <c r="AP1369" s="41"/>
      <c r="AQ1369" s="41"/>
    </row>
    <row r="1370">
      <c r="A1370" s="41"/>
      <c r="B1370" s="41"/>
      <c r="C1370" s="41"/>
      <c r="D1370" s="41"/>
      <c r="E1370" s="41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41"/>
      <c r="Q1370" s="41"/>
      <c r="R1370" s="41"/>
      <c r="S1370" s="41"/>
      <c r="T1370" s="41"/>
      <c r="U1370" s="41"/>
      <c r="V1370" s="41"/>
      <c r="W1370" s="41"/>
      <c r="X1370" s="41"/>
      <c r="Y1370" s="41"/>
      <c r="Z1370" s="41"/>
      <c r="AA1370" s="41"/>
      <c r="AB1370" s="41"/>
      <c r="AC1370" s="41"/>
      <c r="AD1370" s="41"/>
      <c r="AE1370" s="41"/>
      <c r="AF1370" s="41"/>
      <c r="AG1370" s="41"/>
      <c r="AH1370" s="41"/>
      <c r="AI1370" s="41"/>
      <c r="AJ1370" s="41"/>
      <c r="AK1370" s="41"/>
      <c r="AL1370" s="41"/>
      <c r="AM1370" s="41"/>
      <c r="AN1370" s="41"/>
      <c r="AO1370" s="41"/>
      <c r="AP1370" s="41"/>
      <c r="AQ1370" s="41"/>
    </row>
    <row r="1371">
      <c r="A1371" s="41"/>
      <c r="B1371" s="41"/>
      <c r="C1371" s="41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41"/>
      <c r="W1371" s="41"/>
      <c r="X1371" s="41"/>
      <c r="Y1371" s="41"/>
      <c r="Z1371" s="41"/>
      <c r="AA1371" s="41"/>
      <c r="AB1371" s="41"/>
      <c r="AC1371" s="41"/>
      <c r="AD1371" s="41"/>
      <c r="AE1371" s="41"/>
      <c r="AF1371" s="41"/>
      <c r="AG1371" s="41"/>
      <c r="AH1371" s="41"/>
      <c r="AI1371" s="41"/>
      <c r="AJ1371" s="41"/>
      <c r="AK1371" s="41"/>
      <c r="AL1371" s="41"/>
      <c r="AM1371" s="41"/>
      <c r="AN1371" s="41"/>
      <c r="AO1371" s="41"/>
      <c r="AP1371" s="41"/>
      <c r="AQ1371" s="41"/>
    </row>
    <row r="1372">
      <c r="A1372" s="41"/>
      <c r="B1372" s="41"/>
      <c r="C1372" s="41"/>
      <c r="D1372" s="41"/>
      <c r="E1372" s="41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41"/>
      <c r="Q1372" s="41"/>
      <c r="R1372" s="41"/>
      <c r="S1372" s="41"/>
      <c r="T1372" s="41"/>
      <c r="U1372" s="41"/>
      <c r="V1372" s="41"/>
      <c r="W1372" s="41"/>
      <c r="X1372" s="41"/>
      <c r="Y1372" s="41"/>
      <c r="Z1372" s="41"/>
      <c r="AA1372" s="41"/>
      <c r="AB1372" s="41"/>
      <c r="AC1372" s="41"/>
      <c r="AD1372" s="41"/>
      <c r="AE1372" s="41"/>
      <c r="AF1372" s="41"/>
      <c r="AG1372" s="41"/>
      <c r="AH1372" s="41"/>
      <c r="AI1372" s="41"/>
      <c r="AJ1372" s="41"/>
      <c r="AK1372" s="41"/>
      <c r="AL1372" s="41"/>
      <c r="AM1372" s="41"/>
      <c r="AN1372" s="41"/>
      <c r="AO1372" s="41"/>
      <c r="AP1372" s="41"/>
      <c r="AQ1372" s="41"/>
    </row>
    <row r="1373">
      <c r="A1373" s="41"/>
      <c r="B1373" s="41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41"/>
      <c r="Q1373" s="41"/>
      <c r="R1373" s="41"/>
      <c r="S1373" s="41"/>
      <c r="T1373" s="41"/>
      <c r="U1373" s="41"/>
      <c r="V1373" s="41"/>
      <c r="W1373" s="41"/>
      <c r="X1373" s="41"/>
      <c r="Y1373" s="41"/>
      <c r="Z1373" s="41"/>
      <c r="AA1373" s="41"/>
      <c r="AB1373" s="41"/>
      <c r="AC1373" s="41"/>
      <c r="AD1373" s="41"/>
      <c r="AE1373" s="41"/>
      <c r="AF1373" s="41"/>
      <c r="AG1373" s="41"/>
      <c r="AH1373" s="41"/>
      <c r="AI1373" s="41"/>
      <c r="AJ1373" s="41"/>
      <c r="AK1373" s="41"/>
      <c r="AL1373" s="41"/>
      <c r="AM1373" s="41"/>
      <c r="AN1373" s="41"/>
      <c r="AO1373" s="41"/>
      <c r="AP1373" s="41"/>
      <c r="AQ1373" s="41"/>
    </row>
    <row r="1374">
      <c r="A1374" s="41"/>
      <c r="B1374" s="41"/>
      <c r="C1374" s="41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41"/>
      <c r="Q1374" s="41"/>
      <c r="R1374" s="41"/>
      <c r="S1374" s="41"/>
      <c r="T1374" s="41"/>
      <c r="U1374" s="41"/>
      <c r="V1374" s="41"/>
      <c r="W1374" s="41"/>
      <c r="X1374" s="41"/>
      <c r="Y1374" s="41"/>
      <c r="Z1374" s="41"/>
      <c r="AA1374" s="41"/>
      <c r="AB1374" s="41"/>
      <c r="AC1374" s="41"/>
      <c r="AD1374" s="41"/>
      <c r="AE1374" s="41"/>
      <c r="AF1374" s="41"/>
      <c r="AG1374" s="41"/>
      <c r="AH1374" s="41"/>
      <c r="AI1374" s="41"/>
      <c r="AJ1374" s="41"/>
      <c r="AK1374" s="41"/>
      <c r="AL1374" s="41"/>
      <c r="AM1374" s="41"/>
      <c r="AN1374" s="41"/>
      <c r="AO1374" s="41"/>
      <c r="AP1374" s="41"/>
      <c r="AQ1374" s="41"/>
    </row>
    <row r="1375">
      <c r="A1375" s="41"/>
      <c r="B1375" s="41"/>
      <c r="C1375" s="41"/>
      <c r="D1375" s="41"/>
      <c r="E1375" s="41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41"/>
      <c r="Q1375" s="41"/>
      <c r="R1375" s="41"/>
      <c r="S1375" s="41"/>
      <c r="T1375" s="41"/>
      <c r="U1375" s="41"/>
      <c r="V1375" s="41"/>
      <c r="W1375" s="41"/>
      <c r="X1375" s="41"/>
      <c r="Y1375" s="41"/>
      <c r="Z1375" s="41"/>
      <c r="AA1375" s="41"/>
      <c r="AB1375" s="41"/>
      <c r="AC1375" s="41"/>
      <c r="AD1375" s="41"/>
      <c r="AE1375" s="41"/>
      <c r="AF1375" s="41"/>
      <c r="AG1375" s="41"/>
      <c r="AH1375" s="41"/>
      <c r="AI1375" s="41"/>
      <c r="AJ1375" s="41"/>
      <c r="AK1375" s="41"/>
      <c r="AL1375" s="41"/>
      <c r="AM1375" s="41"/>
      <c r="AN1375" s="41"/>
      <c r="AO1375" s="41"/>
      <c r="AP1375" s="41"/>
      <c r="AQ1375" s="41"/>
    </row>
    <row r="1376">
      <c r="A1376" s="41"/>
      <c r="B1376" s="41"/>
      <c r="C1376" s="41"/>
      <c r="D1376" s="41"/>
      <c r="E1376" s="41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  <c r="Q1376" s="41"/>
      <c r="R1376" s="41"/>
      <c r="S1376" s="41"/>
      <c r="T1376" s="41"/>
      <c r="U1376" s="41"/>
      <c r="V1376" s="41"/>
      <c r="W1376" s="41"/>
      <c r="X1376" s="41"/>
      <c r="Y1376" s="41"/>
      <c r="Z1376" s="41"/>
      <c r="AA1376" s="41"/>
      <c r="AB1376" s="41"/>
      <c r="AC1376" s="41"/>
      <c r="AD1376" s="41"/>
      <c r="AE1376" s="41"/>
      <c r="AF1376" s="41"/>
      <c r="AG1376" s="41"/>
      <c r="AH1376" s="41"/>
      <c r="AI1376" s="41"/>
      <c r="AJ1376" s="41"/>
      <c r="AK1376" s="41"/>
      <c r="AL1376" s="41"/>
      <c r="AM1376" s="41"/>
      <c r="AN1376" s="41"/>
      <c r="AO1376" s="41"/>
      <c r="AP1376" s="41"/>
      <c r="AQ1376" s="41"/>
    </row>
    <row r="1377">
      <c r="A1377" s="41"/>
      <c r="B1377" s="41"/>
      <c r="C1377" s="41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41"/>
      <c r="Q1377" s="41"/>
      <c r="R1377" s="41"/>
      <c r="S1377" s="41"/>
      <c r="T1377" s="41"/>
      <c r="U1377" s="41"/>
      <c r="V1377" s="41"/>
      <c r="W1377" s="41"/>
      <c r="X1377" s="41"/>
      <c r="Y1377" s="41"/>
      <c r="Z1377" s="41"/>
      <c r="AA1377" s="41"/>
      <c r="AB1377" s="41"/>
      <c r="AC1377" s="41"/>
      <c r="AD1377" s="41"/>
      <c r="AE1377" s="41"/>
      <c r="AF1377" s="41"/>
      <c r="AG1377" s="41"/>
      <c r="AH1377" s="41"/>
      <c r="AI1377" s="41"/>
      <c r="AJ1377" s="41"/>
      <c r="AK1377" s="41"/>
      <c r="AL1377" s="41"/>
      <c r="AM1377" s="41"/>
      <c r="AN1377" s="41"/>
      <c r="AO1377" s="41"/>
      <c r="AP1377" s="41"/>
      <c r="AQ1377" s="41"/>
    </row>
    <row r="1378">
      <c r="A1378" s="41"/>
      <c r="B1378" s="41"/>
      <c r="C1378" s="41"/>
      <c r="D1378" s="41"/>
      <c r="E1378" s="41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  <c r="Q1378" s="41"/>
      <c r="R1378" s="41"/>
      <c r="S1378" s="41"/>
      <c r="T1378" s="41"/>
      <c r="U1378" s="41"/>
      <c r="V1378" s="41"/>
      <c r="W1378" s="41"/>
      <c r="X1378" s="41"/>
      <c r="Y1378" s="41"/>
      <c r="Z1378" s="41"/>
      <c r="AA1378" s="41"/>
      <c r="AB1378" s="41"/>
      <c r="AC1378" s="41"/>
      <c r="AD1378" s="41"/>
      <c r="AE1378" s="41"/>
      <c r="AF1378" s="41"/>
      <c r="AG1378" s="41"/>
      <c r="AH1378" s="41"/>
      <c r="AI1378" s="41"/>
      <c r="AJ1378" s="41"/>
      <c r="AK1378" s="41"/>
      <c r="AL1378" s="41"/>
      <c r="AM1378" s="41"/>
      <c r="AN1378" s="41"/>
      <c r="AO1378" s="41"/>
      <c r="AP1378" s="41"/>
      <c r="AQ1378" s="41"/>
    </row>
    <row r="1379">
      <c r="A1379" s="41"/>
      <c r="B1379" s="41"/>
      <c r="C1379" s="41"/>
      <c r="D1379" s="41"/>
      <c r="E1379" s="41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41"/>
      <c r="Q1379" s="41"/>
      <c r="R1379" s="41"/>
      <c r="S1379" s="41"/>
      <c r="T1379" s="41"/>
      <c r="U1379" s="41"/>
      <c r="V1379" s="41"/>
      <c r="W1379" s="41"/>
      <c r="X1379" s="41"/>
      <c r="Y1379" s="41"/>
      <c r="Z1379" s="41"/>
      <c r="AA1379" s="41"/>
      <c r="AB1379" s="41"/>
      <c r="AC1379" s="41"/>
      <c r="AD1379" s="41"/>
      <c r="AE1379" s="41"/>
      <c r="AF1379" s="41"/>
      <c r="AG1379" s="41"/>
      <c r="AH1379" s="41"/>
      <c r="AI1379" s="41"/>
      <c r="AJ1379" s="41"/>
      <c r="AK1379" s="41"/>
      <c r="AL1379" s="41"/>
      <c r="AM1379" s="41"/>
      <c r="AN1379" s="41"/>
      <c r="AO1379" s="41"/>
      <c r="AP1379" s="41"/>
      <c r="AQ1379" s="41"/>
    </row>
    <row r="1380">
      <c r="A1380" s="41"/>
      <c r="B1380" s="41"/>
      <c r="C1380" s="41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41"/>
      <c r="Q1380" s="41"/>
      <c r="R1380" s="41"/>
      <c r="S1380" s="41"/>
      <c r="T1380" s="41"/>
      <c r="U1380" s="41"/>
      <c r="V1380" s="41"/>
      <c r="W1380" s="41"/>
      <c r="X1380" s="41"/>
      <c r="Y1380" s="41"/>
      <c r="Z1380" s="41"/>
      <c r="AA1380" s="41"/>
      <c r="AB1380" s="41"/>
      <c r="AC1380" s="41"/>
      <c r="AD1380" s="41"/>
      <c r="AE1380" s="41"/>
      <c r="AF1380" s="41"/>
      <c r="AG1380" s="41"/>
      <c r="AH1380" s="41"/>
      <c r="AI1380" s="41"/>
      <c r="AJ1380" s="41"/>
      <c r="AK1380" s="41"/>
      <c r="AL1380" s="41"/>
      <c r="AM1380" s="41"/>
      <c r="AN1380" s="41"/>
      <c r="AO1380" s="41"/>
      <c r="AP1380" s="41"/>
      <c r="AQ1380" s="41"/>
    </row>
    <row r="1381">
      <c r="A1381" s="41"/>
      <c r="B1381" s="41"/>
      <c r="C1381" s="41"/>
      <c r="D1381" s="41"/>
      <c r="E1381" s="41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41"/>
      <c r="Q1381" s="41"/>
      <c r="R1381" s="41"/>
      <c r="S1381" s="41"/>
      <c r="T1381" s="41"/>
      <c r="U1381" s="41"/>
      <c r="V1381" s="41"/>
      <c r="W1381" s="41"/>
      <c r="X1381" s="41"/>
      <c r="Y1381" s="41"/>
      <c r="Z1381" s="41"/>
      <c r="AA1381" s="41"/>
      <c r="AB1381" s="41"/>
      <c r="AC1381" s="41"/>
      <c r="AD1381" s="41"/>
      <c r="AE1381" s="41"/>
      <c r="AF1381" s="41"/>
      <c r="AG1381" s="41"/>
      <c r="AH1381" s="41"/>
      <c r="AI1381" s="41"/>
      <c r="AJ1381" s="41"/>
      <c r="AK1381" s="41"/>
      <c r="AL1381" s="41"/>
      <c r="AM1381" s="41"/>
      <c r="AN1381" s="41"/>
      <c r="AO1381" s="41"/>
      <c r="AP1381" s="41"/>
      <c r="AQ1381" s="41"/>
    </row>
    <row r="1382">
      <c r="A1382" s="41"/>
      <c r="B1382" s="41"/>
      <c r="C1382" s="41"/>
      <c r="D1382" s="41"/>
      <c r="E1382" s="41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41"/>
      <c r="Q1382" s="41"/>
      <c r="R1382" s="41"/>
      <c r="S1382" s="41"/>
      <c r="T1382" s="41"/>
      <c r="U1382" s="41"/>
      <c r="V1382" s="41"/>
      <c r="W1382" s="41"/>
      <c r="X1382" s="41"/>
      <c r="Y1382" s="41"/>
      <c r="Z1382" s="41"/>
      <c r="AA1382" s="41"/>
      <c r="AB1382" s="41"/>
      <c r="AC1382" s="41"/>
      <c r="AD1382" s="41"/>
      <c r="AE1382" s="41"/>
      <c r="AF1382" s="41"/>
      <c r="AG1382" s="41"/>
      <c r="AH1382" s="41"/>
      <c r="AI1382" s="41"/>
      <c r="AJ1382" s="41"/>
      <c r="AK1382" s="41"/>
      <c r="AL1382" s="41"/>
      <c r="AM1382" s="41"/>
      <c r="AN1382" s="41"/>
      <c r="AO1382" s="41"/>
      <c r="AP1382" s="41"/>
      <c r="AQ1382" s="41"/>
    </row>
    <row r="1383">
      <c r="A1383" s="41"/>
      <c r="B1383" s="41"/>
      <c r="C1383" s="41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  <c r="AA1383" s="41"/>
      <c r="AB1383" s="41"/>
      <c r="AC1383" s="41"/>
      <c r="AD1383" s="41"/>
      <c r="AE1383" s="41"/>
      <c r="AF1383" s="41"/>
      <c r="AG1383" s="41"/>
      <c r="AH1383" s="41"/>
      <c r="AI1383" s="41"/>
      <c r="AJ1383" s="41"/>
      <c r="AK1383" s="41"/>
      <c r="AL1383" s="41"/>
      <c r="AM1383" s="41"/>
      <c r="AN1383" s="41"/>
      <c r="AO1383" s="41"/>
      <c r="AP1383" s="41"/>
      <c r="AQ1383" s="41"/>
    </row>
    <row r="1384">
      <c r="A1384" s="41"/>
      <c r="B1384" s="41"/>
      <c r="C1384" s="41"/>
      <c r="D1384" s="41"/>
      <c r="E1384" s="41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  <c r="AA1384" s="41"/>
      <c r="AB1384" s="41"/>
      <c r="AC1384" s="41"/>
      <c r="AD1384" s="41"/>
      <c r="AE1384" s="41"/>
      <c r="AF1384" s="41"/>
      <c r="AG1384" s="41"/>
      <c r="AH1384" s="41"/>
      <c r="AI1384" s="41"/>
      <c r="AJ1384" s="41"/>
      <c r="AK1384" s="41"/>
      <c r="AL1384" s="41"/>
      <c r="AM1384" s="41"/>
      <c r="AN1384" s="41"/>
      <c r="AO1384" s="41"/>
      <c r="AP1384" s="41"/>
      <c r="AQ1384" s="41"/>
    </row>
    <row r="1385">
      <c r="A1385" s="41"/>
      <c r="B1385" s="41"/>
      <c r="C1385" s="41"/>
      <c r="D1385" s="41"/>
      <c r="E1385" s="41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41"/>
      <c r="Q1385" s="41"/>
      <c r="R1385" s="41"/>
      <c r="S1385" s="41"/>
      <c r="T1385" s="41"/>
      <c r="U1385" s="41"/>
      <c r="V1385" s="41"/>
      <c r="W1385" s="41"/>
      <c r="X1385" s="41"/>
      <c r="Y1385" s="41"/>
      <c r="Z1385" s="41"/>
      <c r="AA1385" s="41"/>
      <c r="AB1385" s="41"/>
      <c r="AC1385" s="41"/>
      <c r="AD1385" s="41"/>
      <c r="AE1385" s="41"/>
      <c r="AF1385" s="41"/>
      <c r="AG1385" s="41"/>
      <c r="AH1385" s="41"/>
      <c r="AI1385" s="41"/>
      <c r="AJ1385" s="41"/>
      <c r="AK1385" s="41"/>
      <c r="AL1385" s="41"/>
      <c r="AM1385" s="41"/>
      <c r="AN1385" s="41"/>
      <c r="AO1385" s="41"/>
      <c r="AP1385" s="41"/>
      <c r="AQ1385" s="41"/>
    </row>
    <row r="1386">
      <c r="A1386" s="41"/>
      <c r="B1386" s="41"/>
      <c r="C1386" s="41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41"/>
      <c r="Q1386" s="41"/>
      <c r="R1386" s="41"/>
      <c r="S1386" s="41"/>
      <c r="T1386" s="41"/>
      <c r="U1386" s="41"/>
      <c r="V1386" s="41"/>
      <c r="W1386" s="41"/>
      <c r="X1386" s="41"/>
      <c r="Y1386" s="41"/>
      <c r="Z1386" s="41"/>
      <c r="AA1386" s="41"/>
      <c r="AB1386" s="41"/>
      <c r="AC1386" s="41"/>
      <c r="AD1386" s="41"/>
      <c r="AE1386" s="41"/>
      <c r="AF1386" s="41"/>
      <c r="AG1386" s="41"/>
      <c r="AH1386" s="41"/>
      <c r="AI1386" s="41"/>
      <c r="AJ1386" s="41"/>
      <c r="AK1386" s="41"/>
      <c r="AL1386" s="41"/>
      <c r="AM1386" s="41"/>
      <c r="AN1386" s="41"/>
      <c r="AO1386" s="41"/>
      <c r="AP1386" s="41"/>
      <c r="AQ1386" s="41"/>
    </row>
    <row r="1387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  <c r="AM1387" s="41"/>
      <c r="AN1387" s="41"/>
      <c r="AO1387" s="41"/>
      <c r="AP1387" s="41"/>
      <c r="AQ1387" s="41"/>
    </row>
    <row r="1388">
      <c r="A1388" s="41"/>
      <c r="B1388" s="41"/>
      <c r="C1388" s="41"/>
      <c r="D1388" s="41"/>
      <c r="E1388" s="41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  <c r="Q1388" s="41"/>
      <c r="R1388" s="41"/>
      <c r="S1388" s="41"/>
      <c r="T1388" s="41"/>
      <c r="U1388" s="41"/>
      <c r="V1388" s="41"/>
      <c r="W1388" s="41"/>
      <c r="X1388" s="41"/>
      <c r="Y1388" s="41"/>
      <c r="Z1388" s="41"/>
      <c r="AA1388" s="41"/>
      <c r="AB1388" s="41"/>
      <c r="AC1388" s="41"/>
      <c r="AD1388" s="41"/>
      <c r="AE1388" s="41"/>
      <c r="AF1388" s="41"/>
      <c r="AG1388" s="41"/>
      <c r="AH1388" s="41"/>
      <c r="AI1388" s="41"/>
      <c r="AJ1388" s="41"/>
      <c r="AK1388" s="41"/>
      <c r="AL1388" s="41"/>
      <c r="AM1388" s="41"/>
      <c r="AN1388" s="41"/>
      <c r="AO1388" s="41"/>
      <c r="AP1388" s="41"/>
      <c r="AQ1388" s="41"/>
    </row>
    <row r="1389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  <c r="AM1389" s="41"/>
      <c r="AN1389" s="41"/>
      <c r="AO1389" s="41"/>
      <c r="AP1389" s="41"/>
      <c r="AQ1389" s="41"/>
    </row>
    <row r="1390">
      <c r="A1390" s="41"/>
      <c r="B1390" s="41"/>
      <c r="C1390" s="41"/>
      <c r="D1390" s="41"/>
      <c r="E1390" s="41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41"/>
      <c r="Q1390" s="41"/>
      <c r="R1390" s="41"/>
      <c r="S1390" s="41"/>
      <c r="T1390" s="41"/>
      <c r="U1390" s="41"/>
      <c r="V1390" s="41"/>
      <c r="W1390" s="41"/>
      <c r="X1390" s="41"/>
      <c r="Y1390" s="41"/>
      <c r="Z1390" s="41"/>
      <c r="AA1390" s="41"/>
      <c r="AB1390" s="41"/>
      <c r="AC1390" s="41"/>
      <c r="AD1390" s="41"/>
      <c r="AE1390" s="41"/>
      <c r="AF1390" s="41"/>
      <c r="AG1390" s="41"/>
      <c r="AH1390" s="41"/>
      <c r="AI1390" s="41"/>
      <c r="AJ1390" s="41"/>
      <c r="AK1390" s="41"/>
      <c r="AL1390" s="41"/>
      <c r="AM1390" s="41"/>
      <c r="AN1390" s="41"/>
      <c r="AO1390" s="41"/>
      <c r="AP1390" s="41"/>
      <c r="AQ1390" s="41"/>
    </row>
    <row r="1391">
      <c r="A1391" s="41"/>
      <c r="B1391" s="41"/>
      <c r="C1391" s="41"/>
      <c r="D1391" s="41"/>
      <c r="E1391" s="41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  <c r="Q1391" s="41"/>
      <c r="R1391" s="41"/>
      <c r="S1391" s="41"/>
      <c r="T1391" s="41"/>
      <c r="U1391" s="41"/>
      <c r="V1391" s="41"/>
      <c r="W1391" s="41"/>
      <c r="X1391" s="41"/>
      <c r="Y1391" s="41"/>
      <c r="Z1391" s="41"/>
      <c r="AA1391" s="41"/>
      <c r="AB1391" s="41"/>
      <c r="AC1391" s="41"/>
      <c r="AD1391" s="41"/>
      <c r="AE1391" s="41"/>
      <c r="AF1391" s="41"/>
      <c r="AG1391" s="41"/>
      <c r="AH1391" s="41"/>
      <c r="AI1391" s="41"/>
      <c r="AJ1391" s="41"/>
      <c r="AK1391" s="41"/>
      <c r="AL1391" s="41"/>
      <c r="AM1391" s="41"/>
      <c r="AN1391" s="41"/>
      <c r="AO1391" s="41"/>
      <c r="AP1391" s="41"/>
      <c r="AQ1391" s="41"/>
    </row>
    <row r="1392">
      <c r="A1392" s="41"/>
      <c r="B1392" s="41"/>
      <c r="C1392" s="41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41"/>
      <c r="Q1392" s="41"/>
      <c r="R1392" s="41"/>
      <c r="S1392" s="41"/>
      <c r="T1392" s="41"/>
      <c r="U1392" s="41"/>
      <c r="V1392" s="41"/>
      <c r="W1392" s="41"/>
      <c r="X1392" s="41"/>
      <c r="Y1392" s="41"/>
      <c r="Z1392" s="41"/>
      <c r="AA1392" s="41"/>
      <c r="AB1392" s="41"/>
      <c r="AC1392" s="41"/>
      <c r="AD1392" s="41"/>
      <c r="AE1392" s="41"/>
      <c r="AF1392" s="41"/>
      <c r="AG1392" s="41"/>
      <c r="AH1392" s="41"/>
      <c r="AI1392" s="41"/>
      <c r="AJ1392" s="41"/>
      <c r="AK1392" s="41"/>
      <c r="AL1392" s="41"/>
      <c r="AM1392" s="41"/>
      <c r="AN1392" s="41"/>
      <c r="AO1392" s="41"/>
      <c r="AP1392" s="41"/>
      <c r="AQ1392" s="41"/>
    </row>
    <row r="1393">
      <c r="A1393" s="41"/>
      <c r="B1393" s="41"/>
      <c r="C1393" s="41"/>
      <c r="D1393" s="41"/>
      <c r="E1393" s="41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41"/>
      <c r="Q1393" s="41"/>
      <c r="R1393" s="41"/>
      <c r="S1393" s="41"/>
      <c r="T1393" s="41"/>
      <c r="U1393" s="41"/>
      <c r="V1393" s="41"/>
      <c r="W1393" s="41"/>
      <c r="X1393" s="41"/>
      <c r="Y1393" s="41"/>
      <c r="Z1393" s="41"/>
      <c r="AA1393" s="41"/>
      <c r="AB1393" s="41"/>
      <c r="AC1393" s="41"/>
      <c r="AD1393" s="41"/>
      <c r="AE1393" s="41"/>
      <c r="AF1393" s="41"/>
      <c r="AG1393" s="41"/>
      <c r="AH1393" s="41"/>
      <c r="AI1393" s="41"/>
      <c r="AJ1393" s="41"/>
      <c r="AK1393" s="41"/>
      <c r="AL1393" s="41"/>
      <c r="AM1393" s="41"/>
      <c r="AN1393" s="41"/>
      <c r="AO1393" s="41"/>
      <c r="AP1393" s="41"/>
      <c r="AQ1393" s="41"/>
    </row>
    <row r="1394">
      <c r="A1394" s="41"/>
      <c r="B1394" s="41"/>
      <c r="C1394" s="41"/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41"/>
      <c r="Q1394" s="41"/>
      <c r="R1394" s="41"/>
      <c r="S1394" s="41"/>
      <c r="T1394" s="41"/>
      <c r="U1394" s="41"/>
      <c r="V1394" s="41"/>
      <c r="W1394" s="41"/>
      <c r="X1394" s="41"/>
      <c r="Y1394" s="41"/>
      <c r="Z1394" s="41"/>
      <c r="AA1394" s="41"/>
      <c r="AB1394" s="41"/>
      <c r="AC1394" s="41"/>
      <c r="AD1394" s="41"/>
      <c r="AE1394" s="41"/>
      <c r="AF1394" s="41"/>
      <c r="AG1394" s="41"/>
      <c r="AH1394" s="41"/>
      <c r="AI1394" s="41"/>
      <c r="AJ1394" s="41"/>
      <c r="AK1394" s="41"/>
      <c r="AL1394" s="41"/>
      <c r="AM1394" s="41"/>
      <c r="AN1394" s="41"/>
      <c r="AO1394" s="41"/>
      <c r="AP1394" s="41"/>
      <c r="AQ1394" s="41"/>
    </row>
    <row r="1395">
      <c r="A1395" s="41"/>
      <c r="B1395" s="41"/>
      <c r="C1395" s="41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41"/>
      <c r="Q1395" s="41"/>
      <c r="R1395" s="41"/>
      <c r="S1395" s="41"/>
      <c r="T1395" s="41"/>
      <c r="U1395" s="41"/>
      <c r="V1395" s="41"/>
      <c r="W1395" s="41"/>
      <c r="X1395" s="41"/>
      <c r="Y1395" s="41"/>
      <c r="Z1395" s="41"/>
      <c r="AA1395" s="41"/>
      <c r="AB1395" s="41"/>
      <c r="AC1395" s="41"/>
      <c r="AD1395" s="41"/>
      <c r="AE1395" s="41"/>
      <c r="AF1395" s="41"/>
      <c r="AG1395" s="41"/>
      <c r="AH1395" s="41"/>
      <c r="AI1395" s="41"/>
      <c r="AJ1395" s="41"/>
      <c r="AK1395" s="41"/>
      <c r="AL1395" s="41"/>
      <c r="AM1395" s="41"/>
      <c r="AN1395" s="41"/>
      <c r="AO1395" s="41"/>
      <c r="AP1395" s="41"/>
      <c r="AQ1395" s="41"/>
    </row>
    <row r="1396">
      <c r="A1396" s="41"/>
      <c r="B1396" s="41"/>
      <c r="C1396" s="41"/>
      <c r="D1396" s="41"/>
      <c r="E1396" s="41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41"/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  <c r="AA1396" s="41"/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/>
      <c r="AN1396" s="41"/>
      <c r="AO1396" s="41"/>
      <c r="AP1396" s="41"/>
      <c r="AQ1396" s="41"/>
    </row>
    <row r="1397">
      <c r="A1397" s="41"/>
      <c r="B1397" s="41"/>
      <c r="C1397" s="41"/>
      <c r="D1397" s="41"/>
      <c r="E1397" s="41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41"/>
      <c r="Q1397" s="41"/>
      <c r="R1397" s="41"/>
      <c r="S1397" s="41"/>
      <c r="T1397" s="41"/>
      <c r="U1397" s="41"/>
      <c r="V1397" s="41"/>
      <c r="W1397" s="41"/>
      <c r="X1397" s="41"/>
      <c r="Y1397" s="41"/>
      <c r="Z1397" s="41"/>
      <c r="AA1397" s="41"/>
      <c r="AB1397" s="41"/>
      <c r="AC1397" s="41"/>
      <c r="AD1397" s="41"/>
      <c r="AE1397" s="41"/>
      <c r="AF1397" s="41"/>
      <c r="AG1397" s="41"/>
      <c r="AH1397" s="41"/>
      <c r="AI1397" s="41"/>
      <c r="AJ1397" s="41"/>
      <c r="AK1397" s="41"/>
      <c r="AL1397" s="41"/>
      <c r="AM1397" s="41"/>
      <c r="AN1397" s="41"/>
      <c r="AO1397" s="41"/>
      <c r="AP1397" s="41"/>
      <c r="AQ1397" s="41"/>
    </row>
    <row r="1398">
      <c r="A1398" s="41"/>
      <c r="B1398" s="41"/>
      <c r="C1398" s="41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41"/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  <c r="AA1398" s="41"/>
      <c r="AB1398" s="41"/>
      <c r="AC1398" s="41"/>
      <c r="AD1398" s="41"/>
      <c r="AE1398" s="41"/>
      <c r="AF1398" s="41"/>
      <c r="AG1398" s="41"/>
      <c r="AH1398" s="41"/>
      <c r="AI1398" s="41"/>
      <c r="AJ1398" s="41"/>
      <c r="AK1398" s="41"/>
      <c r="AL1398" s="41"/>
      <c r="AM1398" s="41"/>
      <c r="AN1398" s="41"/>
      <c r="AO1398" s="41"/>
      <c r="AP1398" s="41"/>
      <c r="AQ1398" s="41"/>
    </row>
    <row r="1399">
      <c r="A1399" s="41"/>
      <c r="B1399" s="41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1"/>
      <c r="U1399" s="41"/>
      <c r="V1399" s="41"/>
      <c r="W1399" s="41"/>
      <c r="X1399" s="41"/>
      <c r="Y1399" s="41"/>
      <c r="Z1399" s="41"/>
      <c r="AA1399" s="41"/>
      <c r="AB1399" s="41"/>
      <c r="AC1399" s="41"/>
      <c r="AD1399" s="41"/>
      <c r="AE1399" s="41"/>
      <c r="AF1399" s="41"/>
      <c r="AG1399" s="41"/>
      <c r="AH1399" s="41"/>
      <c r="AI1399" s="41"/>
      <c r="AJ1399" s="41"/>
      <c r="AK1399" s="41"/>
      <c r="AL1399" s="41"/>
      <c r="AM1399" s="41"/>
      <c r="AN1399" s="41"/>
      <c r="AO1399" s="41"/>
      <c r="AP1399" s="41"/>
      <c r="AQ1399" s="41"/>
    </row>
    <row r="1400">
      <c r="A1400" s="41"/>
      <c r="B1400" s="41"/>
      <c r="C1400" s="41"/>
      <c r="D1400" s="41"/>
      <c r="E1400" s="41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41"/>
      <c r="Q1400" s="41"/>
      <c r="R1400" s="41"/>
      <c r="S1400" s="41"/>
      <c r="T1400" s="41"/>
      <c r="U1400" s="41"/>
      <c r="V1400" s="41"/>
      <c r="W1400" s="41"/>
      <c r="X1400" s="41"/>
      <c r="Y1400" s="41"/>
      <c r="Z1400" s="41"/>
      <c r="AA1400" s="41"/>
      <c r="AB1400" s="41"/>
      <c r="AC1400" s="41"/>
      <c r="AD1400" s="41"/>
      <c r="AE1400" s="41"/>
      <c r="AF1400" s="41"/>
      <c r="AG1400" s="41"/>
      <c r="AH1400" s="41"/>
      <c r="AI1400" s="41"/>
      <c r="AJ1400" s="41"/>
      <c r="AK1400" s="41"/>
      <c r="AL1400" s="41"/>
      <c r="AM1400" s="41"/>
      <c r="AN1400" s="41"/>
      <c r="AO1400" s="41"/>
      <c r="AP1400" s="41"/>
      <c r="AQ1400" s="41"/>
    </row>
    <row r="1401">
      <c r="A1401" s="41"/>
      <c r="B1401" s="41"/>
      <c r="C1401" s="41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  <c r="AA1401" s="41"/>
      <c r="AB1401" s="41"/>
      <c r="AC1401" s="41"/>
      <c r="AD1401" s="41"/>
      <c r="AE1401" s="41"/>
      <c r="AF1401" s="41"/>
      <c r="AG1401" s="41"/>
      <c r="AH1401" s="41"/>
      <c r="AI1401" s="41"/>
      <c r="AJ1401" s="41"/>
      <c r="AK1401" s="41"/>
      <c r="AL1401" s="41"/>
      <c r="AM1401" s="41"/>
      <c r="AN1401" s="41"/>
      <c r="AO1401" s="41"/>
      <c r="AP1401" s="41"/>
      <c r="AQ1401" s="41"/>
    </row>
    <row r="1402">
      <c r="A1402" s="41"/>
      <c r="B1402" s="41"/>
      <c r="C1402" s="41"/>
      <c r="D1402" s="41"/>
      <c r="E1402" s="41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  <c r="AA1402" s="41"/>
      <c r="AB1402" s="41"/>
      <c r="AC1402" s="41"/>
      <c r="AD1402" s="41"/>
      <c r="AE1402" s="41"/>
      <c r="AF1402" s="41"/>
      <c r="AG1402" s="41"/>
      <c r="AH1402" s="41"/>
      <c r="AI1402" s="41"/>
      <c r="AJ1402" s="41"/>
      <c r="AK1402" s="41"/>
      <c r="AL1402" s="41"/>
      <c r="AM1402" s="41"/>
      <c r="AN1402" s="41"/>
      <c r="AO1402" s="41"/>
      <c r="AP1402" s="41"/>
      <c r="AQ1402" s="41"/>
    </row>
    <row r="1403">
      <c r="A1403" s="41"/>
      <c r="B1403" s="41"/>
      <c r="C1403" s="41"/>
      <c r="D1403" s="41"/>
      <c r="E1403" s="41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41"/>
      <c r="Q1403" s="41"/>
      <c r="R1403" s="41"/>
      <c r="S1403" s="41"/>
      <c r="T1403" s="41"/>
      <c r="U1403" s="41"/>
      <c r="V1403" s="41"/>
      <c r="W1403" s="41"/>
      <c r="X1403" s="41"/>
      <c r="Y1403" s="41"/>
      <c r="Z1403" s="41"/>
      <c r="AA1403" s="41"/>
      <c r="AB1403" s="41"/>
      <c r="AC1403" s="41"/>
      <c r="AD1403" s="41"/>
      <c r="AE1403" s="41"/>
      <c r="AF1403" s="41"/>
      <c r="AG1403" s="41"/>
      <c r="AH1403" s="41"/>
      <c r="AI1403" s="41"/>
      <c r="AJ1403" s="41"/>
      <c r="AK1403" s="41"/>
      <c r="AL1403" s="41"/>
      <c r="AM1403" s="41"/>
      <c r="AN1403" s="41"/>
      <c r="AO1403" s="41"/>
      <c r="AP1403" s="41"/>
      <c r="AQ1403" s="41"/>
    </row>
    <row r="1404">
      <c r="A1404" s="41"/>
      <c r="B1404" s="41"/>
      <c r="C1404" s="41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41"/>
      <c r="Q1404" s="41"/>
      <c r="R1404" s="41"/>
      <c r="S1404" s="41"/>
      <c r="T1404" s="41"/>
      <c r="U1404" s="41"/>
      <c r="V1404" s="41"/>
      <c r="W1404" s="41"/>
      <c r="X1404" s="41"/>
      <c r="Y1404" s="41"/>
      <c r="Z1404" s="41"/>
      <c r="AA1404" s="41"/>
      <c r="AB1404" s="41"/>
      <c r="AC1404" s="41"/>
      <c r="AD1404" s="41"/>
      <c r="AE1404" s="41"/>
      <c r="AF1404" s="41"/>
      <c r="AG1404" s="41"/>
      <c r="AH1404" s="41"/>
      <c r="AI1404" s="41"/>
      <c r="AJ1404" s="41"/>
      <c r="AK1404" s="41"/>
      <c r="AL1404" s="41"/>
      <c r="AM1404" s="41"/>
      <c r="AN1404" s="41"/>
      <c r="AO1404" s="41"/>
      <c r="AP1404" s="41"/>
      <c r="AQ1404" s="41"/>
    </row>
    <row r="1405">
      <c r="A1405" s="41"/>
      <c r="B1405" s="41"/>
      <c r="C1405" s="41"/>
      <c r="D1405" s="41"/>
      <c r="E1405" s="41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41"/>
      <c r="Q1405" s="41"/>
      <c r="R1405" s="41"/>
      <c r="S1405" s="41"/>
      <c r="T1405" s="41"/>
      <c r="U1405" s="41"/>
      <c r="V1405" s="41"/>
      <c r="W1405" s="41"/>
      <c r="X1405" s="41"/>
      <c r="Y1405" s="41"/>
      <c r="Z1405" s="41"/>
      <c r="AA1405" s="41"/>
      <c r="AB1405" s="41"/>
      <c r="AC1405" s="41"/>
      <c r="AD1405" s="41"/>
      <c r="AE1405" s="41"/>
      <c r="AF1405" s="41"/>
      <c r="AG1405" s="41"/>
      <c r="AH1405" s="41"/>
      <c r="AI1405" s="41"/>
      <c r="AJ1405" s="41"/>
      <c r="AK1405" s="41"/>
      <c r="AL1405" s="41"/>
      <c r="AM1405" s="41"/>
      <c r="AN1405" s="41"/>
      <c r="AO1405" s="41"/>
      <c r="AP1405" s="41"/>
      <c r="AQ1405" s="41"/>
    </row>
    <row r="1406">
      <c r="A1406" s="41"/>
      <c r="B1406" s="41"/>
      <c r="C1406" s="41"/>
      <c r="D1406" s="41"/>
      <c r="E1406" s="41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41"/>
      <c r="Q1406" s="41"/>
      <c r="R1406" s="41"/>
      <c r="S1406" s="41"/>
      <c r="T1406" s="41"/>
      <c r="U1406" s="41"/>
      <c r="V1406" s="41"/>
      <c r="W1406" s="41"/>
      <c r="X1406" s="41"/>
      <c r="Y1406" s="41"/>
      <c r="Z1406" s="41"/>
      <c r="AA1406" s="41"/>
      <c r="AB1406" s="41"/>
      <c r="AC1406" s="41"/>
      <c r="AD1406" s="41"/>
      <c r="AE1406" s="41"/>
      <c r="AF1406" s="41"/>
      <c r="AG1406" s="41"/>
      <c r="AH1406" s="41"/>
      <c r="AI1406" s="41"/>
      <c r="AJ1406" s="41"/>
      <c r="AK1406" s="41"/>
      <c r="AL1406" s="41"/>
      <c r="AM1406" s="41"/>
      <c r="AN1406" s="41"/>
      <c r="AO1406" s="41"/>
      <c r="AP1406" s="41"/>
      <c r="AQ1406" s="41"/>
    </row>
    <row r="1407">
      <c r="A1407" s="41"/>
      <c r="B1407" s="41"/>
      <c r="C1407" s="41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  <c r="AA1407" s="41"/>
      <c r="AB1407" s="41"/>
      <c r="AC1407" s="41"/>
      <c r="AD1407" s="41"/>
      <c r="AE1407" s="41"/>
      <c r="AF1407" s="41"/>
      <c r="AG1407" s="41"/>
      <c r="AH1407" s="41"/>
      <c r="AI1407" s="41"/>
      <c r="AJ1407" s="41"/>
      <c r="AK1407" s="41"/>
      <c r="AL1407" s="41"/>
      <c r="AM1407" s="41"/>
      <c r="AN1407" s="41"/>
      <c r="AO1407" s="41"/>
      <c r="AP1407" s="41"/>
      <c r="AQ1407" s="41"/>
    </row>
    <row r="1408">
      <c r="A1408" s="41"/>
      <c r="B1408" s="41"/>
      <c r="C1408" s="41"/>
      <c r="D1408" s="41"/>
      <c r="E1408" s="41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41"/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  <c r="AA1408" s="41"/>
      <c r="AB1408" s="41"/>
      <c r="AC1408" s="41"/>
      <c r="AD1408" s="41"/>
      <c r="AE1408" s="41"/>
      <c r="AF1408" s="41"/>
      <c r="AG1408" s="41"/>
      <c r="AH1408" s="41"/>
      <c r="AI1408" s="41"/>
      <c r="AJ1408" s="41"/>
      <c r="AK1408" s="41"/>
      <c r="AL1408" s="41"/>
      <c r="AM1408" s="41"/>
      <c r="AN1408" s="41"/>
      <c r="AO1408" s="41"/>
      <c r="AP1408" s="41"/>
      <c r="AQ1408" s="41"/>
    </row>
    <row r="1409">
      <c r="A1409" s="41"/>
      <c r="B1409" s="41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1"/>
      <c r="U1409" s="41"/>
      <c r="V1409" s="41"/>
      <c r="W1409" s="41"/>
      <c r="X1409" s="41"/>
      <c r="Y1409" s="41"/>
      <c r="Z1409" s="41"/>
      <c r="AA1409" s="41"/>
      <c r="AB1409" s="41"/>
      <c r="AC1409" s="41"/>
      <c r="AD1409" s="41"/>
      <c r="AE1409" s="41"/>
      <c r="AF1409" s="41"/>
      <c r="AG1409" s="41"/>
      <c r="AH1409" s="41"/>
      <c r="AI1409" s="41"/>
      <c r="AJ1409" s="41"/>
      <c r="AK1409" s="41"/>
      <c r="AL1409" s="41"/>
      <c r="AM1409" s="41"/>
      <c r="AN1409" s="41"/>
      <c r="AO1409" s="41"/>
      <c r="AP1409" s="41"/>
      <c r="AQ1409" s="41"/>
    </row>
    <row r="1410">
      <c r="A1410" s="41"/>
      <c r="B1410" s="41"/>
      <c r="C1410" s="41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41"/>
      <c r="Q1410" s="41"/>
      <c r="R1410" s="41"/>
      <c r="S1410" s="41"/>
      <c r="T1410" s="41"/>
      <c r="U1410" s="41"/>
      <c r="V1410" s="41"/>
      <c r="W1410" s="41"/>
      <c r="X1410" s="41"/>
      <c r="Y1410" s="41"/>
      <c r="Z1410" s="41"/>
      <c r="AA1410" s="41"/>
      <c r="AB1410" s="41"/>
      <c r="AC1410" s="41"/>
      <c r="AD1410" s="41"/>
      <c r="AE1410" s="41"/>
      <c r="AF1410" s="41"/>
      <c r="AG1410" s="41"/>
      <c r="AH1410" s="41"/>
      <c r="AI1410" s="41"/>
      <c r="AJ1410" s="41"/>
      <c r="AK1410" s="41"/>
      <c r="AL1410" s="41"/>
      <c r="AM1410" s="41"/>
      <c r="AN1410" s="41"/>
      <c r="AO1410" s="41"/>
      <c r="AP1410" s="41"/>
      <c r="AQ1410" s="41"/>
    </row>
    <row r="1411">
      <c r="A1411" s="41"/>
      <c r="B1411" s="41"/>
      <c r="C1411" s="41"/>
      <c r="D1411" s="41"/>
      <c r="E1411" s="41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41"/>
      <c r="Q1411" s="41"/>
      <c r="R1411" s="41"/>
      <c r="S1411" s="41"/>
      <c r="T1411" s="41"/>
      <c r="U1411" s="41"/>
      <c r="V1411" s="41"/>
      <c r="W1411" s="41"/>
      <c r="X1411" s="41"/>
      <c r="Y1411" s="41"/>
      <c r="Z1411" s="41"/>
      <c r="AA1411" s="41"/>
      <c r="AB1411" s="41"/>
      <c r="AC1411" s="41"/>
      <c r="AD1411" s="41"/>
      <c r="AE1411" s="41"/>
      <c r="AF1411" s="41"/>
      <c r="AG1411" s="41"/>
      <c r="AH1411" s="41"/>
      <c r="AI1411" s="41"/>
      <c r="AJ1411" s="41"/>
      <c r="AK1411" s="41"/>
      <c r="AL1411" s="41"/>
      <c r="AM1411" s="41"/>
      <c r="AN1411" s="41"/>
      <c r="AO1411" s="41"/>
      <c r="AP1411" s="41"/>
      <c r="AQ1411" s="41"/>
    </row>
    <row r="1412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</row>
    <row r="1413">
      <c r="A1413" s="41"/>
      <c r="B1413" s="41"/>
      <c r="C1413" s="41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41"/>
      <c r="Q1413" s="41"/>
      <c r="R1413" s="41"/>
      <c r="S1413" s="41"/>
      <c r="T1413" s="41"/>
      <c r="U1413" s="41"/>
      <c r="V1413" s="41"/>
      <c r="W1413" s="41"/>
      <c r="X1413" s="41"/>
      <c r="Y1413" s="41"/>
      <c r="Z1413" s="41"/>
      <c r="AA1413" s="41"/>
      <c r="AB1413" s="41"/>
      <c r="AC1413" s="41"/>
      <c r="AD1413" s="41"/>
      <c r="AE1413" s="41"/>
      <c r="AF1413" s="41"/>
      <c r="AG1413" s="41"/>
      <c r="AH1413" s="41"/>
      <c r="AI1413" s="41"/>
      <c r="AJ1413" s="41"/>
      <c r="AK1413" s="41"/>
      <c r="AL1413" s="41"/>
      <c r="AM1413" s="41"/>
      <c r="AN1413" s="41"/>
      <c r="AO1413" s="41"/>
      <c r="AP1413" s="41"/>
      <c r="AQ1413" s="41"/>
    </row>
    <row r="1414">
      <c r="A1414" s="41"/>
      <c r="B1414" s="41"/>
      <c r="C1414" s="41"/>
      <c r="D1414" s="41"/>
      <c r="E1414" s="41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41"/>
      <c r="Q1414" s="41"/>
      <c r="R1414" s="41"/>
      <c r="S1414" s="41"/>
      <c r="T1414" s="41"/>
      <c r="U1414" s="41"/>
      <c r="V1414" s="41"/>
      <c r="W1414" s="41"/>
      <c r="X1414" s="41"/>
      <c r="Y1414" s="41"/>
      <c r="Z1414" s="41"/>
      <c r="AA1414" s="41"/>
      <c r="AB1414" s="41"/>
      <c r="AC1414" s="41"/>
      <c r="AD1414" s="41"/>
      <c r="AE1414" s="41"/>
      <c r="AF1414" s="41"/>
      <c r="AG1414" s="41"/>
      <c r="AH1414" s="41"/>
      <c r="AI1414" s="41"/>
      <c r="AJ1414" s="41"/>
      <c r="AK1414" s="41"/>
      <c r="AL1414" s="41"/>
      <c r="AM1414" s="41"/>
      <c r="AN1414" s="41"/>
      <c r="AO1414" s="41"/>
      <c r="AP1414" s="41"/>
      <c r="AQ1414" s="41"/>
    </row>
    <row r="1415">
      <c r="A1415" s="41"/>
      <c r="B1415" s="41"/>
      <c r="C1415" s="41"/>
      <c r="D1415" s="41"/>
      <c r="E1415" s="41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41"/>
      <c r="Q1415" s="41"/>
      <c r="R1415" s="41"/>
      <c r="S1415" s="41"/>
      <c r="T1415" s="41"/>
      <c r="U1415" s="41"/>
      <c r="V1415" s="41"/>
      <c r="W1415" s="41"/>
      <c r="X1415" s="41"/>
      <c r="Y1415" s="41"/>
      <c r="Z1415" s="41"/>
      <c r="AA1415" s="41"/>
      <c r="AB1415" s="41"/>
      <c r="AC1415" s="41"/>
      <c r="AD1415" s="41"/>
      <c r="AE1415" s="41"/>
      <c r="AF1415" s="41"/>
      <c r="AG1415" s="41"/>
      <c r="AH1415" s="41"/>
      <c r="AI1415" s="41"/>
      <c r="AJ1415" s="41"/>
      <c r="AK1415" s="41"/>
      <c r="AL1415" s="41"/>
      <c r="AM1415" s="41"/>
      <c r="AN1415" s="41"/>
      <c r="AO1415" s="41"/>
      <c r="AP1415" s="41"/>
      <c r="AQ1415" s="41"/>
    </row>
    <row r="1416">
      <c r="A1416" s="41"/>
      <c r="B1416" s="41"/>
      <c r="C1416" s="41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41"/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  <c r="AA1416" s="41"/>
      <c r="AB1416" s="41"/>
      <c r="AC1416" s="41"/>
      <c r="AD1416" s="41"/>
      <c r="AE1416" s="41"/>
      <c r="AF1416" s="41"/>
      <c r="AG1416" s="41"/>
      <c r="AH1416" s="41"/>
      <c r="AI1416" s="41"/>
      <c r="AJ1416" s="41"/>
      <c r="AK1416" s="41"/>
      <c r="AL1416" s="41"/>
      <c r="AM1416" s="41"/>
      <c r="AN1416" s="41"/>
      <c r="AO1416" s="41"/>
      <c r="AP1416" s="41"/>
      <c r="AQ1416" s="41"/>
    </row>
    <row r="1417">
      <c r="A1417" s="41"/>
      <c r="B1417" s="41"/>
      <c r="C1417" s="41"/>
      <c r="D1417" s="41"/>
      <c r="E1417" s="41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41"/>
      <c r="Q1417" s="41"/>
      <c r="R1417" s="41"/>
      <c r="S1417" s="41"/>
      <c r="T1417" s="41"/>
      <c r="U1417" s="41"/>
      <c r="V1417" s="41"/>
      <c r="W1417" s="41"/>
      <c r="X1417" s="41"/>
      <c r="Y1417" s="41"/>
      <c r="Z1417" s="41"/>
      <c r="AA1417" s="41"/>
      <c r="AB1417" s="41"/>
      <c r="AC1417" s="41"/>
      <c r="AD1417" s="41"/>
      <c r="AE1417" s="41"/>
      <c r="AF1417" s="41"/>
      <c r="AG1417" s="41"/>
      <c r="AH1417" s="41"/>
      <c r="AI1417" s="41"/>
      <c r="AJ1417" s="41"/>
      <c r="AK1417" s="41"/>
      <c r="AL1417" s="41"/>
      <c r="AM1417" s="41"/>
      <c r="AN1417" s="41"/>
      <c r="AO1417" s="41"/>
      <c r="AP1417" s="41"/>
      <c r="AQ1417" s="41"/>
    </row>
    <row r="1418">
      <c r="A1418" s="41"/>
      <c r="B1418" s="41"/>
      <c r="C1418" s="41"/>
      <c r="D1418" s="41"/>
      <c r="E1418" s="41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41"/>
      <c r="Q1418" s="41"/>
      <c r="R1418" s="41"/>
      <c r="S1418" s="41"/>
      <c r="T1418" s="41"/>
      <c r="U1418" s="41"/>
      <c r="V1418" s="41"/>
      <c r="W1418" s="41"/>
      <c r="X1418" s="41"/>
      <c r="Y1418" s="41"/>
      <c r="Z1418" s="41"/>
      <c r="AA1418" s="41"/>
      <c r="AB1418" s="41"/>
      <c r="AC1418" s="41"/>
      <c r="AD1418" s="41"/>
      <c r="AE1418" s="41"/>
      <c r="AF1418" s="41"/>
      <c r="AG1418" s="41"/>
      <c r="AH1418" s="41"/>
      <c r="AI1418" s="41"/>
      <c r="AJ1418" s="41"/>
      <c r="AK1418" s="41"/>
      <c r="AL1418" s="41"/>
      <c r="AM1418" s="41"/>
      <c r="AN1418" s="41"/>
      <c r="AO1418" s="41"/>
      <c r="AP1418" s="41"/>
      <c r="AQ1418" s="41"/>
    </row>
    <row r="1419">
      <c r="A1419" s="41"/>
      <c r="B1419" s="41"/>
      <c r="C1419" s="41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  <c r="AA1419" s="41"/>
      <c r="AB1419" s="41"/>
      <c r="AC1419" s="41"/>
      <c r="AD1419" s="41"/>
      <c r="AE1419" s="41"/>
      <c r="AF1419" s="41"/>
      <c r="AG1419" s="41"/>
      <c r="AH1419" s="41"/>
      <c r="AI1419" s="41"/>
      <c r="AJ1419" s="41"/>
      <c r="AK1419" s="41"/>
      <c r="AL1419" s="41"/>
      <c r="AM1419" s="41"/>
      <c r="AN1419" s="41"/>
      <c r="AO1419" s="41"/>
      <c r="AP1419" s="41"/>
      <c r="AQ1419" s="41"/>
    </row>
    <row r="1420">
      <c r="A1420" s="41"/>
      <c r="B1420" s="41"/>
      <c r="C1420" s="41"/>
      <c r="D1420" s="41"/>
      <c r="E1420" s="41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</row>
    <row r="1421">
      <c r="A1421" s="41"/>
      <c r="B1421" s="41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1"/>
      <c r="Q1421" s="41"/>
      <c r="R1421" s="41"/>
      <c r="S1421" s="41"/>
      <c r="T1421" s="41"/>
      <c r="U1421" s="41"/>
      <c r="V1421" s="41"/>
      <c r="W1421" s="41"/>
      <c r="X1421" s="41"/>
      <c r="Y1421" s="41"/>
      <c r="Z1421" s="41"/>
      <c r="AA1421" s="41"/>
      <c r="AB1421" s="41"/>
      <c r="AC1421" s="41"/>
      <c r="AD1421" s="41"/>
      <c r="AE1421" s="41"/>
      <c r="AF1421" s="41"/>
      <c r="AG1421" s="41"/>
      <c r="AH1421" s="41"/>
      <c r="AI1421" s="41"/>
      <c r="AJ1421" s="41"/>
      <c r="AK1421" s="41"/>
      <c r="AL1421" s="41"/>
      <c r="AM1421" s="41"/>
      <c r="AN1421" s="41"/>
      <c r="AO1421" s="41"/>
      <c r="AP1421" s="41"/>
      <c r="AQ1421" s="41"/>
    </row>
    <row r="1422">
      <c r="A1422" s="41"/>
      <c r="B1422" s="41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1"/>
      <c r="Q1422" s="41"/>
      <c r="R1422" s="41"/>
      <c r="S1422" s="41"/>
      <c r="T1422" s="41"/>
      <c r="U1422" s="41"/>
      <c r="V1422" s="41"/>
      <c r="W1422" s="41"/>
      <c r="X1422" s="41"/>
      <c r="Y1422" s="41"/>
      <c r="Z1422" s="41"/>
      <c r="AA1422" s="41"/>
      <c r="AB1422" s="41"/>
      <c r="AC1422" s="41"/>
      <c r="AD1422" s="41"/>
      <c r="AE1422" s="41"/>
      <c r="AF1422" s="41"/>
      <c r="AG1422" s="41"/>
      <c r="AH1422" s="41"/>
      <c r="AI1422" s="41"/>
      <c r="AJ1422" s="41"/>
      <c r="AK1422" s="41"/>
      <c r="AL1422" s="41"/>
      <c r="AM1422" s="41"/>
      <c r="AN1422" s="41"/>
      <c r="AO1422" s="41"/>
      <c r="AP1422" s="41"/>
      <c r="AQ1422" s="41"/>
    </row>
    <row r="1423">
      <c r="A1423" s="41"/>
      <c r="B1423" s="41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1"/>
      <c r="Q1423" s="41"/>
      <c r="R1423" s="41"/>
      <c r="S1423" s="41"/>
      <c r="T1423" s="41"/>
      <c r="U1423" s="41"/>
      <c r="V1423" s="41"/>
      <c r="W1423" s="41"/>
      <c r="X1423" s="41"/>
      <c r="Y1423" s="41"/>
      <c r="Z1423" s="41"/>
      <c r="AA1423" s="41"/>
      <c r="AB1423" s="41"/>
      <c r="AC1423" s="41"/>
      <c r="AD1423" s="41"/>
      <c r="AE1423" s="41"/>
      <c r="AF1423" s="41"/>
      <c r="AG1423" s="41"/>
      <c r="AH1423" s="41"/>
      <c r="AI1423" s="41"/>
      <c r="AJ1423" s="41"/>
      <c r="AK1423" s="41"/>
      <c r="AL1423" s="41"/>
      <c r="AM1423" s="41"/>
      <c r="AN1423" s="41"/>
      <c r="AO1423" s="41"/>
      <c r="AP1423" s="41"/>
      <c r="AQ1423" s="41"/>
    </row>
    <row r="1424">
      <c r="A1424" s="41"/>
      <c r="B1424" s="41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1"/>
      <c r="Q1424" s="41"/>
      <c r="R1424" s="41"/>
      <c r="S1424" s="41"/>
      <c r="T1424" s="41"/>
      <c r="U1424" s="41"/>
      <c r="V1424" s="41"/>
      <c r="W1424" s="41"/>
      <c r="X1424" s="41"/>
      <c r="Y1424" s="41"/>
      <c r="Z1424" s="41"/>
      <c r="AA1424" s="41"/>
      <c r="AB1424" s="41"/>
      <c r="AC1424" s="41"/>
      <c r="AD1424" s="41"/>
      <c r="AE1424" s="41"/>
      <c r="AF1424" s="41"/>
      <c r="AG1424" s="41"/>
      <c r="AH1424" s="41"/>
      <c r="AI1424" s="41"/>
      <c r="AJ1424" s="41"/>
      <c r="AK1424" s="41"/>
      <c r="AL1424" s="41"/>
      <c r="AM1424" s="41"/>
      <c r="AN1424" s="41"/>
      <c r="AO1424" s="41"/>
      <c r="AP1424" s="41"/>
      <c r="AQ1424" s="41"/>
    </row>
    <row r="1425">
      <c r="A1425" s="41"/>
      <c r="B1425" s="41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1"/>
      <c r="Q1425" s="41"/>
      <c r="R1425" s="41"/>
      <c r="S1425" s="41"/>
      <c r="T1425" s="41"/>
      <c r="U1425" s="41"/>
      <c r="V1425" s="41"/>
      <c r="W1425" s="41"/>
      <c r="X1425" s="41"/>
      <c r="Y1425" s="41"/>
      <c r="Z1425" s="41"/>
      <c r="AA1425" s="41"/>
      <c r="AB1425" s="41"/>
      <c r="AC1425" s="41"/>
      <c r="AD1425" s="41"/>
      <c r="AE1425" s="41"/>
      <c r="AF1425" s="41"/>
      <c r="AG1425" s="41"/>
      <c r="AH1425" s="41"/>
      <c r="AI1425" s="41"/>
      <c r="AJ1425" s="41"/>
      <c r="AK1425" s="41"/>
      <c r="AL1425" s="41"/>
      <c r="AM1425" s="41"/>
      <c r="AN1425" s="41"/>
      <c r="AO1425" s="41"/>
      <c r="AP1425" s="41"/>
      <c r="AQ1425" s="41"/>
    </row>
    <row r="1426">
      <c r="A1426" s="41"/>
      <c r="B1426" s="41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1"/>
      <c r="Q1426" s="41"/>
      <c r="R1426" s="41"/>
      <c r="S1426" s="41"/>
      <c r="T1426" s="41"/>
      <c r="U1426" s="41"/>
      <c r="V1426" s="41"/>
      <c r="W1426" s="41"/>
      <c r="X1426" s="41"/>
      <c r="Y1426" s="41"/>
      <c r="Z1426" s="41"/>
      <c r="AA1426" s="41"/>
      <c r="AB1426" s="41"/>
      <c r="AC1426" s="41"/>
      <c r="AD1426" s="41"/>
      <c r="AE1426" s="41"/>
      <c r="AF1426" s="41"/>
      <c r="AG1426" s="41"/>
      <c r="AH1426" s="41"/>
      <c r="AI1426" s="41"/>
      <c r="AJ1426" s="41"/>
      <c r="AK1426" s="41"/>
      <c r="AL1426" s="41"/>
      <c r="AM1426" s="41"/>
      <c r="AN1426" s="41"/>
      <c r="AO1426" s="41"/>
      <c r="AP1426" s="41"/>
      <c r="AQ1426" s="41"/>
    </row>
    <row r="1427">
      <c r="A1427" s="41"/>
      <c r="B1427" s="41"/>
      <c r="C1427" s="41"/>
      <c r="D1427" s="41"/>
      <c r="E1427" s="41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41"/>
      <c r="Q1427" s="41"/>
      <c r="R1427" s="41"/>
      <c r="S1427" s="41"/>
      <c r="T1427" s="41"/>
      <c r="U1427" s="41"/>
      <c r="V1427" s="41"/>
      <c r="W1427" s="41"/>
      <c r="X1427" s="41"/>
      <c r="Y1427" s="41"/>
      <c r="Z1427" s="41"/>
      <c r="AA1427" s="41"/>
      <c r="AB1427" s="41"/>
      <c r="AC1427" s="41"/>
      <c r="AD1427" s="41"/>
      <c r="AE1427" s="41"/>
      <c r="AF1427" s="41"/>
      <c r="AG1427" s="41"/>
      <c r="AH1427" s="41"/>
      <c r="AI1427" s="41"/>
      <c r="AJ1427" s="41"/>
      <c r="AK1427" s="41"/>
      <c r="AL1427" s="41"/>
      <c r="AM1427" s="41"/>
      <c r="AN1427" s="41"/>
      <c r="AO1427" s="41"/>
      <c r="AP1427" s="41"/>
      <c r="AQ1427" s="41"/>
    </row>
    <row r="1428">
      <c r="A1428" s="41"/>
      <c r="B1428" s="41"/>
      <c r="C1428" s="41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41"/>
      <c r="Q1428" s="41"/>
      <c r="R1428" s="41"/>
      <c r="S1428" s="41"/>
      <c r="T1428" s="41"/>
      <c r="U1428" s="41"/>
      <c r="V1428" s="41"/>
      <c r="W1428" s="41"/>
      <c r="X1428" s="41"/>
      <c r="Y1428" s="41"/>
      <c r="Z1428" s="41"/>
      <c r="AA1428" s="41"/>
      <c r="AB1428" s="41"/>
      <c r="AC1428" s="41"/>
      <c r="AD1428" s="41"/>
      <c r="AE1428" s="41"/>
      <c r="AF1428" s="41"/>
      <c r="AG1428" s="41"/>
      <c r="AH1428" s="41"/>
      <c r="AI1428" s="41"/>
      <c r="AJ1428" s="41"/>
      <c r="AK1428" s="41"/>
      <c r="AL1428" s="41"/>
      <c r="AM1428" s="41"/>
      <c r="AN1428" s="41"/>
      <c r="AO1428" s="41"/>
      <c r="AP1428" s="41"/>
      <c r="AQ1428" s="41"/>
    </row>
    <row r="1429">
      <c r="A1429" s="41"/>
      <c r="B1429" s="41"/>
      <c r="C1429" s="41"/>
      <c r="D1429" s="41"/>
      <c r="E1429" s="41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41"/>
      <c r="Q1429" s="41"/>
      <c r="R1429" s="41"/>
      <c r="S1429" s="41"/>
      <c r="T1429" s="41"/>
      <c r="U1429" s="41"/>
      <c r="V1429" s="41"/>
      <c r="W1429" s="41"/>
      <c r="X1429" s="41"/>
      <c r="Y1429" s="41"/>
      <c r="Z1429" s="41"/>
      <c r="AA1429" s="41"/>
      <c r="AB1429" s="41"/>
      <c r="AC1429" s="41"/>
      <c r="AD1429" s="41"/>
      <c r="AE1429" s="41"/>
      <c r="AF1429" s="41"/>
      <c r="AG1429" s="41"/>
      <c r="AH1429" s="41"/>
      <c r="AI1429" s="41"/>
      <c r="AJ1429" s="41"/>
      <c r="AK1429" s="41"/>
      <c r="AL1429" s="41"/>
      <c r="AM1429" s="41"/>
      <c r="AN1429" s="41"/>
      <c r="AO1429" s="41"/>
      <c r="AP1429" s="41"/>
      <c r="AQ1429" s="41"/>
    </row>
    <row r="1430">
      <c r="A1430" s="41"/>
      <c r="B1430" s="41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  <c r="AA1430" s="41"/>
      <c r="AB1430" s="41"/>
      <c r="AC1430" s="41"/>
      <c r="AD1430" s="41"/>
      <c r="AE1430" s="41"/>
      <c r="AF1430" s="41"/>
      <c r="AG1430" s="41"/>
      <c r="AH1430" s="41"/>
      <c r="AI1430" s="41"/>
      <c r="AJ1430" s="41"/>
      <c r="AK1430" s="41"/>
      <c r="AL1430" s="41"/>
      <c r="AM1430" s="41"/>
      <c r="AN1430" s="41"/>
      <c r="AO1430" s="41"/>
      <c r="AP1430" s="41"/>
      <c r="AQ1430" s="41"/>
    </row>
    <row r="1431">
      <c r="A1431" s="41"/>
      <c r="B1431" s="41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41"/>
      <c r="Q1431" s="41"/>
      <c r="R1431" s="41"/>
      <c r="S1431" s="41"/>
      <c r="T1431" s="41"/>
      <c r="U1431" s="41"/>
      <c r="V1431" s="41"/>
      <c r="W1431" s="41"/>
      <c r="X1431" s="41"/>
      <c r="Y1431" s="41"/>
      <c r="Z1431" s="41"/>
      <c r="AA1431" s="41"/>
      <c r="AB1431" s="41"/>
      <c r="AC1431" s="41"/>
      <c r="AD1431" s="41"/>
      <c r="AE1431" s="41"/>
      <c r="AF1431" s="41"/>
      <c r="AG1431" s="41"/>
      <c r="AH1431" s="41"/>
      <c r="AI1431" s="41"/>
      <c r="AJ1431" s="41"/>
      <c r="AK1431" s="41"/>
      <c r="AL1431" s="41"/>
      <c r="AM1431" s="41"/>
      <c r="AN1431" s="41"/>
      <c r="AO1431" s="41"/>
      <c r="AP1431" s="41"/>
      <c r="AQ1431" s="41"/>
    </row>
    <row r="1432">
      <c r="A1432" s="41"/>
      <c r="B1432" s="41"/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41"/>
      <c r="Q1432" s="41"/>
      <c r="R1432" s="41"/>
      <c r="S1432" s="41"/>
      <c r="T1432" s="41"/>
      <c r="U1432" s="41"/>
      <c r="V1432" s="41"/>
      <c r="W1432" s="41"/>
      <c r="X1432" s="41"/>
      <c r="Y1432" s="41"/>
      <c r="Z1432" s="41"/>
      <c r="AA1432" s="41"/>
      <c r="AB1432" s="41"/>
      <c r="AC1432" s="41"/>
      <c r="AD1432" s="41"/>
      <c r="AE1432" s="41"/>
      <c r="AF1432" s="41"/>
      <c r="AG1432" s="41"/>
      <c r="AH1432" s="41"/>
      <c r="AI1432" s="41"/>
      <c r="AJ1432" s="41"/>
      <c r="AK1432" s="41"/>
      <c r="AL1432" s="41"/>
      <c r="AM1432" s="41"/>
      <c r="AN1432" s="41"/>
      <c r="AO1432" s="41"/>
      <c r="AP1432" s="41"/>
      <c r="AQ1432" s="41"/>
    </row>
    <row r="1433">
      <c r="A1433" s="41"/>
      <c r="B1433" s="41"/>
      <c r="C1433" s="41"/>
      <c r="D1433" s="41"/>
      <c r="E1433" s="41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  <c r="Q1433" s="41"/>
      <c r="R1433" s="41"/>
      <c r="S1433" s="41"/>
      <c r="T1433" s="41"/>
      <c r="U1433" s="41"/>
      <c r="V1433" s="41"/>
      <c r="W1433" s="41"/>
      <c r="X1433" s="41"/>
      <c r="Y1433" s="41"/>
      <c r="Z1433" s="41"/>
      <c r="AA1433" s="41"/>
      <c r="AB1433" s="41"/>
      <c r="AC1433" s="41"/>
      <c r="AD1433" s="41"/>
      <c r="AE1433" s="41"/>
      <c r="AF1433" s="41"/>
      <c r="AG1433" s="41"/>
      <c r="AH1433" s="41"/>
      <c r="AI1433" s="41"/>
      <c r="AJ1433" s="41"/>
      <c r="AK1433" s="41"/>
      <c r="AL1433" s="41"/>
      <c r="AM1433" s="41"/>
      <c r="AN1433" s="41"/>
      <c r="AO1433" s="41"/>
      <c r="AP1433" s="41"/>
      <c r="AQ1433" s="41"/>
    </row>
    <row r="1434">
      <c r="A1434" s="41"/>
      <c r="B1434" s="41"/>
      <c r="C1434" s="41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41"/>
      <c r="Q1434" s="41"/>
      <c r="R1434" s="41"/>
      <c r="S1434" s="41"/>
      <c r="T1434" s="41"/>
      <c r="U1434" s="41"/>
      <c r="V1434" s="41"/>
      <c r="W1434" s="41"/>
      <c r="X1434" s="41"/>
      <c r="Y1434" s="41"/>
      <c r="Z1434" s="41"/>
      <c r="AA1434" s="41"/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/>
      <c r="AN1434" s="41"/>
      <c r="AO1434" s="41"/>
      <c r="AP1434" s="41"/>
      <c r="AQ1434" s="41"/>
    </row>
    <row r="1435">
      <c r="A1435" s="41"/>
      <c r="B1435" s="41"/>
      <c r="C1435" s="41"/>
      <c r="D1435" s="41"/>
      <c r="E1435" s="41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41"/>
      <c r="Q1435" s="41"/>
      <c r="R1435" s="41"/>
      <c r="S1435" s="41"/>
      <c r="T1435" s="41"/>
      <c r="U1435" s="41"/>
      <c r="V1435" s="41"/>
      <c r="W1435" s="41"/>
      <c r="X1435" s="41"/>
      <c r="Y1435" s="41"/>
      <c r="Z1435" s="41"/>
      <c r="AA1435" s="41"/>
      <c r="AB1435" s="41"/>
      <c r="AC1435" s="41"/>
      <c r="AD1435" s="41"/>
      <c r="AE1435" s="41"/>
      <c r="AF1435" s="41"/>
      <c r="AG1435" s="41"/>
      <c r="AH1435" s="41"/>
      <c r="AI1435" s="41"/>
      <c r="AJ1435" s="41"/>
      <c r="AK1435" s="41"/>
      <c r="AL1435" s="41"/>
      <c r="AM1435" s="41"/>
      <c r="AN1435" s="41"/>
      <c r="AO1435" s="41"/>
      <c r="AP1435" s="41"/>
      <c r="AQ1435" s="41"/>
    </row>
    <row r="1436">
      <c r="A1436" s="41"/>
      <c r="B1436" s="41"/>
      <c r="C1436" s="41"/>
      <c r="D1436" s="41"/>
      <c r="E1436" s="41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41"/>
      <c r="Q1436" s="41"/>
      <c r="R1436" s="41"/>
      <c r="S1436" s="41"/>
      <c r="T1436" s="41"/>
      <c r="U1436" s="41"/>
      <c r="V1436" s="41"/>
      <c r="W1436" s="41"/>
      <c r="X1436" s="41"/>
      <c r="Y1436" s="41"/>
      <c r="Z1436" s="41"/>
      <c r="AA1436" s="41"/>
      <c r="AB1436" s="41"/>
      <c r="AC1436" s="41"/>
      <c r="AD1436" s="41"/>
      <c r="AE1436" s="41"/>
      <c r="AF1436" s="41"/>
      <c r="AG1436" s="41"/>
      <c r="AH1436" s="41"/>
      <c r="AI1436" s="41"/>
      <c r="AJ1436" s="41"/>
      <c r="AK1436" s="41"/>
      <c r="AL1436" s="41"/>
      <c r="AM1436" s="41"/>
      <c r="AN1436" s="41"/>
      <c r="AO1436" s="41"/>
      <c r="AP1436" s="41"/>
      <c r="AQ1436" s="41"/>
    </row>
    <row r="1437">
      <c r="A1437" s="41"/>
      <c r="B1437" s="41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  <c r="AA1437" s="41"/>
      <c r="AB1437" s="41"/>
      <c r="AC1437" s="41"/>
      <c r="AD1437" s="41"/>
      <c r="AE1437" s="41"/>
      <c r="AF1437" s="41"/>
      <c r="AG1437" s="41"/>
      <c r="AH1437" s="41"/>
      <c r="AI1437" s="41"/>
      <c r="AJ1437" s="41"/>
      <c r="AK1437" s="41"/>
      <c r="AL1437" s="41"/>
      <c r="AM1437" s="41"/>
      <c r="AN1437" s="41"/>
      <c r="AO1437" s="41"/>
      <c r="AP1437" s="41"/>
      <c r="AQ1437" s="41"/>
    </row>
    <row r="1438">
      <c r="A1438" s="41"/>
      <c r="B1438" s="41"/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  <c r="AA1438" s="41"/>
      <c r="AB1438" s="41"/>
      <c r="AC1438" s="41"/>
      <c r="AD1438" s="41"/>
      <c r="AE1438" s="41"/>
      <c r="AF1438" s="41"/>
      <c r="AG1438" s="41"/>
      <c r="AH1438" s="41"/>
      <c r="AI1438" s="41"/>
      <c r="AJ1438" s="41"/>
      <c r="AK1438" s="41"/>
      <c r="AL1438" s="41"/>
      <c r="AM1438" s="41"/>
      <c r="AN1438" s="41"/>
      <c r="AO1438" s="41"/>
      <c r="AP1438" s="41"/>
      <c r="AQ1438" s="41"/>
    </row>
    <row r="1439">
      <c r="A1439" s="41"/>
      <c r="B1439" s="41"/>
      <c r="C1439" s="41"/>
      <c r="D1439" s="41"/>
      <c r="E1439" s="41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41"/>
      <c r="Q1439" s="41"/>
      <c r="R1439" s="41"/>
      <c r="S1439" s="41"/>
      <c r="T1439" s="41"/>
      <c r="U1439" s="41"/>
      <c r="V1439" s="41"/>
      <c r="W1439" s="41"/>
      <c r="X1439" s="41"/>
      <c r="Y1439" s="41"/>
      <c r="Z1439" s="41"/>
      <c r="AA1439" s="41"/>
      <c r="AB1439" s="41"/>
      <c r="AC1439" s="41"/>
      <c r="AD1439" s="41"/>
      <c r="AE1439" s="41"/>
      <c r="AF1439" s="41"/>
      <c r="AG1439" s="41"/>
      <c r="AH1439" s="41"/>
      <c r="AI1439" s="41"/>
      <c r="AJ1439" s="41"/>
      <c r="AK1439" s="41"/>
      <c r="AL1439" s="41"/>
      <c r="AM1439" s="41"/>
      <c r="AN1439" s="41"/>
      <c r="AO1439" s="41"/>
      <c r="AP1439" s="41"/>
      <c r="AQ1439" s="41"/>
    </row>
    <row r="1440">
      <c r="A1440" s="41"/>
      <c r="B1440" s="41"/>
      <c r="C1440" s="41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41"/>
      <c r="Q1440" s="41"/>
      <c r="R1440" s="41"/>
      <c r="S1440" s="41"/>
      <c r="T1440" s="41"/>
      <c r="U1440" s="41"/>
      <c r="V1440" s="41"/>
      <c r="W1440" s="41"/>
      <c r="X1440" s="41"/>
      <c r="Y1440" s="41"/>
      <c r="Z1440" s="41"/>
      <c r="AA1440" s="41"/>
      <c r="AB1440" s="41"/>
      <c r="AC1440" s="41"/>
      <c r="AD1440" s="41"/>
      <c r="AE1440" s="41"/>
      <c r="AF1440" s="41"/>
      <c r="AG1440" s="41"/>
      <c r="AH1440" s="41"/>
      <c r="AI1440" s="41"/>
      <c r="AJ1440" s="41"/>
      <c r="AK1440" s="41"/>
      <c r="AL1440" s="41"/>
      <c r="AM1440" s="41"/>
      <c r="AN1440" s="41"/>
      <c r="AO1440" s="41"/>
      <c r="AP1440" s="41"/>
      <c r="AQ1440" s="41"/>
    </row>
    <row r="1441">
      <c r="A1441" s="41"/>
      <c r="B1441" s="41"/>
      <c r="C1441" s="41"/>
      <c r="D1441" s="41"/>
      <c r="E1441" s="41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41"/>
      <c r="Q1441" s="41"/>
      <c r="R1441" s="41"/>
      <c r="S1441" s="41"/>
      <c r="T1441" s="41"/>
      <c r="U1441" s="41"/>
      <c r="V1441" s="41"/>
      <c r="W1441" s="41"/>
      <c r="X1441" s="41"/>
      <c r="Y1441" s="41"/>
      <c r="Z1441" s="41"/>
      <c r="AA1441" s="41"/>
      <c r="AB1441" s="41"/>
      <c r="AC1441" s="41"/>
      <c r="AD1441" s="41"/>
      <c r="AE1441" s="41"/>
      <c r="AF1441" s="41"/>
      <c r="AG1441" s="41"/>
      <c r="AH1441" s="41"/>
      <c r="AI1441" s="41"/>
      <c r="AJ1441" s="41"/>
      <c r="AK1441" s="41"/>
      <c r="AL1441" s="41"/>
      <c r="AM1441" s="41"/>
      <c r="AN1441" s="41"/>
      <c r="AO1441" s="41"/>
      <c r="AP1441" s="41"/>
      <c r="AQ1441" s="41"/>
    </row>
    <row r="1442">
      <c r="A1442" s="41"/>
      <c r="B1442" s="41"/>
      <c r="C1442" s="41"/>
      <c r="D1442" s="41"/>
      <c r="E1442" s="41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41"/>
      <c r="Q1442" s="41"/>
      <c r="R1442" s="41"/>
      <c r="S1442" s="41"/>
      <c r="T1442" s="41"/>
      <c r="U1442" s="41"/>
      <c r="V1442" s="41"/>
      <c r="W1442" s="41"/>
      <c r="X1442" s="41"/>
      <c r="Y1442" s="41"/>
      <c r="Z1442" s="41"/>
      <c r="AA1442" s="41"/>
      <c r="AB1442" s="41"/>
      <c r="AC1442" s="41"/>
      <c r="AD1442" s="41"/>
      <c r="AE1442" s="41"/>
      <c r="AF1442" s="41"/>
      <c r="AG1442" s="41"/>
      <c r="AH1442" s="41"/>
      <c r="AI1442" s="41"/>
      <c r="AJ1442" s="41"/>
      <c r="AK1442" s="41"/>
      <c r="AL1442" s="41"/>
      <c r="AM1442" s="41"/>
      <c r="AN1442" s="41"/>
      <c r="AO1442" s="41"/>
      <c r="AP1442" s="41"/>
      <c r="AQ1442" s="41"/>
    </row>
    <row r="1443">
      <c r="A1443" s="41"/>
      <c r="B1443" s="41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  <c r="Q1443" s="41"/>
      <c r="R1443" s="41"/>
      <c r="S1443" s="41"/>
      <c r="T1443" s="41"/>
      <c r="U1443" s="41"/>
      <c r="V1443" s="41"/>
      <c r="W1443" s="41"/>
      <c r="X1443" s="41"/>
      <c r="Y1443" s="41"/>
      <c r="Z1443" s="41"/>
      <c r="AA1443" s="41"/>
      <c r="AB1443" s="41"/>
      <c r="AC1443" s="41"/>
      <c r="AD1443" s="41"/>
      <c r="AE1443" s="41"/>
      <c r="AF1443" s="41"/>
      <c r="AG1443" s="41"/>
      <c r="AH1443" s="41"/>
      <c r="AI1443" s="41"/>
      <c r="AJ1443" s="41"/>
      <c r="AK1443" s="41"/>
      <c r="AL1443" s="41"/>
      <c r="AM1443" s="41"/>
      <c r="AN1443" s="41"/>
      <c r="AO1443" s="41"/>
      <c r="AP1443" s="41"/>
      <c r="AQ1443" s="41"/>
    </row>
    <row r="1444">
      <c r="A1444" s="41"/>
      <c r="B1444" s="41"/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  <c r="Q1444" s="41"/>
      <c r="R1444" s="41"/>
      <c r="S1444" s="41"/>
      <c r="T1444" s="41"/>
      <c r="U1444" s="41"/>
      <c r="V1444" s="41"/>
      <c r="W1444" s="41"/>
      <c r="X1444" s="41"/>
      <c r="Y1444" s="41"/>
      <c r="Z1444" s="41"/>
      <c r="AA1444" s="41"/>
      <c r="AB1444" s="41"/>
      <c r="AC1444" s="41"/>
      <c r="AD1444" s="41"/>
      <c r="AE1444" s="41"/>
      <c r="AF1444" s="41"/>
      <c r="AG1444" s="41"/>
      <c r="AH1444" s="41"/>
      <c r="AI1444" s="41"/>
      <c r="AJ1444" s="41"/>
      <c r="AK1444" s="41"/>
      <c r="AL1444" s="41"/>
      <c r="AM1444" s="41"/>
      <c r="AN1444" s="41"/>
      <c r="AO1444" s="41"/>
      <c r="AP1444" s="41"/>
      <c r="AQ1444" s="41"/>
    </row>
    <row r="1445">
      <c r="A1445" s="41"/>
      <c r="B1445" s="41"/>
      <c r="C1445" s="41"/>
      <c r="D1445" s="41"/>
      <c r="E1445" s="41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  <c r="Q1445" s="41"/>
      <c r="R1445" s="41"/>
      <c r="S1445" s="41"/>
      <c r="T1445" s="41"/>
      <c r="U1445" s="41"/>
      <c r="V1445" s="41"/>
      <c r="W1445" s="41"/>
      <c r="X1445" s="41"/>
      <c r="Y1445" s="41"/>
      <c r="Z1445" s="41"/>
      <c r="AA1445" s="41"/>
      <c r="AB1445" s="41"/>
      <c r="AC1445" s="41"/>
      <c r="AD1445" s="41"/>
      <c r="AE1445" s="41"/>
      <c r="AF1445" s="41"/>
      <c r="AG1445" s="41"/>
      <c r="AH1445" s="41"/>
      <c r="AI1445" s="41"/>
      <c r="AJ1445" s="41"/>
      <c r="AK1445" s="41"/>
      <c r="AL1445" s="41"/>
      <c r="AM1445" s="41"/>
      <c r="AN1445" s="41"/>
      <c r="AO1445" s="41"/>
      <c r="AP1445" s="41"/>
      <c r="AQ1445" s="41"/>
    </row>
    <row r="1446">
      <c r="A1446" s="41"/>
      <c r="B1446" s="41"/>
      <c r="C1446" s="41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41"/>
      <c r="Q1446" s="41"/>
      <c r="R1446" s="41"/>
      <c r="S1446" s="41"/>
      <c r="T1446" s="41"/>
      <c r="U1446" s="41"/>
      <c r="V1446" s="41"/>
      <c r="W1446" s="41"/>
      <c r="X1446" s="41"/>
      <c r="Y1446" s="41"/>
      <c r="Z1446" s="41"/>
      <c r="AA1446" s="41"/>
      <c r="AB1446" s="41"/>
      <c r="AC1446" s="41"/>
      <c r="AD1446" s="41"/>
      <c r="AE1446" s="41"/>
      <c r="AF1446" s="41"/>
      <c r="AG1446" s="41"/>
      <c r="AH1446" s="41"/>
      <c r="AI1446" s="41"/>
      <c r="AJ1446" s="41"/>
      <c r="AK1446" s="41"/>
      <c r="AL1446" s="41"/>
      <c r="AM1446" s="41"/>
      <c r="AN1446" s="41"/>
      <c r="AO1446" s="41"/>
      <c r="AP1446" s="41"/>
      <c r="AQ1446" s="41"/>
    </row>
    <row r="1447">
      <c r="A1447" s="41"/>
      <c r="B1447" s="41"/>
      <c r="C1447" s="41"/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41"/>
      <c r="Q1447" s="41"/>
      <c r="R1447" s="41"/>
      <c r="S1447" s="41"/>
      <c r="T1447" s="41"/>
      <c r="U1447" s="41"/>
      <c r="V1447" s="41"/>
      <c r="W1447" s="41"/>
      <c r="X1447" s="41"/>
      <c r="Y1447" s="41"/>
      <c r="Z1447" s="41"/>
      <c r="AA1447" s="41"/>
      <c r="AB1447" s="41"/>
      <c r="AC1447" s="41"/>
      <c r="AD1447" s="41"/>
      <c r="AE1447" s="41"/>
      <c r="AF1447" s="41"/>
      <c r="AG1447" s="41"/>
      <c r="AH1447" s="41"/>
      <c r="AI1447" s="41"/>
      <c r="AJ1447" s="41"/>
      <c r="AK1447" s="41"/>
      <c r="AL1447" s="41"/>
      <c r="AM1447" s="41"/>
      <c r="AN1447" s="41"/>
      <c r="AO1447" s="41"/>
      <c r="AP1447" s="41"/>
      <c r="AQ1447" s="41"/>
    </row>
    <row r="1448">
      <c r="A1448" s="41"/>
      <c r="B1448" s="41"/>
      <c r="C1448" s="41"/>
      <c r="D1448" s="41"/>
      <c r="E1448" s="41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41"/>
      <c r="Q1448" s="41"/>
      <c r="R1448" s="41"/>
      <c r="S1448" s="41"/>
      <c r="T1448" s="41"/>
      <c r="U1448" s="41"/>
      <c r="V1448" s="41"/>
      <c r="W1448" s="41"/>
      <c r="X1448" s="41"/>
      <c r="Y1448" s="41"/>
      <c r="Z1448" s="41"/>
      <c r="AA1448" s="41"/>
      <c r="AB1448" s="41"/>
      <c r="AC1448" s="41"/>
      <c r="AD1448" s="41"/>
      <c r="AE1448" s="41"/>
      <c r="AF1448" s="41"/>
      <c r="AG1448" s="41"/>
      <c r="AH1448" s="41"/>
      <c r="AI1448" s="41"/>
      <c r="AJ1448" s="41"/>
      <c r="AK1448" s="41"/>
      <c r="AL1448" s="41"/>
      <c r="AM1448" s="41"/>
      <c r="AN1448" s="41"/>
      <c r="AO1448" s="41"/>
      <c r="AP1448" s="41"/>
      <c r="AQ1448" s="41"/>
    </row>
    <row r="1449">
      <c r="A1449" s="41"/>
      <c r="B1449" s="41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  <c r="AA1449" s="41"/>
      <c r="AB1449" s="41"/>
      <c r="AC1449" s="41"/>
      <c r="AD1449" s="41"/>
      <c r="AE1449" s="41"/>
      <c r="AF1449" s="41"/>
      <c r="AG1449" s="41"/>
      <c r="AH1449" s="41"/>
      <c r="AI1449" s="41"/>
      <c r="AJ1449" s="41"/>
      <c r="AK1449" s="41"/>
      <c r="AL1449" s="41"/>
      <c r="AM1449" s="41"/>
      <c r="AN1449" s="41"/>
      <c r="AO1449" s="41"/>
      <c r="AP1449" s="41"/>
      <c r="AQ1449" s="41"/>
    </row>
    <row r="1450">
      <c r="A1450" s="41"/>
      <c r="B1450" s="41"/>
      <c r="C1450" s="41"/>
      <c r="D1450" s="41"/>
      <c r="E1450" s="41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41"/>
      <c r="Q1450" s="41"/>
      <c r="R1450" s="41"/>
      <c r="S1450" s="41"/>
      <c r="T1450" s="41"/>
      <c r="U1450" s="41"/>
      <c r="V1450" s="41"/>
      <c r="W1450" s="41"/>
      <c r="X1450" s="41"/>
      <c r="Y1450" s="41"/>
      <c r="Z1450" s="41"/>
      <c r="AA1450" s="41"/>
      <c r="AB1450" s="41"/>
      <c r="AC1450" s="41"/>
      <c r="AD1450" s="41"/>
      <c r="AE1450" s="41"/>
      <c r="AF1450" s="41"/>
      <c r="AG1450" s="41"/>
      <c r="AH1450" s="41"/>
      <c r="AI1450" s="41"/>
      <c r="AJ1450" s="41"/>
      <c r="AK1450" s="41"/>
      <c r="AL1450" s="41"/>
      <c r="AM1450" s="41"/>
      <c r="AN1450" s="41"/>
      <c r="AO1450" s="41"/>
      <c r="AP1450" s="41"/>
      <c r="AQ1450" s="41"/>
    </row>
    <row r="1451">
      <c r="A1451" s="41"/>
      <c r="B1451" s="41"/>
      <c r="C1451" s="41"/>
      <c r="D1451" s="41"/>
      <c r="E1451" s="41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41"/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  <c r="AA1451" s="41"/>
      <c r="AB1451" s="41"/>
      <c r="AC1451" s="41"/>
      <c r="AD1451" s="41"/>
      <c r="AE1451" s="41"/>
      <c r="AF1451" s="41"/>
      <c r="AG1451" s="41"/>
      <c r="AH1451" s="41"/>
      <c r="AI1451" s="41"/>
      <c r="AJ1451" s="41"/>
      <c r="AK1451" s="41"/>
      <c r="AL1451" s="41"/>
      <c r="AM1451" s="41"/>
      <c r="AN1451" s="41"/>
      <c r="AO1451" s="41"/>
      <c r="AP1451" s="41"/>
      <c r="AQ1451" s="41"/>
    </row>
    <row r="1452">
      <c r="A1452" s="41"/>
      <c r="B1452" s="41"/>
      <c r="C1452" s="41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  <c r="Q1452" s="41"/>
      <c r="R1452" s="41"/>
      <c r="S1452" s="41"/>
      <c r="T1452" s="41"/>
      <c r="U1452" s="41"/>
      <c r="V1452" s="41"/>
      <c r="W1452" s="41"/>
      <c r="X1452" s="41"/>
      <c r="Y1452" s="41"/>
      <c r="Z1452" s="41"/>
      <c r="AA1452" s="41"/>
      <c r="AB1452" s="41"/>
      <c r="AC1452" s="41"/>
      <c r="AD1452" s="41"/>
      <c r="AE1452" s="41"/>
      <c r="AF1452" s="41"/>
      <c r="AG1452" s="41"/>
      <c r="AH1452" s="41"/>
      <c r="AI1452" s="41"/>
      <c r="AJ1452" s="41"/>
      <c r="AK1452" s="41"/>
      <c r="AL1452" s="41"/>
      <c r="AM1452" s="41"/>
      <c r="AN1452" s="41"/>
      <c r="AO1452" s="41"/>
      <c r="AP1452" s="41"/>
      <c r="AQ1452" s="41"/>
    </row>
    <row r="1453">
      <c r="A1453" s="41"/>
      <c r="B1453" s="41"/>
      <c r="C1453" s="41"/>
      <c r="D1453" s="41"/>
      <c r="E1453" s="41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41"/>
      <c r="Q1453" s="41"/>
      <c r="R1453" s="41"/>
      <c r="S1453" s="41"/>
      <c r="T1453" s="41"/>
      <c r="U1453" s="41"/>
      <c r="V1453" s="41"/>
      <c r="W1453" s="41"/>
      <c r="X1453" s="41"/>
      <c r="Y1453" s="41"/>
      <c r="Z1453" s="41"/>
      <c r="AA1453" s="41"/>
      <c r="AB1453" s="41"/>
      <c r="AC1453" s="41"/>
      <c r="AD1453" s="41"/>
      <c r="AE1453" s="41"/>
      <c r="AF1453" s="41"/>
      <c r="AG1453" s="41"/>
      <c r="AH1453" s="41"/>
      <c r="AI1453" s="41"/>
      <c r="AJ1453" s="41"/>
      <c r="AK1453" s="41"/>
      <c r="AL1453" s="41"/>
      <c r="AM1453" s="41"/>
      <c r="AN1453" s="41"/>
      <c r="AO1453" s="41"/>
      <c r="AP1453" s="41"/>
      <c r="AQ1453" s="41"/>
    </row>
    <row r="1454">
      <c r="A1454" s="41"/>
      <c r="B1454" s="41"/>
      <c r="C1454" s="41"/>
      <c r="D1454" s="41"/>
      <c r="E1454" s="41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41"/>
      <c r="Q1454" s="41"/>
      <c r="R1454" s="41"/>
      <c r="S1454" s="41"/>
      <c r="T1454" s="41"/>
      <c r="U1454" s="41"/>
      <c r="V1454" s="41"/>
      <c r="W1454" s="41"/>
      <c r="X1454" s="41"/>
      <c r="Y1454" s="41"/>
      <c r="Z1454" s="41"/>
      <c r="AA1454" s="41"/>
      <c r="AB1454" s="41"/>
      <c r="AC1454" s="41"/>
      <c r="AD1454" s="41"/>
      <c r="AE1454" s="41"/>
      <c r="AF1454" s="41"/>
      <c r="AG1454" s="41"/>
      <c r="AH1454" s="41"/>
      <c r="AI1454" s="41"/>
      <c r="AJ1454" s="41"/>
      <c r="AK1454" s="41"/>
      <c r="AL1454" s="41"/>
      <c r="AM1454" s="41"/>
      <c r="AN1454" s="41"/>
      <c r="AO1454" s="41"/>
      <c r="AP1454" s="41"/>
      <c r="AQ1454" s="41"/>
    </row>
    <row r="1455">
      <c r="A1455" s="41"/>
      <c r="B1455" s="41"/>
      <c r="C1455" s="41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  <c r="Q1455" s="41"/>
      <c r="R1455" s="41"/>
      <c r="S1455" s="41"/>
      <c r="T1455" s="41"/>
      <c r="U1455" s="41"/>
      <c r="V1455" s="41"/>
      <c r="W1455" s="41"/>
      <c r="X1455" s="41"/>
      <c r="Y1455" s="41"/>
      <c r="Z1455" s="41"/>
      <c r="AA1455" s="41"/>
      <c r="AB1455" s="41"/>
      <c r="AC1455" s="41"/>
      <c r="AD1455" s="41"/>
      <c r="AE1455" s="41"/>
      <c r="AF1455" s="41"/>
      <c r="AG1455" s="41"/>
      <c r="AH1455" s="41"/>
      <c r="AI1455" s="41"/>
      <c r="AJ1455" s="41"/>
      <c r="AK1455" s="41"/>
      <c r="AL1455" s="41"/>
      <c r="AM1455" s="41"/>
      <c r="AN1455" s="41"/>
      <c r="AO1455" s="41"/>
      <c r="AP1455" s="41"/>
      <c r="AQ1455" s="41"/>
    </row>
    <row r="1456">
      <c r="A1456" s="41"/>
      <c r="B1456" s="41"/>
      <c r="C1456" s="41"/>
      <c r="D1456" s="41"/>
      <c r="E1456" s="41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  <c r="AA1456" s="41"/>
      <c r="AB1456" s="41"/>
      <c r="AC1456" s="41"/>
      <c r="AD1456" s="41"/>
      <c r="AE1456" s="41"/>
      <c r="AF1456" s="41"/>
      <c r="AG1456" s="41"/>
      <c r="AH1456" s="41"/>
      <c r="AI1456" s="41"/>
      <c r="AJ1456" s="41"/>
      <c r="AK1456" s="41"/>
      <c r="AL1456" s="41"/>
      <c r="AM1456" s="41"/>
      <c r="AN1456" s="41"/>
      <c r="AO1456" s="41"/>
      <c r="AP1456" s="41"/>
      <c r="AQ1456" s="41"/>
    </row>
    <row r="1457">
      <c r="A1457" s="41"/>
      <c r="B1457" s="41"/>
      <c r="C1457" s="41"/>
      <c r="D1457" s="41"/>
      <c r="E1457" s="41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41"/>
      <c r="Q1457" s="41"/>
      <c r="R1457" s="41"/>
      <c r="S1457" s="41"/>
      <c r="T1457" s="41"/>
      <c r="U1457" s="41"/>
      <c r="V1457" s="41"/>
      <c r="W1457" s="41"/>
      <c r="X1457" s="41"/>
      <c r="Y1457" s="41"/>
      <c r="Z1457" s="41"/>
      <c r="AA1457" s="41"/>
      <c r="AB1457" s="41"/>
      <c r="AC1457" s="41"/>
      <c r="AD1457" s="41"/>
      <c r="AE1457" s="41"/>
      <c r="AF1457" s="41"/>
      <c r="AG1457" s="41"/>
      <c r="AH1457" s="41"/>
      <c r="AI1457" s="41"/>
      <c r="AJ1457" s="41"/>
      <c r="AK1457" s="41"/>
      <c r="AL1457" s="41"/>
      <c r="AM1457" s="41"/>
      <c r="AN1457" s="41"/>
      <c r="AO1457" s="41"/>
      <c r="AP1457" s="41"/>
      <c r="AQ1457" s="41"/>
    </row>
    <row r="1458">
      <c r="A1458" s="41"/>
      <c r="B1458" s="41"/>
      <c r="C1458" s="41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  <c r="Q1458" s="41"/>
      <c r="R1458" s="41"/>
      <c r="S1458" s="41"/>
      <c r="T1458" s="41"/>
      <c r="U1458" s="41"/>
      <c r="V1458" s="41"/>
      <c r="W1458" s="41"/>
      <c r="X1458" s="41"/>
      <c r="Y1458" s="41"/>
      <c r="Z1458" s="41"/>
      <c r="AA1458" s="41"/>
      <c r="AB1458" s="41"/>
      <c r="AC1458" s="41"/>
      <c r="AD1458" s="41"/>
      <c r="AE1458" s="41"/>
      <c r="AF1458" s="41"/>
      <c r="AG1458" s="41"/>
      <c r="AH1458" s="41"/>
      <c r="AI1458" s="41"/>
      <c r="AJ1458" s="41"/>
      <c r="AK1458" s="41"/>
      <c r="AL1458" s="41"/>
      <c r="AM1458" s="41"/>
      <c r="AN1458" s="41"/>
      <c r="AO1458" s="41"/>
      <c r="AP1458" s="41"/>
      <c r="AQ1458" s="41"/>
    </row>
    <row r="1459">
      <c r="A1459" s="41"/>
      <c r="B1459" s="41"/>
      <c r="C1459" s="41"/>
      <c r="D1459" s="41"/>
      <c r="E1459" s="41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41"/>
      <c r="Q1459" s="41"/>
      <c r="R1459" s="41"/>
      <c r="S1459" s="41"/>
      <c r="T1459" s="41"/>
      <c r="U1459" s="41"/>
      <c r="V1459" s="41"/>
      <c r="W1459" s="41"/>
      <c r="X1459" s="41"/>
      <c r="Y1459" s="41"/>
      <c r="Z1459" s="41"/>
      <c r="AA1459" s="41"/>
      <c r="AB1459" s="41"/>
      <c r="AC1459" s="41"/>
      <c r="AD1459" s="41"/>
      <c r="AE1459" s="41"/>
      <c r="AF1459" s="41"/>
      <c r="AG1459" s="41"/>
      <c r="AH1459" s="41"/>
      <c r="AI1459" s="41"/>
      <c r="AJ1459" s="41"/>
      <c r="AK1459" s="41"/>
      <c r="AL1459" s="41"/>
      <c r="AM1459" s="41"/>
      <c r="AN1459" s="41"/>
      <c r="AO1459" s="41"/>
      <c r="AP1459" s="41"/>
      <c r="AQ1459" s="41"/>
    </row>
    <row r="1460">
      <c r="A1460" s="41"/>
      <c r="B1460" s="41"/>
      <c r="C1460" s="41"/>
      <c r="D1460" s="41"/>
      <c r="E1460" s="41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41"/>
      <c r="Q1460" s="41"/>
      <c r="R1460" s="41"/>
      <c r="S1460" s="41"/>
      <c r="T1460" s="41"/>
      <c r="U1460" s="41"/>
      <c r="V1460" s="41"/>
      <c r="W1460" s="41"/>
      <c r="X1460" s="41"/>
      <c r="Y1460" s="41"/>
      <c r="Z1460" s="41"/>
      <c r="AA1460" s="41"/>
      <c r="AB1460" s="41"/>
      <c r="AC1460" s="41"/>
      <c r="AD1460" s="41"/>
      <c r="AE1460" s="41"/>
      <c r="AF1460" s="41"/>
      <c r="AG1460" s="41"/>
      <c r="AH1460" s="41"/>
      <c r="AI1460" s="41"/>
      <c r="AJ1460" s="41"/>
      <c r="AK1460" s="41"/>
      <c r="AL1460" s="41"/>
      <c r="AM1460" s="41"/>
      <c r="AN1460" s="41"/>
      <c r="AO1460" s="41"/>
      <c r="AP1460" s="41"/>
      <c r="AQ1460" s="41"/>
    </row>
    <row r="1461">
      <c r="A1461" s="41"/>
      <c r="B1461" s="41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  <c r="AA1461" s="41"/>
      <c r="AB1461" s="41"/>
      <c r="AC1461" s="41"/>
      <c r="AD1461" s="41"/>
      <c r="AE1461" s="41"/>
      <c r="AF1461" s="41"/>
      <c r="AG1461" s="41"/>
      <c r="AH1461" s="41"/>
      <c r="AI1461" s="41"/>
      <c r="AJ1461" s="41"/>
      <c r="AK1461" s="41"/>
      <c r="AL1461" s="41"/>
      <c r="AM1461" s="41"/>
      <c r="AN1461" s="41"/>
      <c r="AO1461" s="41"/>
      <c r="AP1461" s="41"/>
      <c r="AQ1461" s="41"/>
    </row>
    <row r="1462">
      <c r="A1462" s="41"/>
      <c r="B1462" s="41"/>
      <c r="C1462" s="41"/>
      <c r="D1462" s="41"/>
      <c r="E1462" s="41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41"/>
      <c r="Q1462" s="41"/>
      <c r="R1462" s="41"/>
      <c r="S1462" s="41"/>
      <c r="T1462" s="41"/>
      <c r="U1462" s="41"/>
      <c r="V1462" s="41"/>
      <c r="W1462" s="41"/>
      <c r="X1462" s="41"/>
      <c r="Y1462" s="41"/>
      <c r="Z1462" s="41"/>
      <c r="AA1462" s="41"/>
      <c r="AB1462" s="41"/>
      <c r="AC1462" s="41"/>
      <c r="AD1462" s="41"/>
      <c r="AE1462" s="41"/>
      <c r="AF1462" s="41"/>
      <c r="AG1462" s="41"/>
      <c r="AH1462" s="41"/>
      <c r="AI1462" s="41"/>
      <c r="AJ1462" s="41"/>
      <c r="AK1462" s="41"/>
      <c r="AL1462" s="41"/>
      <c r="AM1462" s="41"/>
      <c r="AN1462" s="41"/>
      <c r="AO1462" s="41"/>
      <c r="AP1462" s="41"/>
      <c r="AQ1462" s="41"/>
    </row>
    <row r="1463">
      <c r="A1463" s="41"/>
      <c r="B1463" s="41"/>
      <c r="C1463" s="41"/>
      <c r="D1463" s="41"/>
      <c r="E1463" s="41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41"/>
      <c r="Q1463" s="41"/>
      <c r="R1463" s="41"/>
      <c r="S1463" s="41"/>
      <c r="T1463" s="41"/>
      <c r="U1463" s="41"/>
      <c r="V1463" s="41"/>
      <c r="W1463" s="41"/>
      <c r="X1463" s="41"/>
      <c r="Y1463" s="41"/>
      <c r="Z1463" s="41"/>
      <c r="AA1463" s="41"/>
      <c r="AB1463" s="41"/>
      <c r="AC1463" s="41"/>
      <c r="AD1463" s="41"/>
      <c r="AE1463" s="41"/>
      <c r="AF1463" s="41"/>
      <c r="AG1463" s="41"/>
      <c r="AH1463" s="41"/>
      <c r="AI1463" s="41"/>
      <c r="AJ1463" s="41"/>
      <c r="AK1463" s="41"/>
      <c r="AL1463" s="41"/>
      <c r="AM1463" s="41"/>
      <c r="AN1463" s="41"/>
      <c r="AO1463" s="41"/>
      <c r="AP1463" s="41"/>
      <c r="AQ1463" s="41"/>
    </row>
    <row r="1464">
      <c r="A1464" s="41"/>
      <c r="B1464" s="41"/>
      <c r="C1464" s="41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41"/>
      <c r="Q1464" s="41"/>
      <c r="R1464" s="41"/>
      <c r="S1464" s="41"/>
      <c r="T1464" s="41"/>
      <c r="U1464" s="41"/>
      <c r="V1464" s="41"/>
      <c r="W1464" s="41"/>
      <c r="X1464" s="41"/>
      <c r="Y1464" s="41"/>
      <c r="Z1464" s="41"/>
      <c r="AA1464" s="41"/>
      <c r="AB1464" s="41"/>
      <c r="AC1464" s="41"/>
      <c r="AD1464" s="41"/>
      <c r="AE1464" s="41"/>
      <c r="AF1464" s="41"/>
      <c r="AG1464" s="41"/>
      <c r="AH1464" s="41"/>
      <c r="AI1464" s="41"/>
      <c r="AJ1464" s="41"/>
      <c r="AK1464" s="41"/>
      <c r="AL1464" s="41"/>
      <c r="AM1464" s="41"/>
      <c r="AN1464" s="41"/>
      <c r="AO1464" s="41"/>
      <c r="AP1464" s="41"/>
      <c r="AQ1464" s="41"/>
    </row>
    <row r="1465">
      <c r="A1465" s="41"/>
      <c r="B1465" s="41"/>
      <c r="C1465" s="41"/>
      <c r="D1465" s="41"/>
      <c r="E1465" s="41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41"/>
      <c r="Q1465" s="41"/>
      <c r="R1465" s="41"/>
      <c r="S1465" s="41"/>
      <c r="T1465" s="41"/>
      <c r="U1465" s="41"/>
      <c r="V1465" s="41"/>
      <c r="W1465" s="41"/>
      <c r="X1465" s="41"/>
      <c r="Y1465" s="41"/>
      <c r="Z1465" s="41"/>
      <c r="AA1465" s="41"/>
      <c r="AB1465" s="41"/>
      <c r="AC1465" s="41"/>
      <c r="AD1465" s="41"/>
      <c r="AE1465" s="41"/>
      <c r="AF1465" s="41"/>
      <c r="AG1465" s="41"/>
      <c r="AH1465" s="41"/>
      <c r="AI1465" s="41"/>
      <c r="AJ1465" s="41"/>
      <c r="AK1465" s="41"/>
      <c r="AL1465" s="41"/>
      <c r="AM1465" s="41"/>
      <c r="AN1465" s="41"/>
      <c r="AO1465" s="41"/>
      <c r="AP1465" s="41"/>
      <c r="AQ1465" s="41"/>
    </row>
    <row r="1466">
      <c r="A1466" s="41"/>
      <c r="B1466" s="41"/>
      <c r="C1466" s="41"/>
      <c r="D1466" s="41"/>
      <c r="E1466" s="41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41"/>
      <c r="Q1466" s="41"/>
      <c r="R1466" s="41"/>
      <c r="S1466" s="41"/>
      <c r="T1466" s="41"/>
      <c r="U1466" s="41"/>
      <c r="V1466" s="41"/>
      <c r="W1466" s="41"/>
      <c r="X1466" s="41"/>
      <c r="Y1466" s="41"/>
      <c r="Z1466" s="41"/>
      <c r="AA1466" s="41"/>
      <c r="AB1466" s="41"/>
      <c r="AC1466" s="41"/>
      <c r="AD1466" s="41"/>
      <c r="AE1466" s="41"/>
      <c r="AF1466" s="41"/>
      <c r="AG1466" s="41"/>
      <c r="AH1466" s="41"/>
      <c r="AI1466" s="41"/>
      <c r="AJ1466" s="41"/>
      <c r="AK1466" s="41"/>
      <c r="AL1466" s="41"/>
      <c r="AM1466" s="41"/>
      <c r="AN1466" s="41"/>
      <c r="AO1466" s="41"/>
      <c r="AP1466" s="41"/>
      <c r="AQ1466" s="41"/>
    </row>
    <row r="1467">
      <c r="A1467" s="41"/>
      <c r="B1467" s="41"/>
      <c r="C1467" s="41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  <c r="Q1467" s="41"/>
      <c r="R1467" s="41"/>
      <c r="S1467" s="41"/>
      <c r="T1467" s="41"/>
      <c r="U1467" s="41"/>
      <c r="V1467" s="41"/>
      <c r="W1467" s="41"/>
      <c r="X1467" s="41"/>
      <c r="Y1467" s="41"/>
      <c r="Z1467" s="41"/>
      <c r="AA1467" s="41"/>
      <c r="AB1467" s="41"/>
      <c r="AC1467" s="41"/>
      <c r="AD1467" s="41"/>
      <c r="AE1467" s="41"/>
      <c r="AF1467" s="41"/>
      <c r="AG1467" s="41"/>
      <c r="AH1467" s="41"/>
      <c r="AI1467" s="41"/>
      <c r="AJ1467" s="41"/>
      <c r="AK1467" s="41"/>
      <c r="AL1467" s="41"/>
      <c r="AM1467" s="41"/>
      <c r="AN1467" s="41"/>
      <c r="AO1467" s="41"/>
      <c r="AP1467" s="41"/>
      <c r="AQ1467" s="41"/>
    </row>
    <row r="1468">
      <c r="A1468" s="41"/>
      <c r="B1468" s="41"/>
      <c r="C1468" s="41"/>
      <c r="D1468" s="41"/>
      <c r="E1468" s="41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41"/>
      <c r="Q1468" s="41"/>
      <c r="R1468" s="41"/>
      <c r="S1468" s="41"/>
      <c r="T1468" s="41"/>
      <c r="U1468" s="41"/>
      <c r="V1468" s="41"/>
      <c r="W1468" s="41"/>
      <c r="X1468" s="41"/>
      <c r="Y1468" s="41"/>
      <c r="Z1468" s="41"/>
      <c r="AA1468" s="41"/>
      <c r="AB1468" s="41"/>
      <c r="AC1468" s="41"/>
      <c r="AD1468" s="41"/>
      <c r="AE1468" s="41"/>
      <c r="AF1468" s="41"/>
      <c r="AG1468" s="41"/>
      <c r="AH1468" s="41"/>
      <c r="AI1468" s="41"/>
      <c r="AJ1468" s="41"/>
      <c r="AK1468" s="41"/>
      <c r="AL1468" s="41"/>
      <c r="AM1468" s="41"/>
      <c r="AN1468" s="41"/>
      <c r="AO1468" s="41"/>
      <c r="AP1468" s="41"/>
      <c r="AQ1468" s="41"/>
    </row>
    <row r="1469">
      <c r="A1469" s="41"/>
      <c r="B1469" s="41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  <c r="AA1469" s="41"/>
      <c r="AB1469" s="41"/>
      <c r="AC1469" s="41"/>
      <c r="AD1469" s="41"/>
      <c r="AE1469" s="41"/>
      <c r="AF1469" s="41"/>
      <c r="AG1469" s="41"/>
      <c r="AH1469" s="41"/>
      <c r="AI1469" s="41"/>
      <c r="AJ1469" s="41"/>
      <c r="AK1469" s="41"/>
      <c r="AL1469" s="41"/>
      <c r="AM1469" s="41"/>
      <c r="AN1469" s="41"/>
      <c r="AO1469" s="41"/>
      <c r="AP1469" s="41"/>
      <c r="AQ1469" s="41"/>
    </row>
    <row r="1470">
      <c r="A1470" s="41"/>
      <c r="B1470" s="41"/>
      <c r="C1470" s="41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41"/>
      <c r="AA1470" s="41"/>
      <c r="AB1470" s="41"/>
      <c r="AC1470" s="41"/>
      <c r="AD1470" s="41"/>
      <c r="AE1470" s="41"/>
      <c r="AF1470" s="41"/>
      <c r="AG1470" s="41"/>
      <c r="AH1470" s="41"/>
      <c r="AI1470" s="41"/>
      <c r="AJ1470" s="41"/>
      <c r="AK1470" s="41"/>
      <c r="AL1470" s="41"/>
      <c r="AM1470" s="41"/>
      <c r="AN1470" s="41"/>
      <c r="AO1470" s="41"/>
      <c r="AP1470" s="41"/>
      <c r="AQ1470" s="41"/>
    </row>
    <row r="1471">
      <c r="A1471" s="41"/>
      <c r="B1471" s="41"/>
      <c r="C1471" s="41"/>
      <c r="D1471" s="41"/>
      <c r="E1471" s="41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41"/>
      <c r="Q1471" s="41"/>
      <c r="R1471" s="41"/>
      <c r="S1471" s="41"/>
      <c r="T1471" s="41"/>
      <c r="U1471" s="41"/>
      <c r="V1471" s="41"/>
      <c r="W1471" s="41"/>
      <c r="X1471" s="41"/>
      <c r="Y1471" s="41"/>
      <c r="Z1471" s="41"/>
      <c r="AA1471" s="41"/>
      <c r="AB1471" s="41"/>
      <c r="AC1471" s="41"/>
      <c r="AD1471" s="41"/>
      <c r="AE1471" s="41"/>
      <c r="AF1471" s="41"/>
      <c r="AG1471" s="41"/>
      <c r="AH1471" s="41"/>
      <c r="AI1471" s="41"/>
      <c r="AJ1471" s="41"/>
      <c r="AK1471" s="41"/>
      <c r="AL1471" s="41"/>
      <c r="AM1471" s="41"/>
      <c r="AN1471" s="41"/>
      <c r="AO1471" s="41"/>
      <c r="AP1471" s="41"/>
      <c r="AQ1471" s="41"/>
    </row>
    <row r="1472">
      <c r="A1472" s="41"/>
      <c r="B1472" s="41"/>
      <c r="C1472" s="41"/>
      <c r="D1472" s="41"/>
      <c r="E1472" s="41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41"/>
      <c r="Q1472" s="41"/>
      <c r="R1472" s="41"/>
      <c r="S1472" s="41"/>
      <c r="T1472" s="41"/>
      <c r="U1472" s="41"/>
      <c r="V1472" s="41"/>
      <c r="W1472" s="41"/>
      <c r="X1472" s="41"/>
      <c r="Y1472" s="41"/>
      <c r="Z1472" s="41"/>
      <c r="AA1472" s="41"/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/>
      <c r="AN1472" s="41"/>
      <c r="AO1472" s="41"/>
      <c r="AP1472" s="41"/>
      <c r="AQ1472" s="41"/>
    </row>
    <row r="1473">
      <c r="A1473" s="41"/>
      <c r="B1473" s="41"/>
      <c r="C1473" s="41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  <c r="AA1473" s="41"/>
      <c r="AB1473" s="41"/>
      <c r="AC1473" s="41"/>
      <c r="AD1473" s="41"/>
      <c r="AE1473" s="41"/>
      <c r="AF1473" s="41"/>
      <c r="AG1473" s="41"/>
      <c r="AH1473" s="41"/>
      <c r="AI1473" s="41"/>
      <c r="AJ1473" s="41"/>
      <c r="AK1473" s="41"/>
      <c r="AL1473" s="41"/>
      <c r="AM1473" s="41"/>
      <c r="AN1473" s="41"/>
      <c r="AO1473" s="41"/>
      <c r="AP1473" s="41"/>
      <c r="AQ1473" s="41"/>
    </row>
    <row r="1474">
      <c r="A1474" s="41"/>
      <c r="B1474" s="41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  <c r="AA1474" s="41"/>
      <c r="AB1474" s="41"/>
      <c r="AC1474" s="41"/>
      <c r="AD1474" s="41"/>
      <c r="AE1474" s="41"/>
      <c r="AF1474" s="41"/>
      <c r="AG1474" s="41"/>
      <c r="AH1474" s="41"/>
      <c r="AI1474" s="41"/>
      <c r="AJ1474" s="41"/>
      <c r="AK1474" s="41"/>
      <c r="AL1474" s="41"/>
      <c r="AM1474" s="41"/>
      <c r="AN1474" s="41"/>
      <c r="AO1474" s="41"/>
      <c r="AP1474" s="41"/>
      <c r="AQ1474" s="41"/>
    </row>
    <row r="1475">
      <c r="A1475" s="41"/>
      <c r="B1475" s="41"/>
      <c r="C1475" s="41"/>
      <c r="D1475" s="41"/>
      <c r="E1475" s="41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41"/>
      <c r="Q1475" s="41"/>
      <c r="R1475" s="41"/>
      <c r="S1475" s="41"/>
      <c r="T1475" s="41"/>
      <c r="U1475" s="41"/>
      <c r="V1475" s="41"/>
      <c r="W1475" s="41"/>
      <c r="X1475" s="41"/>
      <c r="Y1475" s="41"/>
      <c r="Z1475" s="41"/>
      <c r="AA1475" s="41"/>
      <c r="AB1475" s="41"/>
      <c r="AC1475" s="41"/>
      <c r="AD1475" s="41"/>
      <c r="AE1475" s="41"/>
      <c r="AF1475" s="41"/>
      <c r="AG1475" s="41"/>
      <c r="AH1475" s="41"/>
      <c r="AI1475" s="41"/>
      <c r="AJ1475" s="41"/>
      <c r="AK1475" s="41"/>
      <c r="AL1475" s="41"/>
      <c r="AM1475" s="41"/>
      <c r="AN1475" s="41"/>
      <c r="AO1475" s="41"/>
      <c r="AP1475" s="41"/>
      <c r="AQ1475" s="41"/>
    </row>
    <row r="1476">
      <c r="A1476" s="41"/>
      <c r="B1476" s="41"/>
      <c r="C1476" s="41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41"/>
      <c r="Q1476" s="41"/>
      <c r="R1476" s="41"/>
      <c r="S1476" s="41"/>
      <c r="T1476" s="41"/>
      <c r="U1476" s="41"/>
      <c r="V1476" s="41"/>
      <c r="W1476" s="41"/>
      <c r="X1476" s="41"/>
      <c r="Y1476" s="41"/>
      <c r="Z1476" s="41"/>
      <c r="AA1476" s="41"/>
      <c r="AB1476" s="41"/>
      <c r="AC1476" s="41"/>
      <c r="AD1476" s="41"/>
      <c r="AE1476" s="41"/>
      <c r="AF1476" s="41"/>
      <c r="AG1476" s="41"/>
      <c r="AH1476" s="41"/>
      <c r="AI1476" s="41"/>
      <c r="AJ1476" s="41"/>
      <c r="AK1476" s="41"/>
      <c r="AL1476" s="41"/>
      <c r="AM1476" s="41"/>
      <c r="AN1476" s="41"/>
      <c r="AO1476" s="41"/>
      <c r="AP1476" s="41"/>
      <c r="AQ1476" s="41"/>
    </row>
    <row r="1477">
      <c r="A1477" s="41"/>
      <c r="B1477" s="41"/>
      <c r="C1477" s="41"/>
      <c r="D1477" s="41"/>
      <c r="E1477" s="41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41"/>
      <c r="Q1477" s="41"/>
      <c r="R1477" s="41"/>
      <c r="S1477" s="41"/>
      <c r="T1477" s="41"/>
      <c r="U1477" s="41"/>
      <c r="V1477" s="41"/>
      <c r="W1477" s="41"/>
      <c r="X1477" s="41"/>
      <c r="Y1477" s="41"/>
      <c r="Z1477" s="41"/>
      <c r="AA1477" s="41"/>
      <c r="AB1477" s="41"/>
      <c r="AC1477" s="41"/>
      <c r="AD1477" s="41"/>
      <c r="AE1477" s="41"/>
      <c r="AF1477" s="41"/>
      <c r="AG1477" s="41"/>
      <c r="AH1477" s="41"/>
      <c r="AI1477" s="41"/>
      <c r="AJ1477" s="41"/>
      <c r="AK1477" s="41"/>
      <c r="AL1477" s="41"/>
      <c r="AM1477" s="41"/>
      <c r="AN1477" s="41"/>
      <c r="AO1477" s="41"/>
      <c r="AP1477" s="41"/>
      <c r="AQ1477" s="41"/>
    </row>
    <row r="1478">
      <c r="A1478" s="41"/>
      <c r="B1478" s="41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  <c r="Q1478" s="41"/>
      <c r="R1478" s="41"/>
      <c r="S1478" s="41"/>
      <c r="T1478" s="41"/>
      <c r="U1478" s="41"/>
      <c r="V1478" s="41"/>
      <c r="W1478" s="41"/>
      <c r="X1478" s="41"/>
      <c r="Y1478" s="41"/>
      <c r="Z1478" s="41"/>
      <c r="AA1478" s="41"/>
      <c r="AB1478" s="41"/>
      <c r="AC1478" s="41"/>
      <c r="AD1478" s="41"/>
      <c r="AE1478" s="41"/>
      <c r="AF1478" s="41"/>
      <c r="AG1478" s="41"/>
      <c r="AH1478" s="41"/>
      <c r="AI1478" s="41"/>
      <c r="AJ1478" s="41"/>
      <c r="AK1478" s="41"/>
      <c r="AL1478" s="41"/>
      <c r="AM1478" s="41"/>
      <c r="AN1478" s="41"/>
      <c r="AO1478" s="41"/>
      <c r="AP1478" s="41"/>
      <c r="AQ1478" s="41"/>
    </row>
    <row r="1479">
      <c r="A1479" s="41"/>
      <c r="B1479" s="41"/>
      <c r="C1479" s="41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41"/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  <c r="AA1479" s="41"/>
      <c r="AB1479" s="41"/>
      <c r="AC1479" s="41"/>
      <c r="AD1479" s="41"/>
      <c r="AE1479" s="41"/>
      <c r="AF1479" s="41"/>
      <c r="AG1479" s="41"/>
      <c r="AH1479" s="41"/>
      <c r="AI1479" s="41"/>
      <c r="AJ1479" s="41"/>
      <c r="AK1479" s="41"/>
      <c r="AL1479" s="41"/>
      <c r="AM1479" s="41"/>
      <c r="AN1479" s="41"/>
      <c r="AO1479" s="41"/>
      <c r="AP1479" s="41"/>
      <c r="AQ1479" s="41"/>
    </row>
    <row r="1480">
      <c r="A1480" s="41"/>
      <c r="B1480" s="41"/>
      <c r="C1480" s="41"/>
      <c r="D1480" s="41"/>
      <c r="E1480" s="41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41"/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  <c r="AA1480" s="41"/>
      <c r="AB1480" s="41"/>
      <c r="AC1480" s="41"/>
      <c r="AD1480" s="41"/>
      <c r="AE1480" s="41"/>
      <c r="AF1480" s="41"/>
      <c r="AG1480" s="41"/>
      <c r="AH1480" s="41"/>
      <c r="AI1480" s="41"/>
      <c r="AJ1480" s="41"/>
      <c r="AK1480" s="41"/>
      <c r="AL1480" s="41"/>
      <c r="AM1480" s="41"/>
      <c r="AN1480" s="41"/>
      <c r="AO1480" s="41"/>
      <c r="AP1480" s="41"/>
      <c r="AQ1480" s="41"/>
    </row>
    <row r="1481">
      <c r="A1481" s="41"/>
      <c r="B1481" s="41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1"/>
      <c r="Q1481" s="41"/>
      <c r="R1481" s="41"/>
      <c r="S1481" s="41"/>
      <c r="T1481" s="41"/>
      <c r="U1481" s="41"/>
      <c r="V1481" s="41"/>
      <c r="W1481" s="41"/>
      <c r="X1481" s="41"/>
      <c r="Y1481" s="41"/>
      <c r="Z1481" s="41"/>
      <c r="AA1481" s="41"/>
      <c r="AB1481" s="41"/>
      <c r="AC1481" s="41"/>
      <c r="AD1481" s="41"/>
      <c r="AE1481" s="41"/>
      <c r="AF1481" s="41"/>
      <c r="AG1481" s="41"/>
      <c r="AH1481" s="41"/>
      <c r="AI1481" s="41"/>
      <c r="AJ1481" s="41"/>
      <c r="AK1481" s="41"/>
      <c r="AL1481" s="41"/>
      <c r="AM1481" s="41"/>
      <c r="AN1481" s="41"/>
      <c r="AO1481" s="41"/>
      <c r="AP1481" s="41"/>
      <c r="AQ1481" s="41"/>
    </row>
    <row r="1482">
      <c r="A1482" s="41"/>
      <c r="B1482" s="41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1"/>
      <c r="Q1482" s="41"/>
      <c r="R1482" s="41"/>
      <c r="S1482" s="41"/>
      <c r="T1482" s="41"/>
      <c r="U1482" s="41"/>
      <c r="V1482" s="41"/>
      <c r="W1482" s="41"/>
      <c r="X1482" s="41"/>
      <c r="Y1482" s="41"/>
      <c r="Z1482" s="41"/>
      <c r="AA1482" s="41"/>
      <c r="AB1482" s="41"/>
      <c r="AC1482" s="41"/>
      <c r="AD1482" s="41"/>
      <c r="AE1482" s="41"/>
      <c r="AF1482" s="41"/>
      <c r="AG1482" s="41"/>
      <c r="AH1482" s="41"/>
      <c r="AI1482" s="41"/>
      <c r="AJ1482" s="41"/>
      <c r="AK1482" s="41"/>
      <c r="AL1482" s="41"/>
      <c r="AM1482" s="41"/>
      <c r="AN1482" s="41"/>
      <c r="AO1482" s="41"/>
      <c r="AP1482" s="41"/>
      <c r="AQ1482" s="41"/>
    </row>
    <row r="1483">
      <c r="A1483" s="41"/>
      <c r="B1483" s="41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1"/>
      <c r="Q1483" s="41"/>
      <c r="R1483" s="41"/>
      <c r="S1483" s="41"/>
      <c r="T1483" s="41"/>
      <c r="U1483" s="41"/>
      <c r="V1483" s="41"/>
      <c r="W1483" s="41"/>
      <c r="X1483" s="41"/>
      <c r="Y1483" s="41"/>
      <c r="Z1483" s="41"/>
      <c r="AA1483" s="41"/>
      <c r="AB1483" s="41"/>
      <c r="AC1483" s="41"/>
      <c r="AD1483" s="41"/>
      <c r="AE1483" s="41"/>
      <c r="AF1483" s="41"/>
      <c r="AG1483" s="41"/>
      <c r="AH1483" s="41"/>
      <c r="AI1483" s="41"/>
      <c r="AJ1483" s="41"/>
      <c r="AK1483" s="41"/>
      <c r="AL1483" s="41"/>
      <c r="AM1483" s="41"/>
      <c r="AN1483" s="41"/>
      <c r="AO1483" s="41"/>
      <c r="AP1483" s="41"/>
      <c r="AQ1483" s="41"/>
    </row>
    <row r="1484">
      <c r="A1484" s="41"/>
      <c r="B1484" s="41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1"/>
      <c r="Q1484" s="41"/>
      <c r="R1484" s="41"/>
      <c r="S1484" s="41"/>
      <c r="T1484" s="41"/>
      <c r="U1484" s="41"/>
      <c r="V1484" s="41"/>
      <c r="W1484" s="41"/>
      <c r="X1484" s="41"/>
      <c r="Y1484" s="41"/>
      <c r="Z1484" s="41"/>
      <c r="AA1484" s="41"/>
      <c r="AB1484" s="41"/>
      <c r="AC1484" s="41"/>
      <c r="AD1484" s="41"/>
      <c r="AE1484" s="41"/>
      <c r="AF1484" s="41"/>
      <c r="AG1484" s="41"/>
      <c r="AH1484" s="41"/>
      <c r="AI1484" s="41"/>
      <c r="AJ1484" s="41"/>
      <c r="AK1484" s="41"/>
      <c r="AL1484" s="41"/>
      <c r="AM1484" s="41"/>
      <c r="AN1484" s="41"/>
      <c r="AO1484" s="41"/>
      <c r="AP1484" s="41"/>
      <c r="AQ1484" s="41"/>
    </row>
    <row r="1485">
      <c r="A1485" s="41"/>
      <c r="B1485" s="41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1"/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  <c r="AA1485" s="41"/>
      <c r="AB1485" s="41"/>
      <c r="AC1485" s="41"/>
      <c r="AD1485" s="41"/>
      <c r="AE1485" s="41"/>
      <c r="AF1485" s="41"/>
      <c r="AG1485" s="41"/>
      <c r="AH1485" s="41"/>
      <c r="AI1485" s="41"/>
      <c r="AJ1485" s="41"/>
      <c r="AK1485" s="41"/>
      <c r="AL1485" s="41"/>
      <c r="AM1485" s="41"/>
      <c r="AN1485" s="41"/>
      <c r="AO1485" s="41"/>
      <c r="AP1485" s="41"/>
      <c r="AQ1485" s="41"/>
    </row>
    <row r="1486">
      <c r="A1486" s="41"/>
      <c r="B1486" s="41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1"/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  <c r="AA1486" s="41"/>
      <c r="AB1486" s="41"/>
      <c r="AC1486" s="41"/>
      <c r="AD1486" s="41"/>
      <c r="AE1486" s="41"/>
      <c r="AF1486" s="41"/>
      <c r="AG1486" s="41"/>
      <c r="AH1486" s="41"/>
      <c r="AI1486" s="41"/>
      <c r="AJ1486" s="41"/>
      <c r="AK1486" s="41"/>
      <c r="AL1486" s="41"/>
      <c r="AM1486" s="41"/>
      <c r="AN1486" s="41"/>
      <c r="AO1486" s="41"/>
      <c r="AP1486" s="41"/>
      <c r="AQ1486" s="41"/>
    </row>
    <row r="1487">
      <c r="A1487" s="41"/>
      <c r="B1487" s="41"/>
      <c r="C1487" s="41"/>
      <c r="D1487" s="41"/>
      <c r="E1487" s="41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41"/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  <c r="AA1487" s="41"/>
      <c r="AB1487" s="41"/>
      <c r="AC1487" s="41"/>
      <c r="AD1487" s="41"/>
      <c r="AE1487" s="41"/>
      <c r="AF1487" s="41"/>
      <c r="AG1487" s="41"/>
      <c r="AH1487" s="41"/>
      <c r="AI1487" s="41"/>
      <c r="AJ1487" s="41"/>
      <c r="AK1487" s="41"/>
      <c r="AL1487" s="41"/>
      <c r="AM1487" s="41"/>
      <c r="AN1487" s="41"/>
      <c r="AO1487" s="41"/>
      <c r="AP1487" s="41"/>
      <c r="AQ1487" s="41"/>
    </row>
    <row r="1488">
      <c r="A1488" s="41"/>
      <c r="B1488" s="41"/>
      <c r="C1488" s="41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41"/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  <c r="AA1488" s="41"/>
      <c r="AB1488" s="41"/>
      <c r="AC1488" s="41"/>
      <c r="AD1488" s="41"/>
      <c r="AE1488" s="41"/>
      <c r="AF1488" s="41"/>
      <c r="AG1488" s="41"/>
      <c r="AH1488" s="41"/>
      <c r="AI1488" s="41"/>
      <c r="AJ1488" s="41"/>
      <c r="AK1488" s="41"/>
      <c r="AL1488" s="41"/>
      <c r="AM1488" s="41"/>
      <c r="AN1488" s="41"/>
      <c r="AO1488" s="41"/>
      <c r="AP1488" s="41"/>
      <c r="AQ1488" s="41"/>
    </row>
    <row r="1489">
      <c r="A1489" s="41"/>
      <c r="B1489" s="41"/>
      <c r="C1489" s="41"/>
      <c r="D1489" s="41"/>
      <c r="E1489" s="41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41"/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  <c r="AA1489" s="41"/>
      <c r="AB1489" s="41"/>
      <c r="AC1489" s="41"/>
      <c r="AD1489" s="41"/>
      <c r="AE1489" s="41"/>
      <c r="AF1489" s="41"/>
      <c r="AG1489" s="41"/>
      <c r="AH1489" s="41"/>
      <c r="AI1489" s="41"/>
      <c r="AJ1489" s="41"/>
      <c r="AK1489" s="41"/>
      <c r="AL1489" s="41"/>
      <c r="AM1489" s="41"/>
      <c r="AN1489" s="41"/>
      <c r="AO1489" s="41"/>
      <c r="AP1489" s="41"/>
      <c r="AQ1489" s="41"/>
    </row>
    <row r="1490">
      <c r="A1490" s="41"/>
      <c r="B1490" s="41"/>
      <c r="C1490" s="41"/>
      <c r="D1490" s="41"/>
      <c r="E1490" s="41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41"/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  <c r="AA1490" s="41"/>
      <c r="AB1490" s="41"/>
      <c r="AC1490" s="41"/>
      <c r="AD1490" s="41"/>
      <c r="AE1490" s="41"/>
      <c r="AF1490" s="41"/>
      <c r="AG1490" s="41"/>
      <c r="AH1490" s="41"/>
      <c r="AI1490" s="41"/>
      <c r="AJ1490" s="41"/>
      <c r="AK1490" s="41"/>
      <c r="AL1490" s="41"/>
      <c r="AM1490" s="41"/>
      <c r="AN1490" s="41"/>
      <c r="AO1490" s="41"/>
      <c r="AP1490" s="41"/>
      <c r="AQ1490" s="41"/>
    </row>
    <row r="1491">
      <c r="A1491" s="41"/>
      <c r="B1491" s="41"/>
      <c r="C1491" s="41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  <c r="AA1491" s="41"/>
      <c r="AB1491" s="41"/>
      <c r="AC1491" s="41"/>
      <c r="AD1491" s="41"/>
      <c r="AE1491" s="41"/>
      <c r="AF1491" s="41"/>
      <c r="AG1491" s="41"/>
      <c r="AH1491" s="41"/>
      <c r="AI1491" s="41"/>
      <c r="AJ1491" s="41"/>
      <c r="AK1491" s="41"/>
      <c r="AL1491" s="41"/>
      <c r="AM1491" s="41"/>
      <c r="AN1491" s="41"/>
      <c r="AO1491" s="41"/>
      <c r="AP1491" s="41"/>
      <c r="AQ1491" s="41"/>
    </row>
    <row r="1492">
      <c r="A1492" s="41"/>
      <c r="B1492" s="41"/>
      <c r="C1492" s="41"/>
      <c r="D1492" s="41"/>
      <c r="E1492" s="41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  <c r="AA1492" s="41"/>
      <c r="AB1492" s="41"/>
      <c r="AC1492" s="41"/>
      <c r="AD1492" s="41"/>
      <c r="AE1492" s="41"/>
      <c r="AF1492" s="41"/>
      <c r="AG1492" s="41"/>
      <c r="AH1492" s="41"/>
      <c r="AI1492" s="41"/>
      <c r="AJ1492" s="41"/>
      <c r="AK1492" s="41"/>
      <c r="AL1492" s="41"/>
      <c r="AM1492" s="41"/>
      <c r="AN1492" s="41"/>
      <c r="AO1492" s="41"/>
      <c r="AP1492" s="41"/>
      <c r="AQ1492" s="41"/>
    </row>
    <row r="1493">
      <c r="A1493" s="41"/>
      <c r="B1493" s="41"/>
      <c r="C1493" s="41"/>
      <c r="D1493" s="41"/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  <c r="AA1493" s="41"/>
      <c r="AB1493" s="41"/>
      <c r="AC1493" s="41"/>
      <c r="AD1493" s="41"/>
      <c r="AE1493" s="41"/>
      <c r="AF1493" s="41"/>
      <c r="AG1493" s="41"/>
      <c r="AH1493" s="41"/>
      <c r="AI1493" s="41"/>
      <c r="AJ1493" s="41"/>
      <c r="AK1493" s="41"/>
      <c r="AL1493" s="41"/>
      <c r="AM1493" s="41"/>
      <c r="AN1493" s="41"/>
      <c r="AO1493" s="41"/>
      <c r="AP1493" s="41"/>
      <c r="AQ1493" s="41"/>
    </row>
    <row r="1494">
      <c r="A1494" s="41"/>
      <c r="B1494" s="41"/>
      <c r="C1494" s="41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41"/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  <c r="AA1494" s="41"/>
      <c r="AB1494" s="41"/>
      <c r="AC1494" s="41"/>
      <c r="AD1494" s="41"/>
      <c r="AE1494" s="41"/>
      <c r="AF1494" s="41"/>
      <c r="AG1494" s="41"/>
      <c r="AH1494" s="41"/>
      <c r="AI1494" s="41"/>
      <c r="AJ1494" s="41"/>
      <c r="AK1494" s="41"/>
      <c r="AL1494" s="41"/>
      <c r="AM1494" s="41"/>
      <c r="AN1494" s="41"/>
      <c r="AO1494" s="41"/>
      <c r="AP1494" s="41"/>
      <c r="AQ1494" s="41"/>
    </row>
    <row r="1495">
      <c r="A1495" s="41"/>
      <c r="B1495" s="41"/>
      <c r="C1495" s="41"/>
      <c r="D1495" s="41"/>
      <c r="E1495" s="41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41"/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  <c r="AA1495" s="41"/>
      <c r="AB1495" s="41"/>
      <c r="AC1495" s="41"/>
      <c r="AD1495" s="41"/>
      <c r="AE1495" s="41"/>
      <c r="AF1495" s="41"/>
      <c r="AG1495" s="41"/>
      <c r="AH1495" s="41"/>
      <c r="AI1495" s="41"/>
      <c r="AJ1495" s="41"/>
      <c r="AK1495" s="41"/>
      <c r="AL1495" s="41"/>
      <c r="AM1495" s="41"/>
      <c r="AN1495" s="41"/>
      <c r="AO1495" s="41"/>
      <c r="AP1495" s="41"/>
      <c r="AQ1495" s="41"/>
    </row>
    <row r="1496">
      <c r="A1496" s="41"/>
      <c r="B1496" s="41"/>
      <c r="C1496" s="41"/>
      <c r="D1496" s="41"/>
      <c r="E1496" s="41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41"/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  <c r="AA1496" s="41"/>
      <c r="AB1496" s="41"/>
      <c r="AC1496" s="41"/>
      <c r="AD1496" s="41"/>
      <c r="AE1496" s="41"/>
      <c r="AF1496" s="41"/>
      <c r="AG1496" s="41"/>
      <c r="AH1496" s="41"/>
      <c r="AI1496" s="41"/>
      <c r="AJ1496" s="41"/>
      <c r="AK1496" s="41"/>
      <c r="AL1496" s="41"/>
      <c r="AM1496" s="41"/>
      <c r="AN1496" s="41"/>
      <c r="AO1496" s="41"/>
      <c r="AP1496" s="41"/>
      <c r="AQ1496" s="41"/>
    </row>
    <row r="1497">
      <c r="A1497" s="41"/>
      <c r="B1497" s="41"/>
      <c r="C1497" s="41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41"/>
      <c r="Q1497" s="41"/>
      <c r="R1497" s="41"/>
      <c r="S1497" s="41"/>
      <c r="T1497" s="41"/>
      <c r="U1497" s="41"/>
      <c r="V1497" s="41"/>
      <c r="W1497" s="41"/>
      <c r="X1497" s="41"/>
      <c r="Y1497" s="41"/>
      <c r="Z1497" s="41"/>
      <c r="AA1497" s="41"/>
      <c r="AB1497" s="41"/>
      <c r="AC1497" s="41"/>
      <c r="AD1497" s="41"/>
      <c r="AE1497" s="41"/>
      <c r="AF1497" s="41"/>
      <c r="AG1497" s="41"/>
      <c r="AH1497" s="41"/>
      <c r="AI1497" s="41"/>
      <c r="AJ1497" s="41"/>
      <c r="AK1497" s="41"/>
      <c r="AL1497" s="41"/>
      <c r="AM1497" s="41"/>
      <c r="AN1497" s="41"/>
      <c r="AO1497" s="41"/>
      <c r="AP1497" s="41"/>
      <c r="AQ1497" s="41"/>
    </row>
    <row r="1498">
      <c r="A1498" s="41"/>
      <c r="B1498" s="41"/>
      <c r="C1498" s="41"/>
      <c r="D1498" s="41"/>
      <c r="E1498" s="41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41"/>
      <c r="Q1498" s="41"/>
      <c r="R1498" s="41"/>
      <c r="S1498" s="41"/>
      <c r="T1498" s="41"/>
      <c r="U1498" s="41"/>
      <c r="V1498" s="41"/>
      <c r="W1498" s="41"/>
      <c r="X1498" s="41"/>
      <c r="Y1498" s="41"/>
      <c r="Z1498" s="41"/>
      <c r="AA1498" s="41"/>
      <c r="AB1498" s="41"/>
      <c r="AC1498" s="41"/>
      <c r="AD1498" s="41"/>
      <c r="AE1498" s="41"/>
      <c r="AF1498" s="41"/>
      <c r="AG1498" s="41"/>
      <c r="AH1498" s="41"/>
      <c r="AI1498" s="41"/>
      <c r="AJ1498" s="41"/>
      <c r="AK1498" s="41"/>
      <c r="AL1498" s="41"/>
      <c r="AM1498" s="41"/>
      <c r="AN1498" s="41"/>
      <c r="AO1498" s="41"/>
      <c r="AP1498" s="41"/>
      <c r="AQ1498" s="41"/>
    </row>
    <row r="1499">
      <c r="A1499" s="41"/>
      <c r="B1499" s="41"/>
      <c r="C1499" s="41"/>
      <c r="D1499" s="41"/>
      <c r="E1499" s="41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41"/>
      <c r="Q1499" s="41"/>
      <c r="R1499" s="41"/>
      <c r="S1499" s="41"/>
      <c r="T1499" s="41"/>
      <c r="U1499" s="41"/>
      <c r="V1499" s="41"/>
      <c r="W1499" s="41"/>
      <c r="X1499" s="41"/>
      <c r="Y1499" s="41"/>
      <c r="Z1499" s="41"/>
      <c r="AA1499" s="41"/>
      <c r="AB1499" s="41"/>
      <c r="AC1499" s="41"/>
      <c r="AD1499" s="41"/>
      <c r="AE1499" s="41"/>
      <c r="AF1499" s="41"/>
      <c r="AG1499" s="41"/>
      <c r="AH1499" s="41"/>
      <c r="AI1499" s="41"/>
      <c r="AJ1499" s="41"/>
      <c r="AK1499" s="41"/>
      <c r="AL1499" s="41"/>
      <c r="AM1499" s="41"/>
      <c r="AN1499" s="41"/>
      <c r="AO1499" s="41"/>
      <c r="AP1499" s="41"/>
      <c r="AQ1499" s="41"/>
    </row>
    <row r="1500">
      <c r="A1500" s="41"/>
      <c r="B1500" s="41"/>
      <c r="C1500" s="41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  <c r="Q1500" s="41"/>
      <c r="R1500" s="41"/>
      <c r="S1500" s="41"/>
      <c r="T1500" s="41"/>
      <c r="U1500" s="41"/>
      <c r="V1500" s="41"/>
      <c r="W1500" s="41"/>
      <c r="X1500" s="41"/>
      <c r="Y1500" s="41"/>
      <c r="Z1500" s="41"/>
      <c r="AA1500" s="41"/>
      <c r="AB1500" s="41"/>
      <c r="AC1500" s="41"/>
      <c r="AD1500" s="41"/>
      <c r="AE1500" s="41"/>
      <c r="AF1500" s="41"/>
      <c r="AG1500" s="41"/>
      <c r="AH1500" s="41"/>
      <c r="AI1500" s="41"/>
      <c r="AJ1500" s="41"/>
      <c r="AK1500" s="41"/>
      <c r="AL1500" s="41"/>
      <c r="AM1500" s="41"/>
      <c r="AN1500" s="41"/>
      <c r="AO1500" s="41"/>
      <c r="AP1500" s="41"/>
      <c r="AQ1500" s="41"/>
    </row>
    <row r="1501">
      <c r="A1501" s="41"/>
      <c r="B1501" s="41"/>
      <c r="C1501" s="41"/>
      <c r="D1501" s="41"/>
      <c r="E1501" s="41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41"/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  <c r="AA1501" s="41"/>
      <c r="AB1501" s="41"/>
      <c r="AC1501" s="41"/>
      <c r="AD1501" s="41"/>
      <c r="AE1501" s="41"/>
      <c r="AF1501" s="41"/>
      <c r="AG1501" s="41"/>
      <c r="AH1501" s="41"/>
      <c r="AI1501" s="41"/>
      <c r="AJ1501" s="41"/>
      <c r="AK1501" s="41"/>
      <c r="AL1501" s="41"/>
      <c r="AM1501" s="41"/>
      <c r="AN1501" s="41"/>
      <c r="AO1501" s="41"/>
      <c r="AP1501" s="41"/>
      <c r="AQ1501" s="41"/>
    </row>
    <row r="1502">
      <c r="A1502" s="41"/>
      <c r="B1502" s="41"/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41"/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  <c r="AA1502" s="41"/>
      <c r="AB1502" s="41"/>
      <c r="AC1502" s="41"/>
      <c r="AD1502" s="41"/>
      <c r="AE1502" s="41"/>
      <c r="AF1502" s="41"/>
      <c r="AG1502" s="41"/>
      <c r="AH1502" s="41"/>
      <c r="AI1502" s="41"/>
      <c r="AJ1502" s="41"/>
      <c r="AK1502" s="41"/>
      <c r="AL1502" s="41"/>
      <c r="AM1502" s="41"/>
      <c r="AN1502" s="41"/>
      <c r="AO1502" s="41"/>
      <c r="AP1502" s="41"/>
      <c r="AQ1502" s="41"/>
    </row>
    <row r="1503">
      <c r="A1503" s="41"/>
      <c r="B1503" s="41"/>
      <c r="C1503" s="41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41"/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  <c r="AA1503" s="41"/>
      <c r="AB1503" s="41"/>
      <c r="AC1503" s="41"/>
      <c r="AD1503" s="41"/>
      <c r="AE1503" s="41"/>
      <c r="AF1503" s="41"/>
      <c r="AG1503" s="41"/>
      <c r="AH1503" s="41"/>
      <c r="AI1503" s="41"/>
      <c r="AJ1503" s="41"/>
      <c r="AK1503" s="41"/>
      <c r="AL1503" s="41"/>
      <c r="AM1503" s="41"/>
      <c r="AN1503" s="41"/>
      <c r="AO1503" s="41"/>
      <c r="AP1503" s="41"/>
      <c r="AQ1503" s="41"/>
    </row>
    <row r="1504">
      <c r="A1504" s="41"/>
      <c r="B1504" s="41"/>
      <c r="C1504" s="41"/>
      <c r="D1504" s="41"/>
      <c r="E1504" s="41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41"/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  <c r="AA1504" s="41"/>
      <c r="AB1504" s="41"/>
      <c r="AC1504" s="41"/>
      <c r="AD1504" s="41"/>
      <c r="AE1504" s="41"/>
      <c r="AF1504" s="41"/>
      <c r="AG1504" s="41"/>
      <c r="AH1504" s="41"/>
      <c r="AI1504" s="41"/>
      <c r="AJ1504" s="41"/>
      <c r="AK1504" s="41"/>
      <c r="AL1504" s="41"/>
      <c r="AM1504" s="41"/>
      <c r="AN1504" s="41"/>
      <c r="AO1504" s="41"/>
      <c r="AP1504" s="41"/>
      <c r="AQ1504" s="41"/>
    </row>
    <row r="1505">
      <c r="A1505" s="41"/>
      <c r="B1505" s="41"/>
      <c r="C1505" s="41"/>
      <c r="D1505" s="41"/>
      <c r="E1505" s="41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41"/>
      <c r="Q1505" s="41"/>
      <c r="R1505" s="41"/>
      <c r="S1505" s="41"/>
      <c r="T1505" s="41"/>
      <c r="U1505" s="41"/>
      <c r="V1505" s="41"/>
      <c r="W1505" s="41"/>
      <c r="X1505" s="41"/>
      <c r="Y1505" s="41"/>
      <c r="Z1505" s="41"/>
      <c r="AA1505" s="41"/>
      <c r="AB1505" s="41"/>
      <c r="AC1505" s="41"/>
      <c r="AD1505" s="41"/>
      <c r="AE1505" s="41"/>
      <c r="AF1505" s="41"/>
      <c r="AG1505" s="41"/>
      <c r="AH1505" s="41"/>
      <c r="AI1505" s="41"/>
      <c r="AJ1505" s="41"/>
      <c r="AK1505" s="41"/>
      <c r="AL1505" s="41"/>
      <c r="AM1505" s="41"/>
      <c r="AN1505" s="41"/>
      <c r="AO1505" s="41"/>
      <c r="AP1505" s="41"/>
      <c r="AQ1505" s="41"/>
    </row>
    <row r="1506">
      <c r="A1506" s="41"/>
      <c r="B1506" s="41"/>
      <c r="C1506" s="41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  <c r="AA1506" s="41"/>
      <c r="AB1506" s="41"/>
      <c r="AC1506" s="41"/>
      <c r="AD1506" s="41"/>
      <c r="AE1506" s="41"/>
      <c r="AF1506" s="41"/>
      <c r="AG1506" s="41"/>
      <c r="AH1506" s="41"/>
      <c r="AI1506" s="41"/>
      <c r="AJ1506" s="41"/>
      <c r="AK1506" s="41"/>
      <c r="AL1506" s="41"/>
      <c r="AM1506" s="41"/>
      <c r="AN1506" s="41"/>
      <c r="AO1506" s="41"/>
      <c r="AP1506" s="41"/>
      <c r="AQ1506" s="41"/>
    </row>
    <row r="1507">
      <c r="A1507" s="41"/>
      <c r="B1507" s="41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41"/>
      <c r="Q1507" s="41"/>
      <c r="R1507" s="41"/>
      <c r="S1507" s="41"/>
      <c r="T1507" s="41"/>
      <c r="U1507" s="41"/>
      <c r="V1507" s="41"/>
      <c r="W1507" s="41"/>
      <c r="X1507" s="41"/>
      <c r="Y1507" s="41"/>
      <c r="Z1507" s="41"/>
      <c r="AA1507" s="41"/>
      <c r="AB1507" s="41"/>
      <c r="AC1507" s="41"/>
      <c r="AD1507" s="41"/>
      <c r="AE1507" s="41"/>
      <c r="AF1507" s="41"/>
      <c r="AG1507" s="41"/>
      <c r="AH1507" s="41"/>
      <c r="AI1507" s="41"/>
      <c r="AJ1507" s="41"/>
      <c r="AK1507" s="41"/>
      <c r="AL1507" s="41"/>
      <c r="AM1507" s="41"/>
      <c r="AN1507" s="41"/>
      <c r="AO1507" s="41"/>
      <c r="AP1507" s="41"/>
      <c r="AQ1507" s="41"/>
    </row>
    <row r="1508">
      <c r="A1508" s="41"/>
      <c r="B1508" s="41"/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41"/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  <c r="AA1508" s="41"/>
      <c r="AB1508" s="41"/>
      <c r="AC1508" s="41"/>
      <c r="AD1508" s="41"/>
      <c r="AE1508" s="41"/>
      <c r="AF1508" s="41"/>
      <c r="AG1508" s="41"/>
      <c r="AH1508" s="41"/>
      <c r="AI1508" s="41"/>
      <c r="AJ1508" s="41"/>
      <c r="AK1508" s="41"/>
      <c r="AL1508" s="41"/>
      <c r="AM1508" s="41"/>
      <c r="AN1508" s="41"/>
      <c r="AO1508" s="41"/>
      <c r="AP1508" s="41"/>
      <c r="AQ1508" s="41"/>
    </row>
    <row r="1509">
      <c r="A1509" s="41"/>
      <c r="B1509" s="41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  <c r="AM1509" s="41"/>
      <c r="AN1509" s="41"/>
      <c r="AO1509" s="41"/>
      <c r="AP1509" s="41"/>
      <c r="AQ1509" s="41"/>
    </row>
    <row r="1510">
      <c r="A1510" s="41"/>
      <c r="B1510" s="41"/>
      <c r="C1510" s="41"/>
      <c r="D1510" s="41"/>
      <c r="E1510" s="41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  <c r="AA1510" s="41"/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/>
      <c r="AN1510" s="41"/>
      <c r="AO1510" s="41"/>
      <c r="AP1510" s="41"/>
      <c r="AQ1510" s="41"/>
    </row>
    <row r="1511">
      <c r="A1511" s="41"/>
      <c r="B1511" s="41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  <c r="Q1511" s="41"/>
      <c r="R1511" s="41"/>
      <c r="S1511" s="41"/>
      <c r="T1511" s="41"/>
      <c r="U1511" s="41"/>
      <c r="V1511" s="41"/>
      <c r="W1511" s="41"/>
      <c r="X1511" s="41"/>
      <c r="Y1511" s="41"/>
      <c r="Z1511" s="41"/>
      <c r="AA1511" s="41"/>
      <c r="AB1511" s="41"/>
      <c r="AC1511" s="41"/>
      <c r="AD1511" s="41"/>
      <c r="AE1511" s="41"/>
      <c r="AF1511" s="41"/>
      <c r="AG1511" s="41"/>
      <c r="AH1511" s="41"/>
      <c r="AI1511" s="41"/>
      <c r="AJ1511" s="41"/>
      <c r="AK1511" s="41"/>
      <c r="AL1511" s="41"/>
      <c r="AM1511" s="41"/>
      <c r="AN1511" s="41"/>
      <c r="AO1511" s="41"/>
      <c r="AP1511" s="41"/>
      <c r="AQ1511" s="41"/>
    </row>
    <row r="1512">
      <c r="A1512" s="41"/>
      <c r="B1512" s="41"/>
      <c r="C1512" s="41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41"/>
      <c r="Q1512" s="41"/>
      <c r="R1512" s="41"/>
      <c r="S1512" s="41"/>
      <c r="T1512" s="41"/>
      <c r="U1512" s="41"/>
      <c r="V1512" s="41"/>
      <c r="W1512" s="41"/>
      <c r="X1512" s="41"/>
      <c r="Y1512" s="41"/>
      <c r="Z1512" s="41"/>
      <c r="AA1512" s="41"/>
      <c r="AB1512" s="41"/>
      <c r="AC1512" s="41"/>
      <c r="AD1512" s="41"/>
      <c r="AE1512" s="41"/>
      <c r="AF1512" s="41"/>
      <c r="AG1512" s="41"/>
      <c r="AH1512" s="41"/>
      <c r="AI1512" s="41"/>
      <c r="AJ1512" s="41"/>
      <c r="AK1512" s="41"/>
      <c r="AL1512" s="41"/>
      <c r="AM1512" s="41"/>
      <c r="AN1512" s="41"/>
      <c r="AO1512" s="41"/>
      <c r="AP1512" s="41"/>
      <c r="AQ1512" s="41"/>
    </row>
    <row r="1513">
      <c r="A1513" s="41"/>
      <c r="B1513" s="41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  <c r="Q1513" s="41"/>
      <c r="R1513" s="41"/>
      <c r="S1513" s="41"/>
      <c r="T1513" s="41"/>
      <c r="U1513" s="41"/>
      <c r="V1513" s="41"/>
      <c r="W1513" s="41"/>
      <c r="X1513" s="41"/>
      <c r="Y1513" s="41"/>
      <c r="Z1513" s="41"/>
      <c r="AA1513" s="41"/>
      <c r="AB1513" s="41"/>
      <c r="AC1513" s="41"/>
      <c r="AD1513" s="41"/>
      <c r="AE1513" s="41"/>
      <c r="AF1513" s="41"/>
      <c r="AG1513" s="41"/>
      <c r="AH1513" s="41"/>
      <c r="AI1513" s="41"/>
      <c r="AJ1513" s="41"/>
      <c r="AK1513" s="41"/>
      <c r="AL1513" s="41"/>
      <c r="AM1513" s="41"/>
      <c r="AN1513" s="41"/>
      <c r="AO1513" s="41"/>
      <c r="AP1513" s="41"/>
      <c r="AQ1513" s="41"/>
    </row>
    <row r="1514">
      <c r="A1514" s="41"/>
      <c r="B1514" s="41"/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41"/>
      <c r="Q1514" s="41"/>
      <c r="R1514" s="41"/>
      <c r="S1514" s="41"/>
      <c r="T1514" s="41"/>
      <c r="U1514" s="41"/>
      <c r="V1514" s="41"/>
      <c r="W1514" s="41"/>
      <c r="X1514" s="41"/>
      <c r="Y1514" s="41"/>
      <c r="Z1514" s="41"/>
      <c r="AA1514" s="41"/>
      <c r="AB1514" s="41"/>
      <c r="AC1514" s="41"/>
      <c r="AD1514" s="41"/>
      <c r="AE1514" s="41"/>
      <c r="AF1514" s="41"/>
      <c r="AG1514" s="41"/>
      <c r="AH1514" s="41"/>
      <c r="AI1514" s="41"/>
      <c r="AJ1514" s="41"/>
      <c r="AK1514" s="41"/>
      <c r="AL1514" s="41"/>
      <c r="AM1514" s="41"/>
      <c r="AN1514" s="41"/>
      <c r="AO1514" s="41"/>
      <c r="AP1514" s="41"/>
      <c r="AQ1514" s="41"/>
    </row>
    <row r="1515">
      <c r="A1515" s="41"/>
      <c r="B1515" s="41"/>
      <c r="C1515" s="41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41"/>
      <c r="Q1515" s="41"/>
      <c r="R1515" s="41"/>
      <c r="S1515" s="41"/>
      <c r="T1515" s="41"/>
      <c r="U1515" s="41"/>
      <c r="V1515" s="41"/>
      <c r="W1515" s="41"/>
      <c r="X1515" s="41"/>
      <c r="Y1515" s="41"/>
      <c r="Z1515" s="41"/>
      <c r="AA1515" s="41"/>
      <c r="AB1515" s="41"/>
      <c r="AC1515" s="41"/>
      <c r="AD1515" s="41"/>
      <c r="AE1515" s="41"/>
      <c r="AF1515" s="41"/>
      <c r="AG1515" s="41"/>
      <c r="AH1515" s="41"/>
      <c r="AI1515" s="41"/>
      <c r="AJ1515" s="41"/>
      <c r="AK1515" s="41"/>
      <c r="AL1515" s="41"/>
      <c r="AM1515" s="41"/>
      <c r="AN1515" s="41"/>
      <c r="AO1515" s="41"/>
      <c r="AP1515" s="41"/>
      <c r="AQ1515" s="41"/>
    </row>
    <row r="1516">
      <c r="A1516" s="41"/>
      <c r="B1516" s="41"/>
      <c r="C1516" s="41"/>
      <c r="D1516" s="41"/>
      <c r="E1516" s="41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41"/>
      <c r="Q1516" s="41"/>
      <c r="R1516" s="41"/>
      <c r="S1516" s="41"/>
      <c r="T1516" s="41"/>
      <c r="U1516" s="41"/>
      <c r="V1516" s="41"/>
      <c r="W1516" s="41"/>
      <c r="X1516" s="41"/>
      <c r="Y1516" s="41"/>
      <c r="Z1516" s="41"/>
      <c r="AA1516" s="41"/>
      <c r="AB1516" s="41"/>
      <c r="AC1516" s="41"/>
      <c r="AD1516" s="41"/>
      <c r="AE1516" s="41"/>
      <c r="AF1516" s="41"/>
      <c r="AG1516" s="41"/>
      <c r="AH1516" s="41"/>
      <c r="AI1516" s="41"/>
      <c r="AJ1516" s="41"/>
      <c r="AK1516" s="41"/>
      <c r="AL1516" s="41"/>
      <c r="AM1516" s="41"/>
      <c r="AN1516" s="41"/>
      <c r="AO1516" s="41"/>
      <c r="AP1516" s="41"/>
      <c r="AQ1516" s="41"/>
    </row>
    <row r="1517">
      <c r="A1517" s="41"/>
      <c r="B1517" s="41"/>
      <c r="C1517" s="41"/>
      <c r="D1517" s="41"/>
      <c r="E1517" s="41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41"/>
      <c r="Q1517" s="41"/>
      <c r="R1517" s="41"/>
      <c r="S1517" s="41"/>
      <c r="T1517" s="41"/>
      <c r="U1517" s="41"/>
      <c r="V1517" s="41"/>
      <c r="W1517" s="41"/>
      <c r="X1517" s="41"/>
      <c r="Y1517" s="41"/>
      <c r="Z1517" s="41"/>
      <c r="AA1517" s="41"/>
      <c r="AB1517" s="41"/>
      <c r="AC1517" s="41"/>
      <c r="AD1517" s="41"/>
      <c r="AE1517" s="41"/>
      <c r="AF1517" s="41"/>
      <c r="AG1517" s="41"/>
      <c r="AH1517" s="41"/>
      <c r="AI1517" s="41"/>
      <c r="AJ1517" s="41"/>
      <c r="AK1517" s="41"/>
      <c r="AL1517" s="41"/>
      <c r="AM1517" s="41"/>
      <c r="AN1517" s="41"/>
      <c r="AO1517" s="41"/>
      <c r="AP1517" s="41"/>
      <c r="AQ1517" s="41"/>
    </row>
    <row r="1518">
      <c r="A1518" s="41"/>
      <c r="B1518" s="41"/>
      <c r="C1518" s="41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41"/>
      <c r="Q1518" s="41"/>
      <c r="R1518" s="41"/>
      <c r="S1518" s="41"/>
      <c r="T1518" s="41"/>
      <c r="U1518" s="41"/>
      <c r="V1518" s="41"/>
      <c r="W1518" s="41"/>
      <c r="X1518" s="41"/>
      <c r="Y1518" s="41"/>
      <c r="Z1518" s="41"/>
      <c r="AA1518" s="41"/>
      <c r="AB1518" s="41"/>
      <c r="AC1518" s="41"/>
      <c r="AD1518" s="41"/>
      <c r="AE1518" s="41"/>
      <c r="AF1518" s="41"/>
      <c r="AG1518" s="41"/>
      <c r="AH1518" s="41"/>
      <c r="AI1518" s="41"/>
      <c r="AJ1518" s="41"/>
      <c r="AK1518" s="41"/>
      <c r="AL1518" s="41"/>
      <c r="AM1518" s="41"/>
      <c r="AN1518" s="41"/>
      <c r="AO1518" s="41"/>
      <c r="AP1518" s="41"/>
      <c r="AQ1518" s="41"/>
    </row>
    <row r="1519">
      <c r="A1519" s="41"/>
      <c r="B1519" s="41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41"/>
      <c r="Q1519" s="41"/>
      <c r="R1519" s="41"/>
      <c r="S1519" s="41"/>
      <c r="T1519" s="41"/>
      <c r="U1519" s="41"/>
      <c r="V1519" s="41"/>
      <c r="W1519" s="41"/>
      <c r="X1519" s="41"/>
      <c r="Y1519" s="41"/>
      <c r="Z1519" s="41"/>
      <c r="AA1519" s="41"/>
      <c r="AB1519" s="41"/>
      <c r="AC1519" s="41"/>
      <c r="AD1519" s="41"/>
      <c r="AE1519" s="41"/>
      <c r="AF1519" s="41"/>
      <c r="AG1519" s="41"/>
      <c r="AH1519" s="41"/>
      <c r="AI1519" s="41"/>
      <c r="AJ1519" s="41"/>
      <c r="AK1519" s="41"/>
      <c r="AL1519" s="41"/>
      <c r="AM1519" s="41"/>
      <c r="AN1519" s="41"/>
      <c r="AO1519" s="41"/>
      <c r="AP1519" s="41"/>
      <c r="AQ1519" s="41"/>
    </row>
    <row r="1520">
      <c r="A1520" s="41"/>
      <c r="B1520" s="41"/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41"/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  <c r="AA1520" s="41"/>
      <c r="AB1520" s="41"/>
      <c r="AC1520" s="41"/>
      <c r="AD1520" s="41"/>
      <c r="AE1520" s="41"/>
      <c r="AF1520" s="41"/>
      <c r="AG1520" s="41"/>
      <c r="AH1520" s="41"/>
      <c r="AI1520" s="41"/>
      <c r="AJ1520" s="41"/>
      <c r="AK1520" s="41"/>
      <c r="AL1520" s="41"/>
      <c r="AM1520" s="41"/>
      <c r="AN1520" s="41"/>
      <c r="AO1520" s="41"/>
      <c r="AP1520" s="41"/>
      <c r="AQ1520" s="41"/>
    </row>
    <row r="1521">
      <c r="A1521" s="41"/>
      <c r="B1521" s="41"/>
      <c r="C1521" s="41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  <c r="AA1521" s="41"/>
      <c r="AB1521" s="41"/>
      <c r="AC1521" s="41"/>
      <c r="AD1521" s="41"/>
      <c r="AE1521" s="41"/>
      <c r="AF1521" s="41"/>
      <c r="AG1521" s="41"/>
      <c r="AH1521" s="41"/>
      <c r="AI1521" s="41"/>
      <c r="AJ1521" s="41"/>
      <c r="AK1521" s="41"/>
      <c r="AL1521" s="41"/>
      <c r="AM1521" s="41"/>
      <c r="AN1521" s="41"/>
      <c r="AO1521" s="41"/>
      <c r="AP1521" s="41"/>
      <c r="AQ1521" s="41"/>
    </row>
    <row r="1522">
      <c r="A1522" s="41"/>
      <c r="B1522" s="41"/>
      <c r="C1522" s="41"/>
      <c r="D1522" s="41"/>
      <c r="E1522" s="41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  <c r="AA1522" s="41"/>
      <c r="AB1522" s="41"/>
      <c r="AC1522" s="41"/>
      <c r="AD1522" s="41"/>
      <c r="AE1522" s="41"/>
      <c r="AF1522" s="41"/>
      <c r="AG1522" s="41"/>
      <c r="AH1522" s="41"/>
      <c r="AI1522" s="41"/>
      <c r="AJ1522" s="41"/>
      <c r="AK1522" s="41"/>
      <c r="AL1522" s="41"/>
      <c r="AM1522" s="41"/>
      <c r="AN1522" s="41"/>
      <c r="AO1522" s="41"/>
      <c r="AP1522" s="41"/>
      <c r="AQ1522" s="41"/>
    </row>
    <row r="1523">
      <c r="A1523" s="41"/>
      <c r="B1523" s="41"/>
      <c r="C1523" s="41"/>
      <c r="D1523" s="41"/>
      <c r="E1523" s="41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41"/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  <c r="AA1523" s="41"/>
      <c r="AB1523" s="41"/>
      <c r="AC1523" s="41"/>
      <c r="AD1523" s="41"/>
      <c r="AE1523" s="41"/>
      <c r="AF1523" s="41"/>
      <c r="AG1523" s="41"/>
      <c r="AH1523" s="41"/>
      <c r="AI1523" s="41"/>
      <c r="AJ1523" s="41"/>
      <c r="AK1523" s="41"/>
      <c r="AL1523" s="41"/>
      <c r="AM1523" s="41"/>
      <c r="AN1523" s="41"/>
      <c r="AO1523" s="41"/>
      <c r="AP1523" s="41"/>
      <c r="AQ1523" s="41"/>
    </row>
    <row r="1524">
      <c r="A1524" s="41"/>
      <c r="B1524" s="41"/>
      <c r="C1524" s="41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41"/>
      <c r="Q1524" s="41"/>
      <c r="R1524" s="41"/>
      <c r="S1524" s="41"/>
      <c r="T1524" s="41"/>
      <c r="U1524" s="41"/>
      <c r="V1524" s="41"/>
      <c r="W1524" s="41"/>
      <c r="X1524" s="41"/>
      <c r="Y1524" s="41"/>
      <c r="Z1524" s="41"/>
      <c r="AA1524" s="41"/>
      <c r="AB1524" s="41"/>
      <c r="AC1524" s="41"/>
      <c r="AD1524" s="41"/>
      <c r="AE1524" s="41"/>
      <c r="AF1524" s="41"/>
      <c r="AG1524" s="41"/>
      <c r="AH1524" s="41"/>
      <c r="AI1524" s="41"/>
      <c r="AJ1524" s="41"/>
      <c r="AK1524" s="41"/>
      <c r="AL1524" s="41"/>
      <c r="AM1524" s="41"/>
      <c r="AN1524" s="41"/>
      <c r="AO1524" s="41"/>
      <c r="AP1524" s="41"/>
      <c r="AQ1524" s="41"/>
    </row>
    <row r="1525">
      <c r="A1525" s="41"/>
      <c r="B1525" s="41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  <c r="AA1525" s="41"/>
      <c r="AB1525" s="41"/>
      <c r="AC1525" s="41"/>
      <c r="AD1525" s="41"/>
      <c r="AE1525" s="41"/>
      <c r="AF1525" s="41"/>
      <c r="AG1525" s="41"/>
      <c r="AH1525" s="41"/>
      <c r="AI1525" s="41"/>
      <c r="AJ1525" s="41"/>
      <c r="AK1525" s="41"/>
      <c r="AL1525" s="41"/>
      <c r="AM1525" s="41"/>
      <c r="AN1525" s="41"/>
      <c r="AO1525" s="41"/>
      <c r="AP1525" s="41"/>
      <c r="AQ1525" s="41"/>
    </row>
    <row r="1526">
      <c r="A1526" s="41"/>
      <c r="B1526" s="41"/>
      <c r="C1526" s="41"/>
      <c r="D1526" s="41"/>
      <c r="E1526" s="41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41"/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  <c r="AA1526" s="41"/>
      <c r="AB1526" s="41"/>
      <c r="AC1526" s="41"/>
      <c r="AD1526" s="41"/>
      <c r="AE1526" s="41"/>
      <c r="AF1526" s="41"/>
      <c r="AG1526" s="41"/>
      <c r="AH1526" s="41"/>
      <c r="AI1526" s="41"/>
      <c r="AJ1526" s="41"/>
      <c r="AK1526" s="41"/>
      <c r="AL1526" s="41"/>
      <c r="AM1526" s="41"/>
      <c r="AN1526" s="41"/>
      <c r="AO1526" s="41"/>
      <c r="AP1526" s="41"/>
      <c r="AQ1526" s="41"/>
    </row>
    <row r="1527">
      <c r="A1527" s="41"/>
      <c r="B1527" s="41"/>
      <c r="C1527" s="41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  <c r="AA1527" s="41"/>
      <c r="AB1527" s="41"/>
      <c r="AC1527" s="41"/>
      <c r="AD1527" s="41"/>
      <c r="AE1527" s="41"/>
      <c r="AF1527" s="41"/>
      <c r="AG1527" s="41"/>
      <c r="AH1527" s="41"/>
      <c r="AI1527" s="41"/>
      <c r="AJ1527" s="41"/>
      <c r="AK1527" s="41"/>
      <c r="AL1527" s="41"/>
      <c r="AM1527" s="41"/>
      <c r="AN1527" s="41"/>
      <c r="AO1527" s="41"/>
      <c r="AP1527" s="41"/>
      <c r="AQ1527" s="41"/>
    </row>
    <row r="1528">
      <c r="A1528" s="41"/>
      <c r="B1528" s="41"/>
      <c r="C1528" s="41"/>
      <c r="D1528" s="41"/>
      <c r="E1528" s="41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  <c r="AB1528" s="41"/>
      <c r="AC1528" s="41"/>
      <c r="AD1528" s="41"/>
      <c r="AE1528" s="41"/>
      <c r="AF1528" s="41"/>
      <c r="AG1528" s="41"/>
      <c r="AH1528" s="41"/>
      <c r="AI1528" s="41"/>
      <c r="AJ1528" s="41"/>
      <c r="AK1528" s="41"/>
      <c r="AL1528" s="41"/>
      <c r="AM1528" s="41"/>
      <c r="AN1528" s="41"/>
      <c r="AO1528" s="41"/>
      <c r="AP1528" s="41"/>
      <c r="AQ1528" s="41"/>
    </row>
    <row r="1529">
      <c r="A1529" s="41"/>
      <c r="B1529" s="41"/>
      <c r="C1529" s="41"/>
      <c r="D1529" s="41"/>
      <c r="E1529" s="41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41"/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  <c r="AA1529" s="41"/>
      <c r="AB1529" s="41"/>
      <c r="AC1529" s="41"/>
      <c r="AD1529" s="41"/>
      <c r="AE1529" s="41"/>
      <c r="AF1529" s="41"/>
      <c r="AG1529" s="41"/>
      <c r="AH1529" s="41"/>
      <c r="AI1529" s="41"/>
      <c r="AJ1529" s="41"/>
      <c r="AK1529" s="41"/>
      <c r="AL1529" s="41"/>
      <c r="AM1529" s="41"/>
      <c r="AN1529" s="41"/>
      <c r="AO1529" s="41"/>
      <c r="AP1529" s="41"/>
      <c r="AQ1529" s="41"/>
    </row>
    <row r="1530">
      <c r="A1530" s="41"/>
      <c r="B1530" s="41"/>
      <c r="C1530" s="41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41"/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  <c r="AA1530" s="41"/>
      <c r="AB1530" s="41"/>
      <c r="AC1530" s="41"/>
      <c r="AD1530" s="41"/>
      <c r="AE1530" s="41"/>
      <c r="AF1530" s="41"/>
      <c r="AG1530" s="41"/>
      <c r="AH1530" s="41"/>
      <c r="AI1530" s="41"/>
      <c r="AJ1530" s="41"/>
      <c r="AK1530" s="41"/>
      <c r="AL1530" s="41"/>
      <c r="AM1530" s="41"/>
      <c r="AN1530" s="41"/>
      <c r="AO1530" s="41"/>
      <c r="AP1530" s="41"/>
      <c r="AQ1530" s="41"/>
    </row>
    <row r="1531">
      <c r="A1531" s="41"/>
      <c r="B1531" s="41"/>
      <c r="C1531" s="41"/>
      <c r="D1531" s="41"/>
      <c r="E1531" s="41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41"/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  <c r="AA1531" s="41"/>
      <c r="AB1531" s="41"/>
      <c r="AC1531" s="41"/>
      <c r="AD1531" s="41"/>
      <c r="AE1531" s="41"/>
      <c r="AF1531" s="41"/>
      <c r="AG1531" s="41"/>
      <c r="AH1531" s="41"/>
      <c r="AI1531" s="41"/>
      <c r="AJ1531" s="41"/>
      <c r="AK1531" s="41"/>
      <c r="AL1531" s="41"/>
      <c r="AM1531" s="41"/>
      <c r="AN1531" s="41"/>
      <c r="AO1531" s="41"/>
      <c r="AP1531" s="41"/>
      <c r="AQ1531" s="41"/>
    </row>
    <row r="1532">
      <c r="A1532" s="41"/>
      <c r="B1532" s="41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41"/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  <c r="AA1532" s="41"/>
      <c r="AB1532" s="41"/>
      <c r="AC1532" s="41"/>
      <c r="AD1532" s="41"/>
      <c r="AE1532" s="41"/>
      <c r="AF1532" s="41"/>
      <c r="AG1532" s="41"/>
      <c r="AH1532" s="41"/>
      <c r="AI1532" s="41"/>
      <c r="AJ1532" s="41"/>
      <c r="AK1532" s="41"/>
      <c r="AL1532" s="41"/>
      <c r="AM1532" s="41"/>
      <c r="AN1532" s="41"/>
      <c r="AO1532" s="41"/>
      <c r="AP1532" s="41"/>
      <c r="AQ1532" s="41"/>
    </row>
    <row r="1533">
      <c r="A1533" s="41"/>
      <c r="B1533" s="41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  <c r="AA1533" s="41"/>
      <c r="AB1533" s="41"/>
      <c r="AC1533" s="41"/>
      <c r="AD1533" s="41"/>
      <c r="AE1533" s="41"/>
      <c r="AF1533" s="41"/>
      <c r="AG1533" s="41"/>
      <c r="AH1533" s="41"/>
      <c r="AI1533" s="41"/>
      <c r="AJ1533" s="41"/>
      <c r="AK1533" s="41"/>
      <c r="AL1533" s="41"/>
      <c r="AM1533" s="41"/>
      <c r="AN1533" s="41"/>
      <c r="AO1533" s="41"/>
      <c r="AP1533" s="41"/>
      <c r="AQ1533" s="41"/>
    </row>
    <row r="1534">
      <c r="A1534" s="41"/>
      <c r="B1534" s="41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41"/>
      <c r="Q1534" s="41"/>
      <c r="R1534" s="41"/>
      <c r="S1534" s="41"/>
      <c r="T1534" s="41"/>
      <c r="U1534" s="41"/>
      <c r="V1534" s="41"/>
      <c r="W1534" s="41"/>
      <c r="X1534" s="41"/>
      <c r="Y1534" s="41"/>
      <c r="Z1534" s="41"/>
      <c r="AA1534" s="41"/>
      <c r="AB1534" s="41"/>
      <c r="AC1534" s="41"/>
      <c r="AD1534" s="41"/>
      <c r="AE1534" s="41"/>
      <c r="AF1534" s="41"/>
      <c r="AG1534" s="41"/>
      <c r="AH1534" s="41"/>
      <c r="AI1534" s="41"/>
      <c r="AJ1534" s="41"/>
      <c r="AK1534" s="41"/>
      <c r="AL1534" s="41"/>
      <c r="AM1534" s="41"/>
      <c r="AN1534" s="41"/>
      <c r="AO1534" s="41"/>
      <c r="AP1534" s="41"/>
      <c r="AQ1534" s="41"/>
    </row>
    <row r="1535">
      <c r="A1535" s="41"/>
      <c r="B1535" s="41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41"/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  <c r="AA1535" s="41"/>
      <c r="AB1535" s="41"/>
      <c r="AC1535" s="41"/>
      <c r="AD1535" s="41"/>
      <c r="AE1535" s="41"/>
      <c r="AF1535" s="41"/>
      <c r="AG1535" s="41"/>
      <c r="AH1535" s="41"/>
      <c r="AI1535" s="41"/>
      <c r="AJ1535" s="41"/>
      <c r="AK1535" s="41"/>
      <c r="AL1535" s="41"/>
      <c r="AM1535" s="41"/>
      <c r="AN1535" s="41"/>
      <c r="AO1535" s="41"/>
      <c r="AP1535" s="41"/>
      <c r="AQ1535" s="41"/>
    </row>
    <row r="1536">
      <c r="A1536" s="41"/>
      <c r="B1536" s="41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41"/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  <c r="AA1536" s="41"/>
      <c r="AB1536" s="41"/>
      <c r="AC1536" s="41"/>
      <c r="AD1536" s="41"/>
      <c r="AE1536" s="41"/>
      <c r="AF1536" s="41"/>
      <c r="AG1536" s="41"/>
      <c r="AH1536" s="41"/>
      <c r="AI1536" s="41"/>
      <c r="AJ1536" s="41"/>
      <c r="AK1536" s="41"/>
      <c r="AL1536" s="41"/>
      <c r="AM1536" s="41"/>
      <c r="AN1536" s="41"/>
      <c r="AO1536" s="41"/>
      <c r="AP1536" s="41"/>
      <c r="AQ1536" s="41"/>
    </row>
    <row r="1537">
      <c r="A1537" s="41"/>
      <c r="B1537" s="41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41"/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  <c r="AA1537" s="41"/>
      <c r="AB1537" s="41"/>
      <c r="AC1537" s="41"/>
      <c r="AD1537" s="41"/>
      <c r="AE1537" s="41"/>
      <c r="AF1537" s="41"/>
      <c r="AG1537" s="41"/>
      <c r="AH1537" s="41"/>
      <c r="AI1537" s="41"/>
      <c r="AJ1537" s="41"/>
      <c r="AK1537" s="41"/>
      <c r="AL1537" s="41"/>
      <c r="AM1537" s="41"/>
      <c r="AN1537" s="41"/>
      <c r="AO1537" s="41"/>
      <c r="AP1537" s="41"/>
      <c r="AQ1537" s="41"/>
    </row>
    <row r="1538">
      <c r="A1538" s="41"/>
      <c r="B1538" s="41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41"/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  <c r="AA1538" s="41"/>
      <c r="AB1538" s="41"/>
      <c r="AC1538" s="41"/>
      <c r="AD1538" s="41"/>
      <c r="AE1538" s="41"/>
      <c r="AF1538" s="41"/>
      <c r="AG1538" s="41"/>
      <c r="AH1538" s="41"/>
      <c r="AI1538" s="41"/>
      <c r="AJ1538" s="41"/>
      <c r="AK1538" s="41"/>
      <c r="AL1538" s="41"/>
      <c r="AM1538" s="41"/>
      <c r="AN1538" s="41"/>
      <c r="AO1538" s="41"/>
      <c r="AP1538" s="41"/>
      <c r="AQ1538" s="41"/>
    </row>
    <row r="1539">
      <c r="A1539" s="41"/>
      <c r="B1539" s="41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41"/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  <c r="AA1539" s="41"/>
      <c r="AB1539" s="41"/>
      <c r="AC1539" s="41"/>
      <c r="AD1539" s="41"/>
      <c r="AE1539" s="41"/>
      <c r="AF1539" s="41"/>
      <c r="AG1539" s="41"/>
      <c r="AH1539" s="41"/>
      <c r="AI1539" s="41"/>
      <c r="AJ1539" s="41"/>
      <c r="AK1539" s="41"/>
      <c r="AL1539" s="41"/>
      <c r="AM1539" s="41"/>
      <c r="AN1539" s="41"/>
      <c r="AO1539" s="41"/>
      <c r="AP1539" s="41"/>
      <c r="AQ1539" s="41"/>
    </row>
    <row r="1540">
      <c r="A1540" s="41"/>
      <c r="B1540" s="41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41"/>
      <c r="Q1540" s="41"/>
      <c r="R1540" s="41"/>
      <c r="S1540" s="41"/>
      <c r="T1540" s="41"/>
      <c r="U1540" s="41"/>
      <c r="V1540" s="41"/>
      <c r="W1540" s="41"/>
      <c r="X1540" s="41"/>
      <c r="Y1540" s="41"/>
      <c r="Z1540" s="41"/>
      <c r="AA1540" s="41"/>
      <c r="AB1540" s="41"/>
      <c r="AC1540" s="41"/>
      <c r="AD1540" s="41"/>
      <c r="AE1540" s="41"/>
      <c r="AF1540" s="41"/>
      <c r="AG1540" s="41"/>
      <c r="AH1540" s="41"/>
      <c r="AI1540" s="41"/>
      <c r="AJ1540" s="41"/>
      <c r="AK1540" s="41"/>
      <c r="AL1540" s="41"/>
      <c r="AM1540" s="41"/>
      <c r="AN1540" s="41"/>
      <c r="AO1540" s="41"/>
      <c r="AP1540" s="41"/>
      <c r="AQ1540" s="41"/>
    </row>
    <row r="1541">
      <c r="A1541" s="41"/>
      <c r="B1541" s="41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1"/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  <c r="AA1541" s="41"/>
      <c r="AB1541" s="41"/>
      <c r="AC1541" s="41"/>
      <c r="AD1541" s="41"/>
      <c r="AE1541" s="41"/>
      <c r="AF1541" s="41"/>
      <c r="AG1541" s="41"/>
      <c r="AH1541" s="41"/>
      <c r="AI1541" s="41"/>
      <c r="AJ1541" s="41"/>
      <c r="AK1541" s="41"/>
      <c r="AL1541" s="41"/>
      <c r="AM1541" s="41"/>
      <c r="AN1541" s="41"/>
      <c r="AO1541" s="41"/>
      <c r="AP1541" s="41"/>
      <c r="AQ1541" s="41"/>
    </row>
    <row r="1542">
      <c r="A1542" s="41"/>
      <c r="B1542" s="41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1"/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  <c r="AA1542" s="41"/>
      <c r="AB1542" s="41"/>
      <c r="AC1542" s="41"/>
      <c r="AD1542" s="41"/>
      <c r="AE1542" s="41"/>
      <c r="AF1542" s="41"/>
      <c r="AG1542" s="41"/>
      <c r="AH1542" s="41"/>
      <c r="AI1542" s="41"/>
      <c r="AJ1542" s="41"/>
      <c r="AK1542" s="41"/>
      <c r="AL1542" s="41"/>
      <c r="AM1542" s="41"/>
      <c r="AN1542" s="41"/>
      <c r="AO1542" s="41"/>
      <c r="AP1542" s="41"/>
      <c r="AQ1542" s="41"/>
    </row>
    <row r="1543">
      <c r="A1543" s="41"/>
      <c r="B1543" s="41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1"/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  <c r="AA1543" s="41"/>
      <c r="AB1543" s="41"/>
      <c r="AC1543" s="41"/>
      <c r="AD1543" s="41"/>
      <c r="AE1543" s="41"/>
      <c r="AF1543" s="41"/>
      <c r="AG1543" s="41"/>
      <c r="AH1543" s="41"/>
      <c r="AI1543" s="41"/>
      <c r="AJ1543" s="41"/>
      <c r="AK1543" s="41"/>
      <c r="AL1543" s="41"/>
      <c r="AM1543" s="41"/>
      <c r="AN1543" s="41"/>
      <c r="AO1543" s="41"/>
      <c r="AP1543" s="41"/>
      <c r="AQ1543" s="41"/>
    </row>
    <row r="1544">
      <c r="A1544" s="41"/>
      <c r="B1544" s="41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1"/>
      <c r="Q1544" s="41"/>
      <c r="R1544" s="41"/>
      <c r="S1544" s="41"/>
      <c r="T1544" s="41"/>
      <c r="U1544" s="41"/>
      <c r="V1544" s="41"/>
      <c r="W1544" s="41"/>
      <c r="X1544" s="41"/>
      <c r="Y1544" s="41"/>
      <c r="Z1544" s="41"/>
      <c r="AA1544" s="41"/>
      <c r="AB1544" s="41"/>
      <c r="AC1544" s="41"/>
      <c r="AD1544" s="41"/>
      <c r="AE1544" s="41"/>
      <c r="AF1544" s="41"/>
      <c r="AG1544" s="41"/>
      <c r="AH1544" s="41"/>
      <c r="AI1544" s="41"/>
      <c r="AJ1544" s="41"/>
      <c r="AK1544" s="41"/>
      <c r="AL1544" s="41"/>
      <c r="AM1544" s="41"/>
      <c r="AN1544" s="41"/>
      <c r="AO1544" s="41"/>
      <c r="AP1544" s="41"/>
      <c r="AQ1544" s="41"/>
    </row>
    <row r="1545">
      <c r="A1545" s="41"/>
      <c r="B1545" s="41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  <c r="AA1545" s="41"/>
      <c r="AB1545" s="41"/>
      <c r="AC1545" s="41"/>
      <c r="AD1545" s="41"/>
      <c r="AE1545" s="41"/>
      <c r="AF1545" s="41"/>
      <c r="AG1545" s="41"/>
      <c r="AH1545" s="41"/>
      <c r="AI1545" s="41"/>
      <c r="AJ1545" s="41"/>
      <c r="AK1545" s="41"/>
      <c r="AL1545" s="41"/>
      <c r="AM1545" s="41"/>
      <c r="AN1545" s="41"/>
      <c r="AO1545" s="41"/>
      <c r="AP1545" s="41"/>
      <c r="AQ1545" s="41"/>
    </row>
    <row r="1546">
      <c r="A1546" s="41"/>
      <c r="B1546" s="41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  <c r="AA1546" s="41"/>
      <c r="AB1546" s="41"/>
      <c r="AC1546" s="41"/>
      <c r="AD1546" s="41"/>
      <c r="AE1546" s="41"/>
      <c r="AF1546" s="41"/>
      <c r="AG1546" s="41"/>
      <c r="AH1546" s="41"/>
      <c r="AI1546" s="41"/>
      <c r="AJ1546" s="41"/>
      <c r="AK1546" s="41"/>
      <c r="AL1546" s="41"/>
      <c r="AM1546" s="41"/>
      <c r="AN1546" s="41"/>
      <c r="AO1546" s="41"/>
      <c r="AP1546" s="41"/>
      <c r="AQ1546" s="41"/>
    </row>
    <row r="1547">
      <c r="A1547" s="41"/>
      <c r="B1547" s="41"/>
      <c r="C1547" s="41"/>
      <c r="D1547" s="41"/>
      <c r="E1547" s="41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41"/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  <c r="AA1547" s="41"/>
      <c r="AB1547" s="41"/>
      <c r="AC1547" s="41"/>
      <c r="AD1547" s="41"/>
      <c r="AE1547" s="41"/>
      <c r="AF1547" s="41"/>
      <c r="AG1547" s="41"/>
      <c r="AH1547" s="41"/>
      <c r="AI1547" s="41"/>
      <c r="AJ1547" s="41"/>
      <c r="AK1547" s="41"/>
      <c r="AL1547" s="41"/>
      <c r="AM1547" s="41"/>
      <c r="AN1547" s="41"/>
      <c r="AO1547" s="41"/>
      <c r="AP1547" s="41"/>
      <c r="AQ1547" s="41"/>
    </row>
    <row r="1548">
      <c r="A1548" s="41"/>
      <c r="B1548" s="41"/>
      <c r="C1548" s="41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41"/>
      <c r="Q1548" s="41"/>
      <c r="R1548" s="41"/>
      <c r="S1548" s="41"/>
      <c r="T1548" s="41"/>
      <c r="U1548" s="41"/>
      <c r="V1548" s="41"/>
      <c r="W1548" s="41"/>
      <c r="X1548" s="41"/>
      <c r="Y1548" s="41"/>
      <c r="Z1548" s="41"/>
      <c r="AA1548" s="41"/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/>
      <c r="AN1548" s="41"/>
      <c r="AO1548" s="41"/>
      <c r="AP1548" s="41"/>
      <c r="AQ1548" s="41"/>
    </row>
    <row r="1549">
      <c r="A1549" s="41"/>
      <c r="B1549" s="41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  <c r="AA1549" s="41"/>
      <c r="AB1549" s="41"/>
      <c r="AC1549" s="41"/>
      <c r="AD1549" s="41"/>
      <c r="AE1549" s="41"/>
      <c r="AF1549" s="41"/>
      <c r="AG1549" s="41"/>
      <c r="AH1549" s="41"/>
      <c r="AI1549" s="41"/>
      <c r="AJ1549" s="41"/>
      <c r="AK1549" s="41"/>
      <c r="AL1549" s="41"/>
      <c r="AM1549" s="41"/>
      <c r="AN1549" s="41"/>
      <c r="AO1549" s="41"/>
      <c r="AP1549" s="41"/>
      <c r="AQ1549" s="41"/>
    </row>
    <row r="1550">
      <c r="A1550" s="41"/>
      <c r="B1550" s="41"/>
      <c r="C1550" s="41"/>
      <c r="D1550" s="41"/>
      <c r="E1550" s="41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41"/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  <c r="AA1550" s="41"/>
      <c r="AB1550" s="41"/>
      <c r="AC1550" s="41"/>
      <c r="AD1550" s="41"/>
      <c r="AE1550" s="41"/>
      <c r="AF1550" s="41"/>
      <c r="AG1550" s="41"/>
      <c r="AH1550" s="41"/>
      <c r="AI1550" s="41"/>
      <c r="AJ1550" s="41"/>
      <c r="AK1550" s="41"/>
      <c r="AL1550" s="41"/>
      <c r="AM1550" s="41"/>
      <c r="AN1550" s="41"/>
      <c r="AO1550" s="41"/>
      <c r="AP1550" s="41"/>
      <c r="AQ1550" s="41"/>
    </row>
    <row r="1551">
      <c r="A1551" s="41"/>
      <c r="B1551" s="41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  <c r="AA1551" s="41"/>
      <c r="AB1551" s="41"/>
      <c r="AC1551" s="41"/>
      <c r="AD1551" s="41"/>
      <c r="AE1551" s="41"/>
      <c r="AF1551" s="41"/>
      <c r="AG1551" s="41"/>
      <c r="AH1551" s="41"/>
      <c r="AI1551" s="41"/>
      <c r="AJ1551" s="41"/>
      <c r="AK1551" s="41"/>
      <c r="AL1551" s="41"/>
      <c r="AM1551" s="41"/>
      <c r="AN1551" s="41"/>
      <c r="AO1551" s="41"/>
      <c r="AP1551" s="41"/>
      <c r="AQ1551" s="41"/>
    </row>
    <row r="1552">
      <c r="A1552" s="41"/>
      <c r="B1552" s="41"/>
      <c r="C1552" s="41"/>
      <c r="D1552" s="41"/>
      <c r="E1552" s="41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41"/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  <c r="AA1552" s="41"/>
      <c r="AB1552" s="41"/>
      <c r="AC1552" s="41"/>
      <c r="AD1552" s="41"/>
      <c r="AE1552" s="41"/>
      <c r="AF1552" s="41"/>
      <c r="AG1552" s="41"/>
      <c r="AH1552" s="41"/>
      <c r="AI1552" s="41"/>
      <c r="AJ1552" s="41"/>
      <c r="AK1552" s="41"/>
      <c r="AL1552" s="41"/>
      <c r="AM1552" s="41"/>
      <c r="AN1552" s="41"/>
      <c r="AO1552" s="41"/>
      <c r="AP1552" s="41"/>
      <c r="AQ1552" s="41"/>
    </row>
    <row r="1553">
      <c r="A1553" s="41"/>
      <c r="B1553" s="41"/>
      <c r="C1553" s="41"/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41"/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  <c r="AA1553" s="41"/>
      <c r="AB1553" s="41"/>
      <c r="AC1553" s="41"/>
      <c r="AD1553" s="41"/>
      <c r="AE1553" s="41"/>
      <c r="AF1553" s="41"/>
      <c r="AG1553" s="41"/>
      <c r="AH1553" s="41"/>
      <c r="AI1553" s="41"/>
      <c r="AJ1553" s="41"/>
      <c r="AK1553" s="41"/>
      <c r="AL1553" s="41"/>
      <c r="AM1553" s="41"/>
      <c r="AN1553" s="41"/>
      <c r="AO1553" s="41"/>
      <c r="AP1553" s="41"/>
      <c r="AQ1553" s="41"/>
    </row>
    <row r="1554">
      <c r="A1554" s="41"/>
      <c r="B1554" s="41"/>
      <c r="C1554" s="41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41"/>
      <c r="Q1554" s="41"/>
      <c r="R1554" s="41"/>
      <c r="S1554" s="41"/>
      <c r="T1554" s="41"/>
      <c r="U1554" s="41"/>
      <c r="V1554" s="41"/>
      <c r="W1554" s="41"/>
      <c r="X1554" s="41"/>
      <c r="Y1554" s="41"/>
      <c r="Z1554" s="41"/>
      <c r="AA1554" s="41"/>
      <c r="AB1554" s="41"/>
      <c r="AC1554" s="41"/>
      <c r="AD1554" s="41"/>
      <c r="AE1554" s="41"/>
      <c r="AF1554" s="41"/>
      <c r="AG1554" s="41"/>
      <c r="AH1554" s="41"/>
      <c r="AI1554" s="41"/>
      <c r="AJ1554" s="41"/>
      <c r="AK1554" s="41"/>
      <c r="AL1554" s="41"/>
      <c r="AM1554" s="41"/>
      <c r="AN1554" s="41"/>
      <c r="AO1554" s="41"/>
      <c r="AP1554" s="41"/>
      <c r="AQ1554" s="41"/>
    </row>
    <row r="1555">
      <c r="A1555" s="41"/>
      <c r="B1555" s="41"/>
      <c r="C1555" s="41"/>
      <c r="D1555" s="41"/>
      <c r="E1555" s="41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41"/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  <c r="AA1555" s="41"/>
      <c r="AB1555" s="41"/>
      <c r="AC1555" s="41"/>
      <c r="AD1555" s="41"/>
      <c r="AE1555" s="41"/>
      <c r="AF1555" s="41"/>
      <c r="AG1555" s="41"/>
      <c r="AH1555" s="41"/>
      <c r="AI1555" s="41"/>
      <c r="AJ1555" s="41"/>
      <c r="AK1555" s="41"/>
      <c r="AL1555" s="41"/>
      <c r="AM1555" s="41"/>
      <c r="AN1555" s="41"/>
      <c r="AO1555" s="41"/>
      <c r="AP1555" s="41"/>
      <c r="AQ1555" s="41"/>
    </row>
    <row r="1556">
      <c r="A1556" s="41"/>
      <c r="B1556" s="41"/>
      <c r="C1556" s="41"/>
      <c r="D1556" s="41"/>
      <c r="E1556" s="41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41"/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  <c r="AA1556" s="41"/>
      <c r="AB1556" s="41"/>
      <c r="AC1556" s="41"/>
      <c r="AD1556" s="41"/>
      <c r="AE1556" s="41"/>
      <c r="AF1556" s="41"/>
      <c r="AG1556" s="41"/>
      <c r="AH1556" s="41"/>
      <c r="AI1556" s="41"/>
      <c r="AJ1556" s="41"/>
      <c r="AK1556" s="41"/>
      <c r="AL1556" s="41"/>
      <c r="AM1556" s="41"/>
      <c r="AN1556" s="41"/>
      <c r="AO1556" s="41"/>
      <c r="AP1556" s="41"/>
      <c r="AQ1556" s="41"/>
    </row>
    <row r="1557">
      <c r="A1557" s="41"/>
      <c r="B1557" s="41"/>
      <c r="C1557" s="41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41"/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  <c r="AA1557" s="41"/>
      <c r="AB1557" s="41"/>
      <c r="AC1557" s="41"/>
      <c r="AD1557" s="41"/>
      <c r="AE1557" s="41"/>
      <c r="AF1557" s="41"/>
      <c r="AG1557" s="41"/>
      <c r="AH1557" s="41"/>
      <c r="AI1557" s="41"/>
      <c r="AJ1557" s="41"/>
      <c r="AK1557" s="41"/>
      <c r="AL1557" s="41"/>
      <c r="AM1557" s="41"/>
      <c r="AN1557" s="41"/>
      <c r="AO1557" s="41"/>
      <c r="AP1557" s="41"/>
      <c r="AQ1557" s="41"/>
    </row>
    <row r="1558">
      <c r="A1558" s="41"/>
      <c r="B1558" s="41"/>
      <c r="C1558" s="41"/>
      <c r="D1558" s="41"/>
      <c r="E1558" s="41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41"/>
      <c r="Q1558" s="41"/>
      <c r="R1558" s="41"/>
      <c r="S1558" s="41"/>
      <c r="T1558" s="41"/>
      <c r="U1558" s="41"/>
      <c r="V1558" s="41"/>
      <c r="W1558" s="41"/>
      <c r="X1558" s="41"/>
      <c r="Y1558" s="41"/>
      <c r="Z1558" s="41"/>
      <c r="AA1558" s="41"/>
      <c r="AB1558" s="41"/>
      <c r="AC1558" s="41"/>
      <c r="AD1558" s="41"/>
      <c r="AE1558" s="41"/>
      <c r="AF1558" s="41"/>
      <c r="AG1558" s="41"/>
      <c r="AH1558" s="41"/>
      <c r="AI1558" s="41"/>
      <c r="AJ1558" s="41"/>
      <c r="AK1558" s="41"/>
      <c r="AL1558" s="41"/>
      <c r="AM1558" s="41"/>
      <c r="AN1558" s="41"/>
      <c r="AO1558" s="41"/>
      <c r="AP1558" s="41"/>
      <c r="AQ1558" s="41"/>
    </row>
    <row r="1559">
      <c r="A1559" s="41"/>
      <c r="B1559" s="41"/>
      <c r="C1559" s="41"/>
      <c r="D1559" s="41"/>
      <c r="E1559" s="41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41"/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  <c r="AA1559" s="41"/>
      <c r="AB1559" s="41"/>
      <c r="AC1559" s="41"/>
      <c r="AD1559" s="41"/>
      <c r="AE1559" s="41"/>
      <c r="AF1559" s="41"/>
      <c r="AG1559" s="41"/>
      <c r="AH1559" s="41"/>
      <c r="AI1559" s="41"/>
      <c r="AJ1559" s="41"/>
      <c r="AK1559" s="41"/>
      <c r="AL1559" s="41"/>
      <c r="AM1559" s="41"/>
      <c r="AN1559" s="41"/>
      <c r="AO1559" s="41"/>
      <c r="AP1559" s="41"/>
      <c r="AQ1559" s="41"/>
    </row>
    <row r="1560">
      <c r="A1560" s="41"/>
      <c r="B1560" s="41"/>
      <c r="C1560" s="41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41"/>
      <c r="Q1560" s="41"/>
      <c r="R1560" s="41"/>
      <c r="S1560" s="41"/>
      <c r="T1560" s="41"/>
      <c r="U1560" s="41"/>
      <c r="V1560" s="41"/>
      <c r="W1560" s="41"/>
      <c r="X1560" s="41"/>
      <c r="Y1560" s="41"/>
      <c r="Z1560" s="41"/>
      <c r="AA1560" s="41"/>
      <c r="AB1560" s="41"/>
      <c r="AC1560" s="41"/>
      <c r="AD1560" s="41"/>
      <c r="AE1560" s="41"/>
      <c r="AF1560" s="41"/>
      <c r="AG1560" s="41"/>
      <c r="AH1560" s="41"/>
      <c r="AI1560" s="41"/>
      <c r="AJ1560" s="41"/>
      <c r="AK1560" s="41"/>
      <c r="AL1560" s="41"/>
      <c r="AM1560" s="41"/>
      <c r="AN1560" s="41"/>
      <c r="AO1560" s="41"/>
      <c r="AP1560" s="41"/>
      <c r="AQ1560" s="41"/>
    </row>
    <row r="1561">
      <c r="A1561" s="41"/>
      <c r="B1561" s="41"/>
      <c r="C1561" s="41"/>
      <c r="D1561" s="41"/>
      <c r="E1561" s="41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41"/>
      <c r="Q1561" s="41"/>
      <c r="R1561" s="41"/>
      <c r="S1561" s="41"/>
      <c r="T1561" s="41"/>
      <c r="U1561" s="41"/>
      <c r="V1561" s="41"/>
      <c r="W1561" s="41"/>
      <c r="X1561" s="41"/>
      <c r="Y1561" s="41"/>
      <c r="Z1561" s="41"/>
      <c r="AA1561" s="41"/>
      <c r="AB1561" s="41"/>
      <c r="AC1561" s="41"/>
      <c r="AD1561" s="41"/>
      <c r="AE1561" s="41"/>
      <c r="AF1561" s="41"/>
      <c r="AG1561" s="41"/>
      <c r="AH1561" s="41"/>
      <c r="AI1561" s="41"/>
      <c r="AJ1561" s="41"/>
      <c r="AK1561" s="41"/>
      <c r="AL1561" s="41"/>
      <c r="AM1561" s="41"/>
      <c r="AN1561" s="41"/>
      <c r="AO1561" s="41"/>
      <c r="AP1561" s="41"/>
      <c r="AQ1561" s="41"/>
    </row>
    <row r="1562">
      <c r="A1562" s="41"/>
      <c r="B1562" s="41"/>
      <c r="C1562" s="41"/>
      <c r="D1562" s="41"/>
      <c r="E1562" s="41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41"/>
      <c r="Q1562" s="41"/>
      <c r="R1562" s="41"/>
      <c r="S1562" s="41"/>
      <c r="T1562" s="41"/>
      <c r="U1562" s="41"/>
      <c r="V1562" s="41"/>
      <c r="W1562" s="41"/>
      <c r="X1562" s="41"/>
      <c r="Y1562" s="41"/>
      <c r="Z1562" s="41"/>
      <c r="AA1562" s="41"/>
      <c r="AB1562" s="41"/>
      <c r="AC1562" s="41"/>
      <c r="AD1562" s="41"/>
      <c r="AE1562" s="41"/>
      <c r="AF1562" s="41"/>
      <c r="AG1562" s="41"/>
      <c r="AH1562" s="41"/>
      <c r="AI1562" s="41"/>
      <c r="AJ1562" s="41"/>
      <c r="AK1562" s="41"/>
      <c r="AL1562" s="41"/>
      <c r="AM1562" s="41"/>
      <c r="AN1562" s="41"/>
      <c r="AO1562" s="41"/>
      <c r="AP1562" s="41"/>
      <c r="AQ1562" s="41"/>
    </row>
    <row r="1563">
      <c r="A1563" s="41"/>
      <c r="B1563" s="41"/>
      <c r="C1563" s="41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  <c r="AB1563" s="41"/>
      <c r="AC1563" s="41"/>
      <c r="AD1563" s="41"/>
      <c r="AE1563" s="41"/>
      <c r="AF1563" s="41"/>
      <c r="AG1563" s="41"/>
      <c r="AH1563" s="41"/>
      <c r="AI1563" s="41"/>
      <c r="AJ1563" s="41"/>
      <c r="AK1563" s="41"/>
      <c r="AL1563" s="41"/>
      <c r="AM1563" s="41"/>
      <c r="AN1563" s="41"/>
      <c r="AO1563" s="41"/>
      <c r="AP1563" s="41"/>
      <c r="AQ1563" s="41"/>
    </row>
    <row r="1564">
      <c r="A1564" s="41"/>
      <c r="B1564" s="41"/>
      <c r="C1564" s="41"/>
      <c r="D1564" s="41"/>
      <c r="E1564" s="41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1"/>
      <c r="AC1564" s="41"/>
      <c r="AD1564" s="41"/>
      <c r="AE1564" s="41"/>
      <c r="AF1564" s="41"/>
      <c r="AG1564" s="41"/>
      <c r="AH1564" s="41"/>
      <c r="AI1564" s="41"/>
      <c r="AJ1564" s="41"/>
      <c r="AK1564" s="41"/>
      <c r="AL1564" s="41"/>
      <c r="AM1564" s="41"/>
      <c r="AN1564" s="41"/>
      <c r="AO1564" s="41"/>
      <c r="AP1564" s="41"/>
      <c r="AQ1564" s="41"/>
    </row>
    <row r="1565">
      <c r="A1565" s="41"/>
      <c r="B1565" s="41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  <c r="AA1565" s="41"/>
      <c r="AB1565" s="41"/>
      <c r="AC1565" s="41"/>
      <c r="AD1565" s="41"/>
      <c r="AE1565" s="41"/>
      <c r="AF1565" s="41"/>
      <c r="AG1565" s="41"/>
      <c r="AH1565" s="41"/>
      <c r="AI1565" s="41"/>
      <c r="AJ1565" s="41"/>
      <c r="AK1565" s="41"/>
      <c r="AL1565" s="41"/>
      <c r="AM1565" s="41"/>
      <c r="AN1565" s="41"/>
      <c r="AO1565" s="41"/>
      <c r="AP1565" s="41"/>
      <c r="AQ1565" s="41"/>
    </row>
    <row r="1566">
      <c r="A1566" s="41"/>
      <c r="B1566" s="41"/>
      <c r="C1566" s="41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41"/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  <c r="AA1566" s="41"/>
      <c r="AB1566" s="41"/>
      <c r="AC1566" s="41"/>
      <c r="AD1566" s="41"/>
      <c r="AE1566" s="41"/>
      <c r="AF1566" s="41"/>
      <c r="AG1566" s="41"/>
      <c r="AH1566" s="41"/>
      <c r="AI1566" s="41"/>
      <c r="AJ1566" s="41"/>
      <c r="AK1566" s="41"/>
      <c r="AL1566" s="41"/>
      <c r="AM1566" s="41"/>
      <c r="AN1566" s="41"/>
      <c r="AO1566" s="41"/>
      <c r="AP1566" s="41"/>
      <c r="AQ1566" s="41"/>
    </row>
    <row r="1567">
      <c r="A1567" s="41"/>
      <c r="B1567" s="41"/>
      <c r="C1567" s="41"/>
      <c r="D1567" s="41"/>
      <c r="E1567" s="41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41"/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  <c r="AA1567" s="41"/>
      <c r="AB1567" s="41"/>
      <c r="AC1567" s="41"/>
      <c r="AD1567" s="41"/>
      <c r="AE1567" s="41"/>
      <c r="AF1567" s="41"/>
      <c r="AG1567" s="41"/>
      <c r="AH1567" s="41"/>
      <c r="AI1567" s="41"/>
      <c r="AJ1567" s="41"/>
      <c r="AK1567" s="41"/>
      <c r="AL1567" s="41"/>
      <c r="AM1567" s="41"/>
      <c r="AN1567" s="41"/>
      <c r="AO1567" s="41"/>
      <c r="AP1567" s="41"/>
      <c r="AQ1567" s="41"/>
    </row>
    <row r="1568">
      <c r="A1568" s="41"/>
      <c r="B1568" s="41"/>
      <c r="C1568" s="41"/>
      <c r="D1568" s="41"/>
      <c r="E1568" s="41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41"/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  <c r="AA1568" s="41"/>
      <c r="AB1568" s="41"/>
      <c r="AC1568" s="41"/>
      <c r="AD1568" s="41"/>
      <c r="AE1568" s="41"/>
      <c r="AF1568" s="41"/>
      <c r="AG1568" s="41"/>
      <c r="AH1568" s="41"/>
      <c r="AI1568" s="41"/>
      <c r="AJ1568" s="41"/>
      <c r="AK1568" s="41"/>
      <c r="AL1568" s="41"/>
      <c r="AM1568" s="41"/>
      <c r="AN1568" s="41"/>
      <c r="AO1568" s="41"/>
      <c r="AP1568" s="41"/>
      <c r="AQ1568" s="41"/>
    </row>
    <row r="1569">
      <c r="A1569" s="41"/>
      <c r="B1569" s="41"/>
      <c r="C1569" s="41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  <c r="AA1569" s="41"/>
      <c r="AB1569" s="41"/>
      <c r="AC1569" s="41"/>
      <c r="AD1569" s="41"/>
      <c r="AE1569" s="41"/>
      <c r="AF1569" s="41"/>
      <c r="AG1569" s="41"/>
      <c r="AH1569" s="41"/>
      <c r="AI1569" s="41"/>
      <c r="AJ1569" s="41"/>
      <c r="AK1569" s="41"/>
      <c r="AL1569" s="41"/>
      <c r="AM1569" s="41"/>
      <c r="AN1569" s="41"/>
      <c r="AO1569" s="41"/>
      <c r="AP1569" s="41"/>
      <c r="AQ1569" s="41"/>
    </row>
    <row r="1570">
      <c r="A1570" s="41"/>
      <c r="B1570" s="41"/>
      <c r="C1570" s="41"/>
      <c r="D1570" s="41"/>
      <c r="E1570" s="41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41"/>
      <c r="Q1570" s="41"/>
      <c r="R1570" s="41"/>
      <c r="S1570" s="41"/>
      <c r="T1570" s="41"/>
      <c r="U1570" s="41"/>
      <c r="V1570" s="41"/>
      <c r="W1570" s="41"/>
      <c r="X1570" s="41"/>
      <c r="Y1570" s="41"/>
      <c r="Z1570" s="41"/>
      <c r="AA1570" s="41"/>
      <c r="AB1570" s="41"/>
      <c r="AC1570" s="41"/>
      <c r="AD1570" s="41"/>
      <c r="AE1570" s="41"/>
      <c r="AF1570" s="41"/>
      <c r="AG1570" s="41"/>
      <c r="AH1570" s="41"/>
      <c r="AI1570" s="41"/>
      <c r="AJ1570" s="41"/>
      <c r="AK1570" s="41"/>
      <c r="AL1570" s="41"/>
      <c r="AM1570" s="41"/>
      <c r="AN1570" s="41"/>
      <c r="AO1570" s="41"/>
      <c r="AP1570" s="41"/>
      <c r="AQ1570" s="41"/>
    </row>
    <row r="1571">
      <c r="A1571" s="41"/>
      <c r="B1571" s="41"/>
      <c r="C1571" s="41"/>
      <c r="D1571" s="41"/>
      <c r="E1571" s="41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41"/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  <c r="AA1571" s="41"/>
      <c r="AB1571" s="41"/>
      <c r="AC1571" s="41"/>
      <c r="AD1571" s="41"/>
      <c r="AE1571" s="41"/>
      <c r="AF1571" s="41"/>
      <c r="AG1571" s="41"/>
      <c r="AH1571" s="41"/>
      <c r="AI1571" s="41"/>
      <c r="AJ1571" s="41"/>
      <c r="AK1571" s="41"/>
      <c r="AL1571" s="41"/>
      <c r="AM1571" s="41"/>
      <c r="AN1571" s="41"/>
      <c r="AO1571" s="41"/>
      <c r="AP1571" s="41"/>
      <c r="AQ1571" s="41"/>
    </row>
    <row r="1572">
      <c r="A1572" s="41"/>
      <c r="B1572" s="41"/>
      <c r="C1572" s="41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  <c r="AA1572" s="41"/>
      <c r="AB1572" s="41"/>
      <c r="AC1572" s="41"/>
      <c r="AD1572" s="41"/>
      <c r="AE1572" s="41"/>
      <c r="AF1572" s="41"/>
      <c r="AG1572" s="41"/>
      <c r="AH1572" s="41"/>
      <c r="AI1572" s="41"/>
      <c r="AJ1572" s="41"/>
      <c r="AK1572" s="41"/>
      <c r="AL1572" s="41"/>
      <c r="AM1572" s="41"/>
      <c r="AN1572" s="41"/>
      <c r="AO1572" s="41"/>
      <c r="AP1572" s="41"/>
      <c r="AQ1572" s="41"/>
    </row>
    <row r="1573">
      <c r="A1573" s="41"/>
      <c r="B1573" s="41"/>
      <c r="C1573" s="41"/>
      <c r="D1573" s="41"/>
      <c r="E1573" s="41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  <c r="AA1573" s="41"/>
      <c r="AB1573" s="41"/>
      <c r="AC1573" s="41"/>
      <c r="AD1573" s="41"/>
      <c r="AE1573" s="41"/>
      <c r="AF1573" s="41"/>
      <c r="AG1573" s="41"/>
      <c r="AH1573" s="41"/>
      <c r="AI1573" s="41"/>
      <c r="AJ1573" s="41"/>
      <c r="AK1573" s="41"/>
      <c r="AL1573" s="41"/>
      <c r="AM1573" s="41"/>
      <c r="AN1573" s="41"/>
      <c r="AO1573" s="41"/>
      <c r="AP1573" s="41"/>
      <c r="AQ1573" s="41"/>
    </row>
    <row r="1574">
      <c r="A1574" s="41"/>
      <c r="B1574" s="41"/>
      <c r="C1574" s="41"/>
      <c r="D1574" s="41"/>
      <c r="E1574" s="41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  <c r="AA1574" s="41"/>
      <c r="AB1574" s="41"/>
      <c r="AC1574" s="41"/>
      <c r="AD1574" s="41"/>
      <c r="AE1574" s="41"/>
      <c r="AF1574" s="41"/>
      <c r="AG1574" s="41"/>
      <c r="AH1574" s="41"/>
      <c r="AI1574" s="41"/>
      <c r="AJ1574" s="41"/>
      <c r="AK1574" s="41"/>
      <c r="AL1574" s="41"/>
      <c r="AM1574" s="41"/>
      <c r="AN1574" s="41"/>
      <c r="AO1574" s="41"/>
      <c r="AP1574" s="41"/>
      <c r="AQ1574" s="41"/>
    </row>
    <row r="1575">
      <c r="A1575" s="41"/>
      <c r="B1575" s="41"/>
      <c r="C1575" s="41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  <c r="AA1575" s="41"/>
      <c r="AB1575" s="41"/>
      <c r="AC1575" s="41"/>
      <c r="AD1575" s="41"/>
      <c r="AE1575" s="41"/>
      <c r="AF1575" s="41"/>
      <c r="AG1575" s="41"/>
      <c r="AH1575" s="41"/>
      <c r="AI1575" s="41"/>
      <c r="AJ1575" s="41"/>
      <c r="AK1575" s="41"/>
      <c r="AL1575" s="41"/>
      <c r="AM1575" s="41"/>
      <c r="AN1575" s="41"/>
      <c r="AO1575" s="41"/>
      <c r="AP1575" s="41"/>
      <c r="AQ1575" s="41"/>
    </row>
    <row r="1576">
      <c r="A1576" s="41"/>
      <c r="B1576" s="41"/>
      <c r="C1576" s="41"/>
      <c r="D1576" s="41"/>
      <c r="E1576" s="41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  <c r="AA1576" s="41"/>
      <c r="AB1576" s="41"/>
      <c r="AC1576" s="41"/>
      <c r="AD1576" s="41"/>
      <c r="AE1576" s="41"/>
      <c r="AF1576" s="41"/>
      <c r="AG1576" s="41"/>
      <c r="AH1576" s="41"/>
      <c r="AI1576" s="41"/>
      <c r="AJ1576" s="41"/>
      <c r="AK1576" s="41"/>
      <c r="AL1576" s="41"/>
      <c r="AM1576" s="41"/>
      <c r="AN1576" s="41"/>
      <c r="AO1576" s="41"/>
      <c r="AP1576" s="41"/>
      <c r="AQ1576" s="41"/>
    </row>
    <row r="1577">
      <c r="A1577" s="41"/>
      <c r="B1577" s="41"/>
      <c r="C1577" s="41"/>
      <c r="D1577" s="41"/>
      <c r="E1577" s="41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  <c r="AA1577" s="41"/>
      <c r="AB1577" s="41"/>
      <c r="AC1577" s="41"/>
      <c r="AD1577" s="41"/>
      <c r="AE1577" s="41"/>
      <c r="AF1577" s="41"/>
      <c r="AG1577" s="41"/>
      <c r="AH1577" s="41"/>
      <c r="AI1577" s="41"/>
      <c r="AJ1577" s="41"/>
      <c r="AK1577" s="41"/>
      <c r="AL1577" s="41"/>
      <c r="AM1577" s="41"/>
      <c r="AN1577" s="41"/>
      <c r="AO1577" s="41"/>
      <c r="AP1577" s="41"/>
      <c r="AQ1577" s="41"/>
    </row>
    <row r="1578">
      <c r="A1578" s="41"/>
      <c r="B1578" s="41"/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  <c r="AA1578" s="41"/>
      <c r="AB1578" s="41"/>
      <c r="AC1578" s="41"/>
      <c r="AD1578" s="41"/>
      <c r="AE1578" s="41"/>
      <c r="AF1578" s="41"/>
      <c r="AG1578" s="41"/>
      <c r="AH1578" s="41"/>
      <c r="AI1578" s="41"/>
      <c r="AJ1578" s="41"/>
      <c r="AK1578" s="41"/>
      <c r="AL1578" s="41"/>
      <c r="AM1578" s="41"/>
      <c r="AN1578" s="41"/>
      <c r="AO1578" s="41"/>
      <c r="AP1578" s="41"/>
      <c r="AQ1578" s="41"/>
    </row>
    <row r="1579">
      <c r="A1579" s="41"/>
      <c r="B1579" s="41"/>
      <c r="C1579" s="41"/>
      <c r="D1579" s="41"/>
      <c r="E1579" s="41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  <c r="AA1579" s="41"/>
      <c r="AB1579" s="41"/>
      <c r="AC1579" s="41"/>
      <c r="AD1579" s="41"/>
      <c r="AE1579" s="41"/>
      <c r="AF1579" s="41"/>
      <c r="AG1579" s="41"/>
      <c r="AH1579" s="41"/>
      <c r="AI1579" s="41"/>
      <c r="AJ1579" s="41"/>
      <c r="AK1579" s="41"/>
      <c r="AL1579" s="41"/>
      <c r="AM1579" s="41"/>
      <c r="AN1579" s="41"/>
      <c r="AO1579" s="41"/>
      <c r="AP1579" s="41"/>
      <c r="AQ1579" s="41"/>
    </row>
    <row r="1580">
      <c r="A1580" s="41"/>
      <c r="B1580" s="41"/>
      <c r="C1580" s="41"/>
      <c r="D1580" s="41"/>
      <c r="E1580" s="41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41"/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  <c r="AA1580" s="41"/>
      <c r="AB1580" s="41"/>
      <c r="AC1580" s="41"/>
      <c r="AD1580" s="41"/>
      <c r="AE1580" s="41"/>
      <c r="AF1580" s="41"/>
      <c r="AG1580" s="41"/>
      <c r="AH1580" s="41"/>
      <c r="AI1580" s="41"/>
      <c r="AJ1580" s="41"/>
      <c r="AK1580" s="41"/>
      <c r="AL1580" s="41"/>
      <c r="AM1580" s="41"/>
      <c r="AN1580" s="41"/>
      <c r="AO1580" s="41"/>
      <c r="AP1580" s="41"/>
      <c r="AQ1580" s="41"/>
    </row>
    <row r="1581">
      <c r="A1581" s="41"/>
      <c r="B1581" s="41"/>
      <c r="C1581" s="41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  <c r="AB1581" s="41"/>
      <c r="AC1581" s="41"/>
      <c r="AD1581" s="41"/>
      <c r="AE1581" s="41"/>
      <c r="AF1581" s="41"/>
      <c r="AG1581" s="41"/>
      <c r="AH1581" s="41"/>
      <c r="AI1581" s="41"/>
      <c r="AJ1581" s="41"/>
      <c r="AK1581" s="41"/>
      <c r="AL1581" s="41"/>
      <c r="AM1581" s="41"/>
      <c r="AN1581" s="41"/>
      <c r="AO1581" s="41"/>
      <c r="AP1581" s="41"/>
      <c r="AQ1581" s="41"/>
    </row>
    <row r="1582">
      <c r="A1582" s="41"/>
      <c r="B1582" s="41"/>
      <c r="C1582" s="41"/>
      <c r="D1582" s="41"/>
      <c r="E1582" s="41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1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  <c r="AM1582" s="41"/>
      <c r="AN1582" s="41"/>
      <c r="AO1582" s="41"/>
      <c r="AP1582" s="41"/>
      <c r="AQ1582" s="41"/>
    </row>
    <row r="1583">
      <c r="A1583" s="41"/>
      <c r="B1583" s="41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  <c r="AA1583" s="41"/>
      <c r="AB1583" s="41"/>
      <c r="AC1583" s="41"/>
      <c r="AD1583" s="41"/>
      <c r="AE1583" s="41"/>
      <c r="AF1583" s="41"/>
      <c r="AG1583" s="41"/>
      <c r="AH1583" s="41"/>
      <c r="AI1583" s="41"/>
      <c r="AJ1583" s="41"/>
      <c r="AK1583" s="41"/>
      <c r="AL1583" s="41"/>
      <c r="AM1583" s="41"/>
      <c r="AN1583" s="41"/>
      <c r="AO1583" s="41"/>
      <c r="AP1583" s="41"/>
      <c r="AQ1583" s="41"/>
    </row>
    <row r="1584">
      <c r="A1584" s="41"/>
      <c r="B1584" s="41"/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  <c r="AA1584" s="41"/>
      <c r="AB1584" s="41"/>
      <c r="AC1584" s="41"/>
      <c r="AD1584" s="41"/>
      <c r="AE1584" s="41"/>
      <c r="AF1584" s="41"/>
      <c r="AG1584" s="41"/>
      <c r="AH1584" s="41"/>
      <c r="AI1584" s="41"/>
      <c r="AJ1584" s="41"/>
      <c r="AK1584" s="41"/>
      <c r="AL1584" s="41"/>
      <c r="AM1584" s="41"/>
      <c r="AN1584" s="41"/>
      <c r="AO1584" s="41"/>
      <c r="AP1584" s="41"/>
      <c r="AQ1584" s="41"/>
    </row>
    <row r="1585">
      <c r="A1585" s="41"/>
      <c r="B1585" s="41"/>
      <c r="C1585" s="41"/>
      <c r="D1585" s="41"/>
      <c r="E1585" s="41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  <c r="AA1585" s="41"/>
      <c r="AB1585" s="41"/>
      <c r="AC1585" s="41"/>
      <c r="AD1585" s="41"/>
      <c r="AE1585" s="41"/>
      <c r="AF1585" s="41"/>
      <c r="AG1585" s="41"/>
      <c r="AH1585" s="41"/>
      <c r="AI1585" s="41"/>
      <c r="AJ1585" s="41"/>
      <c r="AK1585" s="41"/>
      <c r="AL1585" s="41"/>
      <c r="AM1585" s="41"/>
      <c r="AN1585" s="41"/>
      <c r="AO1585" s="41"/>
      <c r="AP1585" s="41"/>
      <c r="AQ1585" s="41"/>
    </row>
    <row r="1586">
      <c r="A1586" s="41"/>
      <c r="B1586" s="41"/>
      <c r="C1586" s="41"/>
      <c r="D1586" s="41"/>
      <c r="E1586" s="41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  <c r="AA1586" s="41"/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/>
      <c r="AN1586" s="41"/>
      <c r="AO1586" s="41"/>
      <c r="AP1586" s="41"/>
      <c r="AQ1586" s="41"/>
    </row>
    <row r="1587">
      <c r="A1587" s="41"/>
      <c r="B1587" s="41"/>
      <c r="C1587" s="41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  <c r="AA1587" s="41"/>
      <c r="AB1587" s="41"/>
      <c r="AC1587" s="41"/>
      <c r="AD1587" s="41"/>
      <c r="AE1587" s="41"/>
      <c r="AF1587" s="41"/>
      <c r="AG1587" s="41"/>
      <c r="AH1587" s="41"/>
      <c r="AI1587" s="41"/>
      <c r="AJ1587" s="41"/>
      <c r="AK1587" s="41"/>
      <c r="AL1587" s="41"/>
      <c r="AM1587" s="41"/>
      <c r="AN1587" s="41"/>
      <c r="AO1587" s="41"/>
      <c r="AP1587" s="41"/>
      <c r="AQ1587" s="41"/>
    </row>
    <row r="1588">
      <c r="A1588" s="41"/>
      <c r="B1588" s="41"/>
      <c r="C1588" s="41"/>
      <c r="D1588" s="41"/>
      <c r="E1588" s="41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  <c r="AA1588" s="41"/>
      <c r="AB1588" s="41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  <c r="AM1588" s="41"/>
      <c r="AN1588" s="41"/>
      <c r="AO1588" s="41"/>
      <c r="AP1588" s="41"/>
      <c r="AQ1588" s="41"/>
    </row>
    <row r="1589">
      <c r="A1589" s="41"/>
      <c r="B1589" s="41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  <c r="AA1589" s="41"/>
      <c r="AB1589" s="41"/>
      <c r="AC1589" s="41"/>
      <c r="AD1589" s="41"/>
      <c r="AE1589" s="41"/>
      <c r="AF1589" s="41"/>
      <c r="AG1589" s="41"/>
      <c r="AH1589" s="41"/>
      <c r="AI1589" s="41"/>
      <c r="AJ1589" s="41"/>
      <c r="AK1589" s="41"/>
      <c r="AL1589" s="41"/>
      <c r="AM1589" s="41"/>
      <c r="AN1589" s="41"/>
      <c r="AO1589" s="41"/>
      <c r="AP1589" s="41"/>
      <c r="AQ1589" s="41"/>
    </row>
    <row r="1590">
      <c r="A1590" s="41"/>
      <c r="B1590" s="41"/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  <c r="AA1590" s="41"/>
      <c r="AB1590" s="41"/>
      <c r="AC1590" s="41"/>
      <c r="AD1590" s="41"/>
      <c r="AE1590" s="41"/>
      <c r="AF1590" s="41"/>
      <c r="AG1590" s="41"/>
      <c r="AH1590" s="41"/>
      <c r="AI1590" s="41"/>
      <c r="AJ1590" s="41"/>
      <c r="AK1590" s="41"/>
      <c r="AL1590" s="41"/>
      <c r="AM1590" s="41"/>
      <c r="AN1590" s="41"/>
      <c r="AO1590" s="41"/>
      <c r="AP1590" s="41"/>
      <c r="AQ1590" s="41"/>
    </row>
    <row r="1591">
      <c r="A1591" s="41"/>
      <c r="B1591" s="41"/>
      <c r="C1591" s="41"/>
      <c r="D1591" s="41"/>
      <c r="E1591" s="41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  <c r="AA1591" s="41"/>
      <c r="AB1591" s="41"/>
      <c r="AC1591" s="41"/>
      <c r="AD1591" s="41"/>
      <c r="AE1591" s="41"/>
      <c r="AF1591" s="41"/>
      <c r="AG1591" s="41"/>
      <c r="AH1591" s="41"/>
      <c r="AI1591" s="41"/>
      <c r="AJ1591" s="41"/>
      <c r="AK1591" s="41"/>
      <c r="AL1591" s="41"/>
      <c r="AM1591" s="41"/>
      <c r="AN1591" s="41"/>
      <c r="AO1591" s="41"/>
      <c r="AP1591" s="41"/>
      <c r="AQ1591" s="41"/>
    </row>
    <row r="1592">
      <c r="A1592" s="41"/>
      <c r="B1592" s="41"/>
      <c r="C1592" s="41"/>
      <c r="D1592" s="41"/>
      <c r="E1592" s="41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  <c r="AA1592" s="41"/>
      <c r="AB1592" s="41"/>
      <c r="AC1592" s="41"/>
      <c r="AD1592" s="41"/>
      <c r="AE1592" s="41"/>
      <c r="AF1592" s="41"/>
      <c r="AG1592" s="41"/>
      <c r="AH1592" s="41"/>
      <c r="AI1592" s="41"/>
      <c r="AJ1592" s="41"/>
      <c r="AK1592" s="41"/>
      <c r="AL1592" s="41"/>
      <c r="AM1592" s="41"/>
      <c r="AN1592" s="41"/>
      <c r="AO1592" s="41"/>
      <c r="AP1592" s="41"/>
      <c r="AQ1592" s="41"/>
    </row>
    <row r="1593">
      <c r="A1593" s="41"/>
      <c r="B1593" s="41"/>
      <c r="C1593" s="41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  <c r="AA1593" s="41"/>
      <c r="AB1593" s="41"/>
      <c r="AC1593" s="41"/>
      <c r="AD1593" s="41"/>
      <c r="AE1593" s="41"/>
      <c r="AF1593" s="41"/>
      <c r="AG1593" s="41"/>
      <c r="AH1593" s="41"/>
      <c r="AI1593" s="41"/>
      <c r="AJ1593" s="41"/>
      <c r="AK1593" s="41"/>
      <c r="AL1593" s="41"/>
      <c r="AM1593" s="41"/>
      <c r="AN1593" s="41"/>
      <c r="AO1593" s="41"/>
      <c r="AP1593" s="41"/>
      <c r="AQ1593" s="41"/>
    </row>
    <row r="1594">
      <c r="A1594" s="41"/>
      <c r="B1594" s="41"/>
      <c r="C1594" s="41"/>
      <c r="D1594" s="41"/>
      <c r="E1594" s="41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  <c r="AA1594" s="41"/>
      <c r="AB1594" s="41"/>
      <c r="AC1594" s="41"/>
      <c r="AD1594" s="41"/>
      <c r="AE1594" s="41"/>
      <c r="AF1594" s="41"/>
      <c r="AG1594" s="41"/>
      <c r="AH1594" s="41"/>
      <c r="AI1594" s="41"/>
      <c r="AJ1594" s="41"/>
      <c r="AK1594" s="41"/>
      <c r="AL1594" s="41"/>
      <c r="AM1594" s="41"/>
      <c r="AN1594" s="41"/>
      <c r="AO1594" s="41"/>
      <c r="AP1594" s="41"/>
      <c r="AQ1594" s="41"/>
    </row>
    <row r="1595">
      <c r="A1595" s="41"/>
      <c r="B1595" s="41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41"/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  <c r="AA1595" s="41"/>
      <c r="AB1595" s="41"/>
      <c r="AC1595" s="41"/>
      <c r="AD1595" s="41"/>
      <c r="AE1595" s="41"/>
      <c r="AF1595" s="41"/>
      <c r="AG1595" s="41"/>
      <c r="AH1595" s="41"/>
      <c r="AI1595" s="41"/>
      <c r="AJ1595" s="41"/>
      <c r="AK1595" s="41"/>
      <c r="AL1595" s="41"/>
      <c r="AM1595" s="41"/>
      <c r="AN1595" s="41"/>
      <c r="AO1595" s="41"/>
      <c r="AP1595" s="41"/>
      <c r="AQ1595" s="41"/>
    </row>
    <row r="1596">
      <c r="A1596" s="41"/>
      <c r="B1596" s="41"/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41"/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  <c r="AA1596" s="41"/>
      <c r="AB1596" s="41"/>
      <c r="AC1596" s="41"/>
      <c r="AD1596" s="41"/>
      <c r="AE1596" s="41"/>
      <c r="AF1596" s="41"/>
      <c r="AG1596" s="41"/>
      <c r="AH1596" s="41"/>
      <c r="AI1596" s="41"/>
      <c r="AJ1596" s="41"/>
      <c r="AK1596" s="41"/>
      <c r="AL1596" s="41"/>
      <c r="AM1596" s="41"/>
      <c r="AN1596" s="41"/>
      <c r="AO1596" s="41"/>
      <c r="AP1596" s="41"/>
      <c r="AQ1596" s="41"/>
    </row>
    <row r="1597">
      <c r="A1597" s="41"/>
      <c r="B1597" s="41"/>
      <c r="C1597" s="41"/>
      <c r="D1597" s="41"/>
      <c r="E1597" s="41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41"/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  <c r="AA1597" s="41"/>
      <c r="AB1597" s="41"/>
      <c r="AC1597" s="41"/>
      <c r="AD1597" s="41"/>
      <c r="AE1597" s="41"/>
      <c r="AF1597" s="41"/>
      <c r="AG1597" s="41"/>
      <c r="AH1597" s="41"/>
      <c r="AI1597" s="41"/>
      <c r="AJ1597" s="41"/>
      <c r="AK1597" s="41"/>
      <c r="AL1597" s="41"/>
      <c r="AM1597" s="41"/>
      <c r="AN1597" s="41"/>
      <c r="AO1597" s="41"/>
      <c r="AP1597" s="41"/>
      <c r="AQ1597" s="41"/>
    </row>
    <row r="1598">
      <c r="A1598" s="41"/>
      <c r="B1598" s="41"/>
      <c r="C1598" s="41"/>
      <c r="D1598" s="41"/>
      <c r="E1598" s="41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1"/>
      <c r="AC1598" s="41"/>
      <c r="AD1598" s="41"/>
      <c r="AE1598" s="41"/>
      <c r="AF1598" s="41"/>
      <c r="AG1598" s="41"/>
      <c r="AH1598" s="41"/>
      <c r="AI1598" s="41"/>
      <c r="AJ1598" s="41"/>
      <c r="AK1598" s="41"/>
      <c r="AL1598" s="41"/>
      <c r="AM1598" s="41"/>
      <c r="AN1598" s="41"/>
      <c r="AO1598" s="41"/>
      <c r="AP1598" s="41"/>
      <c r="AQ1598" s="41"/>
    </row>
    <row r="1599">
      <c r="A1599" s="41"/>
      <c r="B1599" s="41"/>
      <c r="C1599" s="41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  <c r="AA1599" s="41"/>
      <c r="AB1599" s="41"/>
      <c r="AC1599" s="41"/>
      <c r="AD1599" s="41"/>
      <c r="AE1599" s="41"/>
      <c r="AF1599" s="41"/>
      <c r="AG1599" s="41"/>
      <c r="AH1599" s="41"/>
      <c r="AI1599" s="41"/>
      <c r="AJ1599" s="41"/>
      <c r="AK1599" s="41"/>
      <c r="AL1599" s="41"/>
      <c r="AM1599" s="41"/>
      <c r="AN1599" s="41"/>
      <c r="AO1599" s="41"/>
      <c r="AP1599" s="41"/>
      <c r="AQ1599" s="41"/>
    </row>
    <row r="1600">
      <c r="A1600" s="41"/>
      <c r="B1600" s="41"/>
      <c r="C1600" s="41"/>
      <c r="D1600" s="41"/>
      <c r="E1600" s="41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  <c r="AB1600" s="41"/>
      <c r="AC1600" s="41"/>
      <c r="AD1600" s="41"/>
      <c r="AE1600" s="41"/>
      <c r="AF1600" s="41"/>
      <c r="AG1600" s="41"/>
      <c r="AH1600" s="41"/>
      <c r="AI1600" s="41"/>
      <c r="AJ1600" s="41"/>
      <c r="AK1600" s="41"/>
      <c r="AL1600" s="41"/>
      <c r="AM1600" s="41"/>
      <c r="AN1600" s="41"/>
      <c r="AO1600" s="41"/>
      <c r="AP1600" s="41"/>
      <c r="AQ1600" s="41"/>
    </row>
    <row r="1601">
      <c r="A1601" s="41"/>
      <c r="B1601" s="41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1"/>
      <c r="Q1601" s="41"/>
      <c r="R1601" s="41"/>
      <c r="S1601" s="41"/>
      <c r="T1601" s="41"/>
      <c r="U1601" s="41"/>
      <c r="V1601" s="41"/>
      <c r="W1601" s="41"/>
      <c r="X1601" s="41"/>
      <c r="Y1601" s="41"/>
      <c r="Z1601" s="41"/>
      <c r="AA1601" s="41"/>
      <c r="AB1601" s="41"/>
      <c r="AC1601" s="41"/>
      <c r="AD1601" s="41"/>
      <c r="AE1601" s="41"/>
      <c r="AF1601" s="41"/>
      <c r="AG1601" s="41"/>
      <c r="AH1601" s="41"/>
      <c r="AI1601" s="41"/>
      <c r="AJ1601" s="41"/>
      <c r="AK1601" s="41"/>
      <c r="AL1601" s="41"/>
      <c r="AM1601" s="41"/>
      <c r="AN1601" s="41"/>
      <c r="AO1601" s="41"/>
      <c r="AP1601" s="41"/>
      <c r="AQ1601" s="41"/>
    </row>
    <row r="1602">
      <c r="A1602" s="41"/>
      <c r="B1602" s="41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1"/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  <c r="AA1602" s="41"/>
      <c r="AB1602" s="41"/>
      <c r="AC1602" s="41"/>
      <c r="AD1602" s="41"/>
      <c r="AE1602" s="41"/>
      <c r="AF1602" s="41"/>
      <c r="AG1602" s="41"/>
      <c r="AH1602" s="41"/>
      <c r="AI1602" s="41"/>
      <c r="AJ1602" s="41"/>
      <c r="AK1602" s="41"/>
      <c r="AL1602" s="41"/>
      <c r="AM1602" s="41"/>
      <c r="AN1602" s="41"/>
      <c r="AO1602" s="41"/>
      <c r="AP1602" s="41"/>
      <c r="AQ1602" s="41"/>
    </row>
    <row r="1603">
      <c r="A1603" s="41"/>
      <c r="B1603" s="41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1"/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  <c r="AA1603" s="41"/>
      <c r="AB1603" s="41"/>
      <c r="AC1603" s="41"/>
      <c r="AD1603" s="41"/>
      <c r="AE1603" s="41"/>
      <c r="AF1603" s="41"/>
      <c r="AG1603" s="41"/>
      <c r="AH1603" s="41"/>
      <c r="AI1603" s="41"/>
      <c r="AJ1603" s="41"/>
      <c r="AK1603" s="41"/>
      <c r="AL1603" s="41"/>
      <c r="AM1603" s="41"/>
      <c r="AN1603" s="41"/>
      <c r="AO1603" s="41"/>
      <c r="AP1603" s="41"/>
      <c r="AQ1603" s="41"/>
    </row>
    <row r="1604">
      <c r="A1604" s="41"/>
      <c r="B1604" s="41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1"/>
      <c r="Q1604" s="41"/>
      <c r="R1604" s="41"/>
      <c r="S1604" s="41"/>
      <c r="T1604" s="41"/>
      <c r="U1604" s="41"/>
      <c r="V1604" s="41"/>
      <c r="W1604" s="41"/>
      <c r="X1604" s="41"/>
      <c r="Y1604" s="41"/>
      <c r="Z1604" s="41"/>
      <c r="AA1604" s="41"/>
      <c r="AB1604" s="41"/>
      <c r="AC1604" s="41"/>
      <c r="AD1604" s="41"/>
      <c r="AE1604" s="41"/>
      <c r="AF1604" s="41"/>
      <c r="AG1604" s="41"/>
      <c r="AH1604" s="41"/>
      <c r="AI1604" s="41"/>
      <c r="AJ1604" s="41"/>
      <c r="AK1604" s="41"/>
      <c r="AL1604" s="41"/>
      <c r="AM1604" s="41"/>
      <c r="AN1604" s="41"/>
      <c r="AO1604" s="41"/>
      <c r="AP1604" s="41"/>
      <c r="AQ1604" s="41"/>
    </row>
    <row r="1605">
      <c r="A1605" s="41"/>
      <c r="B1605" s="41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  <c r="AA1605" s="41"/>
      <c r="AB1605" s="41"/>
      <c r="AC1605" s="41"/>
      <c r="AD1605" s="41"/>
      <c r="AE1605" s="41"/>
      <c r="AF1605" s="41"/>
      <c r="AG1605" s="41"/>
      <c r="AH1605" s="41"/>
      <c r="AI1605" s="41"/>
      <c r="AJ1605" s="41"/>
      <c r="AK1605" s="41"/>
      <c r="AL1605" s="41"/>
      <c r="AM1605" s="41"/>
      <c r="AN1605" s="41"/>
      <c r="AO1605" s="41"/>
      <c r="AP1605" s="41"/>
      <c r="AQ1605" s="41"/>
    </row>
    <row r="1606">
      <c r="A1606" s="41"/>
      <c r="B1606" s="41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1"/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  <c r="AA1606" s="41"/>
      <c r="AB1606" s="41"/>
      <c r="AC1606" s="41"/>
      <c r="AD1606" s="41"/>
      <c r="AE1606" s="41"/>
      <c r="AF1606" s="41"/>
      <c r="AG1606" s="41"/>
      <c r="AH1606" s="41"/>
      <c r="AI1606" s="41"/>
      <c r="AJ1606" s="41"/>
      <c r="AK1606" s="41"/>
      <c r="AL1606" s="41"/>
      <c r="AM1606" s="41"/>
      <c r="AN1606" s="41"/>
      <c r="AO1606" s="41"/>
      <c r="AP1606" s="41"/>
      <c r="AQ1606" s="41"/>
    </row>
    <row r="1607">
      <c r="A1607" s="41"/>
      <c r="B1607" s="41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  <c r="AA1607" s="41"/>
      <c r="AB1607" s="41"/>
      <c r="AC1607" s="41"/>
      <c r="AD1607" s="41"/>
      <c r="AE1607" s="41"/>
      <c r="AF1607" s="41"/>
      <c r="AG1607" s="41"/>
      <c r="AH1607" s="41"/>
      <c r="AI1607" s="41"/>
      <c r="AJ1607" s="41"/>
      <c r="AK1607" s="41"/>
      <c r="AL1607" s="41"/>
      <c r="AM1607" s="41"/>
      <c r="AN1607" s="41"/>
      <c r="AO1607" s="41"/>
      <c r="AP1607" s="41"/>
      <c r="AQ1607" s="41"/>
    </row>
    <row r="1608">
      <c r="A1608" s="41"/>
      <c r="B1608" s="41"/>
      <c r="C1608" s="41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41"/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  <c r="AA1608" s="41"/>
      <c r="AB1608" s="41"/>
      <c r="AC1608" s="41"/>
      <c r="AD1608" s="41"/>
      <c r="AE1608" s="41"/>
      <c r="AF1608" s="41"/>
      <c r="AG1608" s="41"/>
      <c r="AH1608" s="41"/>
      <c r="AI1608" s="41"/>
      <c r="AJ1608" s="41"/>
      <c r="AK1608" s="41"/>
      <c r="AL1608" s="41"/>
      <c r="AM1608" s="41"/>
      <c r="AN1608" s="41"/>
      <c r="AO1608" s="41"/>
      <c r="AP1608" s="41"/>
      <c r="AQ1608" s="41"/>
    </row>
    <row r="1609">
      <c r="A1609" s="41"/>
      <c r="B1609" s="41"/>
      <c r="C1609" s="41"/>
      <c r="D1609" s="41"/>
      <c r="E1609" s="41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41"/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  <c r="AA1609" s="41"/>
      <c r="AB1609" s="41"/>
      <c r="AC1609" s="41"/>
      <c r="AD1609" s="41"/>
      <c r="AE1609" s="41"/>
      <c r="AF1609" s="41"/>
      <c r="AG1609" s="41"/>
      <c r="AH1609" s="41"/>
      <c r="AI1609" s="41"/>
      <c r="AJ1609" s="41"/>
      <c r="AK1609" s="41"/>
      <c r="AL1609" s="41"/>
      <c r="AM1609" s="41"/>
      <c r="AN1609" s="41"/>
      <c r="AO1609" s="41"/>
      <c r="AP1609" s="41"/>
      <c r="AQ1609" s="41"/>
    </row>
    <row r="1610">
      <c r="A1610" s="41"/>
      <c r="B1610" s="41"/>
      <c r="C1610" s="41"/>
      <c r="D1610" s="41"/>
      <c r="E1610" s="41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41"/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  <c r="AA1610" s="41"/>
      <c r="AB1610" s="41"/>
      <c r="AC1610" s="41"/>
      <c r="AD1610" s="41"/>
      <c r="AE1610" s="41"/>
      <c r="AF1610" s="41"/>
      <c r="AG1610" s="41"/>
      <c r="AH1610" s="41"/>
      <c r="AI1610" s="41"/>
      <c r="AJ1610" s="41"/>
      <c r="AK1610" s="41"/>
      <c r="AL1610" s="41"/>
      <c r="AM1610" s="41"/>
      <c r="AN1610" s="41"/>
      <c r="AO1610" s="41"/>
      <c r="AP1610" s="41"/>
      <c r="AQ1610" s="41"/>
    </row>
    <row r="1611">
      <c r="A1611" s="41"/>
      <c r="B1611" s="41"/>
      <c r="C1611" s="41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41"/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  <c r="AA1611" s="41"/>
      <c r="AB1611" s="41"/>
      <c r="AC1611" s="41"/>
      <c r="AD1611" s="41"/>
      <c r="AE1611" s="41"/>
      <c r="AF1611" s="41"/>
      <c r="AG1611" s="41"/>
      <c r="AH1611" s="41"/>
      <c r="AI1611" s="41"/>
      <c r="AJ1611" s="41"/>
      <c r="AK1611" s="41"/>
      <c r="AL1611" s="41"/>
      <c r="AM1611" s="41"/>
      <c r="AN1611" s="41"/>
      <c r="AO1611" s="41"/>
      <c r="AP1611" s="41"/>
      <c r="AQ1611" s="41"/>
    </row>
    <row r="1612">
      <c r="A1612" s="41"/>
      <c r="B1612" s="41"/>
      <c r="C1612" s="41"/>
      <c r="D1612" s="41"/>
      <c r="E1612" s="41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  <c r="AA1612" s="41"/>
      <c r="AB1612" s="41"/>
      <c r="AC1612" s="41"/>
      <c r="AD1612" s="41"/>
      <c r="AE1612" s="41"/>
      <c r="AF1612" s="41"/>
      <c r="AG1612" s="41"/>
      <c r="AH1612" s="41"/>
      <c r="AI1612" s="41"/>
      <c r="AJ1612" s="41"/>
      <c r="AK1612" s="41"/>
      <c r="AL1612" s="41"/>
      <c r="AM1612" s="41"/>
      <c r="AN1612" s="41"/>
      <c r="AO1612" s="41"/>
      <c r="AP1612" s="41"/>
      <c r="AQ1612" s="41"/>
    </row>
    <row r="1613">
      <c r="A1613" s="41"/>
      <c r="B1613" s="41"/>
      <c r="C1613" s="41"/>
      <c r="D1613" s="41"/>
      <c r="E1613" s="41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  <c r="AA1613" s="41"/>
      <c r="AB1613" s="41"/>
      <c r="AC1613" s="41"/>
      <c r="AD1613" s="41"/>
      <c r="AE1613" s="41"/>
      <c r="AF1613" s="41"/>
      <c r="AG1613" s="41"/>
      <c r="AH1613" s="41"/>
      <c r="AI1613" s="41"/>
      <c r="AJ1613" s="41"/>
      <c r="AK1613" s="41"/>
      <c r="AL1613" s="41"/>
      <c r="AM1613" s="41"/>
      <c r="AN1613" s="41"/>
      <c r="AO1613" s="41"/>
      <c r="AP1613" s="41"/>
      <c r="AQ1613" s="41"/>
    </row>
    <row r="1614">
      <c r="A1614" s="41"/>
      <c r="B1614" s="41"/>
      <c r="C1614" s="41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  <c r="AA1614" s="41"/>
      <c r="AB1614" s="41"/>
      <c r="AC1614" s="41"/>
      <c r="AD1614" s="41"/>
      <c r="AE1614" s="41"/>
      <c r="AF1614" s="41"/>
      <c r="AG1614" s="41"/>
      <c r="AH1614" s="41"/>
      <c r="AI1614" s="41"/>
      <c r="AJ1614" s="41"/>
      <c r="AK1614" s="41"/>
      <c r="AL1614" s="41"/>
      <c r="AM1614" s="41"/>
      <c r="AN1614" s="41"/>
      <c r="AO1614" s="41"/>
      <c r="AP1614" s="41"/>
      <c r="AQ1614" s="41"/>
    </row>
    <row r="1615">
      <c r="A1615" s="41"/>
      <c r="B1615" s="41"/>
      <c r="C1615" s="41"/>
      <c r="D1615" s="41"/>
      <c r="E1615" s="41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  <c r="AA1615" s="41"/>
      <c r="AB1615" s="41"/>
      <c r="AC1615" s="41"/>
      <c r="AD1615" s="41"/>
      <c r="AE1615" s="41"/>
      <c r="AF1615" s="41"/>
      <c r="AG1615" s="41"/>
      <c r="AH1615" s="41"/>
      <c r="AI1615" s="41"/>
      <c r="AJ1615" s="41"/>
      <c r="AK1615" s="41"/>
      <c r="AL1615" s="41"/>
      <c r="AM1615" s="41"/>
      <c r="AN1615" s="41"/>
      <c r="AO1615" s="41"/>
      <c r="AP1615" s="41"/>
      <c r="AQ1615" s="41"/>
    </row>
    <row r="1616">
      <c r="A1616" s="41"/>
      <c r="B1616" s="41"/>
      <c r="C1616" s="41"/>
      <c r="D1616" s="41"/>
      <c r="E1616" s="41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  <c r="AA1616" s="41"/>
      <c r="AB1616" s="41"/>
      <c r="AC1616" s="41"/>
      <c r="AD1616" s="41"/>
      <c r="AE1616" s="41"/>
      <c r="AF1616" s="41"/>
      <c r="AG1616" s="41"/>
      <c r="AH1616" s="41"/>
      <c r="AI1616" s="41"/>
      <c r="AJ1616" s="41"/>
      <c r="AK1616" s="41"/>
      <c r="AL1616" s="41"/>
      <c r="AM1616" s="41"/>
      <c r="AN1616" s="41"/>
      <c r="AO1616" s="41"/>
      <c r="AP1616" s="41"/>
      <c r="AQ1616" s="41"/>
    </row>
    <row r="1617">
      <c r="A1617" s="41"/>
      <c r="B1617" s="41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1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  <c r="AM1617" s="41"/>
      <c r="AN1617" s="41"/>
      <c r="AO1617" s="41"/>
      <c r="AP1617" s="41"/>
      <c r="AQ1617" s="41"/>
    </row>
    <row r="1618">
      <c r="A1618" s="41"/>
      <c r="B1618" s="41"/>
      <c r="C1618" s="41"/>
      <c r="D1618" s="41"/>
      <c r="E1618" s="41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/>
      <c r="AN1618" s="41"/>
      <c r="AO1618" s="41"/>
      <c r="AP1618" s="41"/>
      <c r="AQ1618" s="41"/>
    </row>
    <row r="1619">
      <c r="A1619" s="41"/>
      <c r="B1619" s="41"/>
      <c r="C1619" s="41"/>
      <c r="D1619" s="41"/>
      <c r="E1619" s="41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  <c r="AA1619" s="41"/>
      <c r="AB1619" s="41"/>
      <c r="AC1619" s="41"/>
      <c r="AD1619" s="41"/>
      <c r="AE1619" s="41"/>
      <c r="AF1619" s="41"/>
      <c r="AG1619" s="41"/>
      <c r="AH1619" s="41"/>
      <c r="AI1619" s="41"/>
      <c r="AJ1619" s="41"/>
      <c r="AK1619" s="41"/>
      <c r="AL1619" s="41"/>
      <c r="AM1619" s="41"/>
      <c r="AN1619" s="41"/>
      <c r="AO1619" s="41"/>
      <c r="AP1619" s="41"/>
      <c r="AQ1619" s="41"/>
    </row>
    <row r="1620">
      <c r="A1620" s="41"/>
      <c r="B1620" s="41"/>
      <c r="C1620" s="41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  <c r="AA1620" s="41"/>
      <c r="AB1620" s="41"/>
      <c r="AC1620" s="41"/>
      <c r="AD1620" s="41"/>
      <c r="AE1620" s="41"/>
      <c r="AF1620" s="41"/>
      <c r="AG1620" s="41"/>
      <c r="AH1620" s="41"/>
      <c r="AI1620" s="41"/>
      <c r="AJ1620" s="41"/>
      <c r="AK1620" s="41"/>
      <c r="AL1620" s="41"/>
      <c r="AM1620" s="41"/>
      <c r="AN1620" s="41"/>
      <c r="AO1620" s="41"/>
      <c r="AP1620" s="41"/>
      <c r="AQ1620" s="41"/>
    </row>
    <row r="1621">
      <c r="A1621" s="41"/>
      <c r="B1621" s="41"/>
      <c r="C1621" s="41"/>
      <c r="D1621" s="41"/>
      <c r="E1621" s="41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41"/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  <c r="AA1621" s="41"/>
      <c r="AB1621" s="41"/>
      <c r="AC1621" s="41"/>
      <c r="AD1621" s="41"/>
      <c r="AE1621" s="41"/>
      <c r="AF1621" s="41"/>
      <c r="AG1621" s="41"/>
      <c r="AH1621" s="41"/>
      <c r="AI1621" s="41"/>
      <c r="AJ1621" s="41"/>
      <c r="AK1621" s="41"/>
      <c r="AL1621" s="41"/>
      <c r="AM1621" s="41"/>
      <c r="AN1621" s="41"/>
      <c r="AO1621" s="41"/>
      <c r="AP1621" s="41"/>
      <c r="AQ1621" s="41"/>
    </row>
    <row r="1622">
      <c r="A1622" s="41"/>
      <c r="B1622" s="41"/>
      <c r="C1622" s="41"/>
      <c r="D1622" s="41"/>
      <c r="E1622" s="41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41"/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  <c r="AA1622" s="41"/>
      <c r="AB1622" s="41"/>
      <c r="AC1622" s="41"/>
      <c r="AD1622" s="41"/>
      <c r="AE1622" s="41"/>
      <c r="AF1622" s="41"/>
      <c r="AG1622" s="41"/>
      <c r="AH1622" s="41"/>
      <c r="AI1622" s="41"/>
      <c r="AJ1622" s="41"/>
      <c r="AK1622" s="41"/>
      <c r="AL1622" s="41"/>
      <c r="AM1622" s="41"/>
      <c r="AN1622" s="41"/>
      <c r="AO1622" s="41"/>
      <c r="AP1622" s="41"/>
      <c r="AQ1622" s="41"/>
    </row>
    <row r="1623">
      <c r="A1623" s="41"/>
      <c r="B1623" s="41"/>
      <c r="C1623" s="41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  <c r="AA1623" s="41"/>
      <c r="AB1623" s="41"/>
      <c r="AC1623" s="41"/>
      <c r="AD1623" s="41"/>
      <c r="AE1623" s="41"/>
      <c r="AF1623" s="41"/>
      <c r="AG1623" s="41"/>
      <c r="AH1623" s="41"/>
      <c r="AI1623" s="41"/>
      <c r="AJ1623" s="41"/>
      <c r="AK1623" s="41"/>
      <c r="AL1623" s="41"/>
      <c r="AM1623" s="41"/>
      <c r="AN1623" s="41"/>
      <c r="AO1623" s="41"/>
      <c r="AP1623" s="41"/>
      <c r="AQ1623" s="41"/>
    </row>
    <row r="1624">
      <c r="A1624" s="41"/>
      <c r="B1624" s="41"/>
      <c r="C1624" s="41"/>
      <c r="D1624" s="41"/>
      <c r="E1624" s="41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41"/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  <c r="AA1624" s="41"/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/>
      <c r="AN1624" s="41"/>
      <c r="AO1624" s="41"/>
      <c r="AP1624" s="41"/>
      <c r="AQ1624" s="41"/>
    </row>
    <row r="1625">
      <c r="A1625" s="41"/>
      <c r="B1625" s="41"/>
      <c r="C1625" s="41"/>
      <c r="D1625" s="41"/>
      <c r="E1625" s="41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41"/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  <c r="AA1625" s="41"/>
      <c r="AB1625" s="41"/>
      <c r="AC1625" s="41"/>
      <c r="AD1625" s="41"/>
      <c r="AE1625" s="41"/>
      <c r="AF1625" s="41"/>
      <c r="AG1625" s="41"/>
      <c r="AH1625" s="41"/>
      <c r="AI1625" s="41"/>
      <c r="AJ1625" s="41"/>
      <c r="AK1625" s="41"/>
      <c r="AL1625" s="41"/>
      <c r="AM1625" s="41"/>
      <c r="AN1625" s="41"/>
      <c r="AO1625" s="41"/>
      <c r="AP1625" s="41"/>
      <c r="AQ1625" s="41"/>
    </row>
    <row r="1626">
      <c r="A1626" s="41"/>
      <c r="B1626" s="41"/>
      <c r="C1626" s="41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41"/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  <c r="AA1626" s="41"/>
      <c r="AB1626" s="41"/>
      <c r="AC1626" s="41"/>
      <c r="AD1626" s="41"/>
      <c r="AE1626" s="41"/>
      <c r="AF1626" s="41"/>
      <c r="AG1626" s="41"/>
      <c r="AH1626" s="41"/>
      <c r="AI1626" s="41"/>
      <c r="AJ1626" s="41"/>
      <c r="AK1626" s="41"/>
      <c r="AL1626" s="41"/>
      <c r="AM1626" s="41"/>
      <c r="AN1626" s="41"/>
      <c r="AO1626" s="41"/>
      <c r="AP1626" s="41"/>
      <c r="AQ1626" s="41"/>
    </row>
    <row r="1627">
      <c r="A1627" s="41"/>
      <c r="B1627" s="41"/>
      <c r="C1627" s="41"/>
      <c r="D1627" s="41"/>
      <c r="E1627" s="41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  <c r="AA1627" s="41"/>
      <c r="AB1627" s="41"/>
      <c r="AC1627" s="41"/>
      <c r="AD1627" s="41"/>
      <c r="AE1627" s="41"/>
      <c r="AF1627" s="41"/>
      <c r="AG1627" s="41"/>
      <c r="AH1627" s="41"/>
      <c r="AI1627" s="41"/>
      <c r="AJ1627" s="41"/>
      <c r="AK1627" s="41"/>
      <c r="AL1627" s="41"/>
      <c r="AM1627" s="41"/>
      <c r="AN1627" s="41"/>
      <c r="AO1627" s="41"/>
      <c r="AP1627" s="41"/>
      <c r="AQ1627" s="41"/>
    </row>
    <row r="1628">
      <c r="A1628" s="41"/>
      <c r="B1628" s="41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41"/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  <c r="AA1628" s="41"/>
      <c r="AB1628" s="41"/>
      <c r="AC1628" s="41"/>
      <c r="AD1628" s="41"/>
      <c r="AE1628" s="41"/>
      <c r="AF1628" s="41"/>
      <c r="AG1628" s="41"/>
      <c r="AH1628" s="41"/>
      <c r="AI1628" s="41"/>
      <c r="AJ1628" s="41"/>
      <c r="AK1628" s="41"/>
      <c r="AL1628" s="41"/>
      <c r="AM1628" s="41"/>
      <c r="AN1628" s="41"/>
      <c r="AO1628" s="41"/>
      <c r="AP1628" s="41"/>
      <c r="AQ1628" s="41"/>
    </row>
    <row r="1629">
      <c r="A1629" s="41"/>
      <c r="B1629" s="41"/>
      <c r="C1629" s="41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41"/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  <c r="AA1629" s="41"/>
      <c r="AB1629" s="41"/>
      <c r="AC1629" s="41"/>
      <c r="AD1629" s="41"/>
      <c r="AE1629" s="41"/>
      <c r="AF1629" s="41"/>
      <c r="AG1629" s="41"/>
      <c r="AH1629" s="41"/>
      <c r="AI1629" s="41"/>
      <c r="AJ1629" s="41"/>
      <c r="AK1629" s="41"/>
      <c r="AL1629" s="41"/>
      <c r="AM1629" s="41"/>
      <c r="AN1629" s="41"/>
      <c r="AO1629" s="41"/>
      <c r="AP1629" s="41"/>
      <c r="AQ1629" s="41"/>
    </row>
    <row r="1630">
      <c r="A1630" s="41"/>
      <c r="B1630" s="41"/>
      <c r="C1630" s="41"/>
      <c r="D1630" s="41"/>
      <c r="E1630" s="41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41"/>
      <c r="Q1630" s="41"/>
      <c r="R1630" s="41"/>
      <c r="S1630" s="41"/>
      <c r="T1630" s="41"/>
      <c r="U1630" s="41"/>
      <c r="V1630" s="41"/>
      <c r="W1630" s="41"/>
      <c r="X1630" s="41"/>
      <c r="Y1630" s="41"/>
      <c r="Z1630" s="41"/>
      <c r="AA1630" s="41"/>
      <c r="AB1630" s="41"/>
      <c r="AC1630" s="41"/>
      <c r="AD1630" s="41"/>
      <c r="AE1630" s="41"/>
      <c r="AF1630" s="41"/>
      <c r="AG1630" s="41"/>
      <c r="AH1630" s="41"/>
      <c r="AI1630" s="41"/>
      <c r="AJ1630" s="41"/>
      <c r="AK1630" s="41"/>
      <c r="AL1630" s="41"/>
      <c r="AM1630" s="41"/>
      <c r="AN1630" s="41"/>
      <c r="AO1630" s="41"/>
      <c r="AP1630" s="41"/>
      <c r="AQ1630" s="41"/>
    </row>
    <row r="1631">
      <c r="A1631" s="41"/>
      <c r="B1631" s="41"/>
      <c r="C1631" s="41"/>
      <c r="D1631" s="41"/>
      <c r="E1631" s="41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41"/>
      <c r="Q1631" s="41"/>
      <c r="R1631" s="41"/>
      <c r="S1631" s="41"/>
      <c r="T1631" s="41"/>
      <c r="U1631" s="41"/>
      <c r="V1631" s="41"/>
      <c r="W1631" s="41"/>
      <c r="X1631" s="41"/>
      <c r="Y1631" s="41"/>
      <c r="Z1631" s="41"/>
      <c r="AA1631" s="41"/>
      <c r="AB1631" s="41"/>
      <c r="AC1631" s="41"/>
      <c r="AD1631" s="41"/>
      <c r="AE1631" s="41"/>
      <c r="AF1631" s="41"/>
      <c r="AG1631" s="41"/>
      <c r="AH1631" s="41"/>
      <c r="AI1631" s="41"/>
      <c r="AJ1631" s="41"/>
      <c r="AK1631" s="41"/>
      <c r="AL1631" s="41"/>
      <c r="AM1631" s="41"/>
      <c r="AN1631" s="41"/>
      <c r="AO1631" s="41"/>
      <c r="AP1631" s="41"/>
      <c r="AQ1631" s="41"/>
    </row>
    <row r="1632">
      <c r="A1632" s="41"/>
      <c r="B1632" s="41"/>
      <c r="C1632" s="41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  <c r="AA1632" s="41"/>
      <c r="AB1632" s="41"/>
      <c r="AC1632" s="41"/>
      <c r="AD1632" s="41"/>
      <c r="AE1632" s="41"/>
      <c r="AF1632" s="41"/>
      <c r="AG1632" s="41"/>
      <c r="AH1632" s="41"/>
      <c r="AI1632" s="41"/>
      <c r="AJ1632" s="41"/>
      <c r="AK1632" s="41"/>
      <c r="AL1632" s="41"/>
      <c r="AM1632" s="41"/>
      <c r="AN1632" s="41"/>
      <c r="AO1632" s="41"/>
      <c r="AP1632" s="41"/>
      <c r="AQ1632" s="41"/>
    </row>
    <row r="1633">
      <c r="A1633" s="41"/>
      <c r="B1633" s="41"/>
      <c r="C1633" s="41"/>
      <c r="D1633" s="41"/>
      <c r="E1633" s="41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  <c r="AB1633" s="41"/>
      <c r="AC1633" s="41"/>
      <c r="AD1633" s="41"/>
      <c r="AE1633" s="41"/>
      <c r="AF1633" s="41"/>
      <c r="AG1633" s="41"/>
      <c r="AH1633" s="41"/>
      <c r="AI1633" s="41"/>
      <c r="AJ1633" s="41"/>
      <c r="AK1633" s="41"/>
      <c r="AL1633" s="41"/>
      <c r="AM1633" s="41"/>
      <c r="AN1633" s="41"/>
      <c r="AO1633" s="41"/>
      <c r="AP1633" s="41"/>
      <c r="AQ1633" s="41"/>
    </row>
    <row r="1634">
      <c r="A1634" s="41"/>
      <c r="B1634" s="41"/>
      <c r="C1634" s="41"/>
      <c r="D1634" s="41"/>
      <c r="E1634" s="41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  <c r="AB1634" s="41"/>
      <c r="AC1634" s="41"/>
      <c r="AD1634" s="41"/>
      <c r="AE1634" s="41"/>
      <c r="AF1634" s="41"/>
      <c r="AG1634" s="41"/>
      <c r="AH1634" s="41"/>
      <c r="AI1634" s="41"/>
      <c r="AJ1634" s="41"/>
      <c r="AK1634" s="41"/>
      <c r="AL1634" s="41"/>
      <c r="AM1634" s="41"/>
      <c r="AN1634" s="41"/>
      <c r="AO1634" s="41"/>
      <c r="AP1634" s="41"/>
      <c r="AQ1634" s="41"/>
    </row>
    <row r="1635">
      <c r="A1635" s="41"/>
      <c r="B1635" s="41"/>
      <c r="C1635" s="41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  <c r="AB1635" s="41"/>
      <c r="AC1635" s="41"/>
      <c r="AD1635" s="41"/>
      <c r="AE1635" s="41"/>
      <c r="AF1635" s="41"/>
      <c r="AG1635" s="41"/>
      <c r="AH1635" s="41"/>
      <c r="AI1635" s="41"/>
      <c r="AJ1635" s="41"/>
      <c r="AK1635" s="41"/>
      <c r="AL1635" s="41"/>
      <c r="AM1635" s="41"/>
      <c r="AN1635" s="41"/>
      <c r="AO1635" s="41"/>
      <c r="AP1635" s="41"/>
      <c r="AQ1635" s="41"/>
    </row>
    <row r="1636">
      <c r="A1636" s="41"/>
      <c r="B1636" s="41"/>
      <c r="C1636" s="41"/>
      <c r="D1636" s="41"/>
      <c r="E1636" s="41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  <c r="AB1636" s="41"/>
      <c r="AC1636" s="41"/>
      <c r="AD1636" s="41"/>
      <c r="AE1636" s="41"/>
      <c r="AF1636" s="41"/>
      <c r="AG1636" s="41"/>
      <c r="AH1636" s="41"/>
      <c r="AI1636" s="41"/>
      <c r="AJ1636" s="41"/>
      <c r="AK1636" s="41"/>
      <c r="AL1636" s="41"/>
      <c r="AM1636" s="41"/>
      <c r="AN1636" s="41"/>
      <c r="AO1636" s="41"/>
      <c r="AP1636" s="41"/>
      <c r="AQ1636" s="41"/>
    </row>
    <row r="1637">
      <c r="A1637" s="41"/>
      <c r="B1637" s="41"/>
      <c r="C1637" s="41"/>
      <c r="D1637" s="41"/>
      <c r="E1637" s="41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41"/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  <c r="AA1637" s="41"/>
      <c r="AB1637" s="41"/>
      <c r="AC1637" s="41"/>
      <c r="AD1637" s="41"/>
      <c r="AE1637" s="41"/>
      <c r="AF1637" s="41"/>
      <c r="AG1637" s="41"/>
      <c r="AH1637" s="41"/>
      <c r="AI1637" s="41"/>
      <c r="AJ1637" s="41"/>
      <c r="AK1637" s="41"/>
      <c r="AL1637" s="41"/>
      <c r="AM1637" s="41"/>
      <c r="AN1637" s="41"/>
      <c r="AO1637" s="41"/>
      <c r="AP1637" s="41"/>
      <c r="AQ1637" s="41"/>
    </row>
    <row r="1638">
      <c r="A1638" s="41"/>
      <c r="B1638" s="41"/>
      <c r="C1638" s="41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  <c r="AA1638" s="41"/>
      <c r="AB1638" s="41"/>
      <c r="AC1638" s="41"/>
      <c r="AD1638" s="41"/>
      <c r="AE1638" s="41"/>
      <c r="AF1638" s="41"/>
      <c r="AG1638" s="41"/>
      <c r="AH1638" s="41"/>
      <c r="AI1638" s="41"/>
      <c r="AJ1638" s="41"/>
      <c r="AK1638" s="41"/>
      <c r="AL1638" s="41"/>
      <c r="AM1638" s="41"/>
      <c r="AN1638" s="41"/>
      <c r="AO1638" s="41"/>
      <c r="AP1638" s="41"/>
      <c r="AQ1638" s="41"/>
    </row>
    <row r="1639">
      <c r="A1639" s="41"/>
      <c r="B1639" s="41"/>
      <c r="C1639" s="41"/>
      <c r="D1639" s="41"/>
      <c r="E1639" s="41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41"/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  <c r="AA1639" s="41"/>
      <c r="AB1639" s="41"/>
      <c r="AC1639" s="41"/>
      <c r="AD1639" s="41"/>
      <c r="AE1639" s="41"/>
      <c r="AF1639" s="41"/>
      <c r="AG1639" s="41"/>
      <c r="AH1639" s="41"/>
      <c r="AI1639" s="41"/>
      <c r="AJ1639" s="41"/>
      <c r="AK1639" s="41"/>
      <c r="AL1639" s="41"/>
      <c r="AM1639" s="41"/>
      <c r="AN1639" s="41"/>
      <c r="AO1639" s="41"/>
      <c r="AP1639" s="41"/>
      <c r="AQ1639" s="41"/>
    </row>
    <row r="1640">
      <c r="A1640" s="41"/>
      <c r="B1640" s="41"/>
      <c r="C1640" s="41"/>
      <c r="D1640" s="41"/>
      <c r="E1640" s="41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41"/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  <c r="AA1640" s="41"/>
      <c r="AB1640" s="41"/>
      <c r="AC1640" s="41"/>
      <c r="AD1640" s="41"/>
      <c r="AE1640" s="41"/>
      <c r="AF1640" s="41"/>
      <c r="AG1640" s="41"/>
      <c r="AH1640" s="41"/>
      <c r="AI1640" s="41"/>
      <c r="AJ1640" s="41"/>
      <c r="AK1640" s="41"/>
      <c r="AL1640" s="41"/>
      <c r="AM1640" s="41"/>
      <c r="AN1640" s="41"/>
      <c r="AO1640" s="41"/>
      <c r="AP1640" s="41"/>
      <c r="AQ1640" s="41"/>
    </row>
    <row r="1641">
      <c r="A1641" s="41"/>
      <c r="B1641" s="41"/>
      <c r="C1641" s="41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  <c r="AA1641" s="41"/>
      <c r="AB1641" s="41"/>
      <c r="AC1641" s="41"/>
      <c r="AD1641" s="41"/>
      <c r="AE1641" s="41"/>
      <c r="AF1641" s="41"/>
      <c r="AG1641" s="41"/>
      <c r="AH1641" s="41"/>
      <c r="AI1641" s="41"/>
      <c r="AJ1641" s="41"/>
      <c r="AK1641" s="41"/>
      <c r="AL1641" s="41"/>
      <c r="AM1641" s="41"/>
      <c r="AN1641" s="41"/>
      <c r="AO1641" s="41"/>
      <c r="AP1641" s="41"/>
      <c r="AQ1641" s="41"/>
    </row>
    <row r="1642">
      <c r="A1642" s="41"/>
      <c r="B1642" s="41"/>
      <c r="C1642" s="41"/>
      <c r="D1642" s="41"/>
      <c r="E1642" s="41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41"/>
      <c r="Q1642" s="41"/>
      <c r="R1642" s="41"/>
      <c r="S1642" s="41"/>
      <c r="T1642" s="41"/>
      <c r="U1642" s="41"/>
      <c r="V1642" s="41"/>
      <c r="W1642" s="41"/>
      <c r="X1642" s="41"/>
      <c r="Y1642" s="41"/>
      <c r="Z1642" s="41"/>
      <c r="AA1642" s="41"/>
      <c r="AB1642" s="41"/>
      <c r="AC1642" s="41"/>
      <c r="AD1642" s="41"/>
      <c r="AE1642" s="41"/>
      <c r="AF1642" s="41"/>
      <c r="AG1642" s="41"/>
      <c r="AH1642" s="41"/>
      <c r="AI1642" s="41"/>
      <c r="AJ1642" s="41"/>
      <c r="AK1642" s="41"/>
      <c r="AL1642" s="41"/>
      <c r="AM1642" s="41"/>
      <c r="AN1642" s="41"/>
      <c r="AO1642" s="41"/>
      <c r="AP1642" s="41"/>
      <c r="AQ1642" s="41"/>
    </row>
    <row r="1643">
      <c r="A1643" s="41"/>
      <c r="B1643" s="41"/>
      <c r="C1643" s="41"/>
      <c r="D1643" s="41"/>
      <c r="E1643" s="41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41"/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  <c r="AA1643" s="41"/>
      <c r="AB1643" s="41"/>
      <c r="AC1643" s="41"/>
      <c r="AD1643" s="41"/>
      <c r="AE1643" s="41"/>
      <c r="AF1643" s="41"/>
      <c r="AG1643" s="41"/>
      <c r="AH1643" s="41"/>
      <c r="AI1643" s="41"/>
      <c r="AJ1643" s="41"/>
      <c r="AK1643" s="41"/>
      <c r="AL1643" s="41"/>
      <c r="AM1643" s="41"/>
      <c r="AN1643" s="41"/>
      <c r="AO1643" s="41"/>
      <c r="AP1643" s="41"/>
      <c r="AQ1643" s="41"/>
    </row>
    <row r="1644">
      <c r="A1644" s="41"/>
      <c r="B1644" s="41"/>
      <c r="C1644" s="41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41"/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  <c r="AA1644" s="41"/>
      <c r="AB1644" s="41"/>
      <c r="AC1644" s="41"/>
      <c r="AD1644" s="41"/>
      <c r="AE1644" s="41"/>
      <c r="AF1644" s="41"/>
      <c r="AG1644" s="41"/>
      <c r="AH1644" s="41"/>
      <c r="AI1644" s="41"/>
      <c r="AJ1644" s="41"/>
      <c r="AK1644" s="41"/>
      <c r="AL1644" s="41"/>
      <c r="AM1644" s="41"/>
      <c r="AN1644" s="41"/>
      <c r="AO1644" s="41"/>
      <c r="AP1644" s="41"/>
      <c r="AQ1644" s="41"/>
    </row>
    <row r="1645">
      <c r="A1645" s="41"/>
      <c r="B1645" s="41"/>
      <c r="C1645" s="41"/>
      <c r="D1645" s="41"/>
      <c r="E1645" s="41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41"/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  <c r="AA1645" s="41"/>
      <c r="AB1645" s="41"/>
      <c r="AC1645" s="41"/>
      <c r="AD1645" s="41"/>
      <c r="AE1645" s="41"/>
      <c r="AF1645" s="41"/>
      <c r="AG1645" s="41"/>
      <c r="AH1645" s="41"/>
      <c r="AI1645" s="41"/>
      <c r="AJ1645" s="41"/>
      <c r="AK1645" s="41"/>
      <c r="AL1645" s="41"/>
      <c r="AM1645" s="41"/>
      <c r="AN1645" s="41"/>
      <c r="AO1645" s="41"/>
      <c r="AP1645" s="41"/>
      <c r="AQ1645" s="41"/>
    </row>
    <row r="1646">
      <c r="A1646" s="41"/>
      <c r="B1646" s="41"/>
      <c r="C1646" s="41"/>
      <c r="D1646" s="41"/>
      <c r="E1646" s="41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  <c r="AA1646" s="41"/>
      <c r="AB1646" s="41"/>
      <c r="AC1646" s="41"/>
      <c r="AD1646" s="41"/>
      <c r="AE1646" s="41"/>
      <c r="AF1646" s="41"/>
      <c r="AG1646" s="41"/>
      <c r="AH1646" s="41"/>
      <c r="AI1646" s="41"/>
      <c r="AJ1646" s="41"/>
      <c r="AK1646" s="41"/>
      <c r="AL1646" s="41"/>
      <c r="AM1646" s="41"/>
      <c r="AN1646" s="41"/>
      <c r="AO1646" s="41"/>
      <c r="AP1646" s="41"/>
      <c r="AQ1646" s="41"/>
    </row>
    <row r="1647">
      <c r="A1647" s="41"/>
      <c r="B1647" s="41"/>
      <c r="C1647" s="41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41"/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  <c r="AA1647" s="41"/>
      <c r="AB1647" s="41"/>
      <c r="AC1647" s="41"/>
      <c r="AD1647" s="41"/>
      <c r="AE1647" s="41"/>
      <c r="AF1647" s="41"/>
      <c r="AG1647" s="41"/>
      <c r="AH1647" s="41"/>
      <c r="AI1647" s="41"/>
      <c r="AJ1647" s="41"/>
      <c r="AK1647" s="41"/>
      <c r="AL1647" s="41"/>
      <c r="AM1647" s="41"/>
      <c r="AN1647" s="41"/>
      <c r="AO1647" s="41"/>
      <c r="AP1647" s="41"/>
      <c r="AQ1647" s="41"/>
    </row>
    <row r="1648">
      <c r="A1648" s="41"/>
      <c r="B1648" s="41"/>
      <c r="C1648" s="41"/>
      <c r="D1648" s="41"/>
      <c r="E1648" s="41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41"/>
      <c r="Q1648" s="41"/>
      <c r="R1648" s="41"/>
      <c r="S1648" s="41"/>
      <c r="T1648" s="41"/>
      <c r="U1648" s="41"/>
      <c r="V1648" s="41"/>
      <c r="W1648" s="41"/>
      <c r="X1648" s="41"/>
      <c r="Y1648" s="41"/>
      <c r="Z1648" s="41"/>
      <c r="AA1648" s="41"/>
      <c r="AB1648" s="41"/>
      <c r="AC1648" s="41"/>
      <c r="AD1648" s="41"/>
      <c r="AE1648" s="41"/>
      <c r="AF1648" s="41"/>
      <c r="AG1648" s="41"/>
      <c r="AH1648" s="41"/>
      <c r="AI1648" s="41"/>
      <c r="AJ1648" s="41"/>
      <c r="AK1648" s="41"/>
      <c r="AL1648" s="41"/>
      <c r="AM1648" s="41"/>
      <c r="AN1648" s="41"/>
      <c r="AO1648" s="41"/>
      <c r="AP1648" s="41"/>
      <c r="AQ1648" s="41"/>
    </row>
    <row r="1649">
      <c r="A1649" s="41"/>
      <c r="B1649" s="41"/>
      <c r="C1649" s="41"/>
      <c r="D1649" s="41"/>
      <c r="E1649" s="41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41"/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  <c r="AA1649" s="41"/>
      <c r="AB1649" s="41"/>
      <c r="AC1649" s="41"/>
      <c r="AD1649" s="41"/>
      <c r="AE1649" s="41"/>
      <c r="AF1649" s="41"/>
      <c r="AG1649" s="41"/>
      <c r="AH1649" s="41"/>
      <c r="AI1649" s="41"/>
      <c r="AJ1649" s="41"/>
      <c r="AK1649" s="41"/>
      <c r="AL1649" s="41"/>
      <c r="AM1649" s="41"/>
      <c r="AN1649" s="41"/>
      <c r="AO1649" s="41"/>
      <c r="AP1649" s="41"/>
      <c r="AQ1649" s="41"/>
    </row>
    <row r="1650">
      <c r="A1650" s="41"/>
      <c r="B1650" s="41"/>
      <c r="C1650" s="41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41"/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  <c r="AA1650" s="41"/>
      <c r="AB1650" s="41"/>
      <c r="AC1650" s="41"/>
      <c r="AD1650" s="41"/>
      <c r="AE1650" s="41"/>
      <c r="AF1650" s="41"/>
      <c r="AG1650" s="41"/>
      <c r="AH1650" s="41"/>
      <c r="AI1650" s="41"/>
      <c r="AJ1650" s="41"/>
      <c r="AK1650" s="41"/>
      <c r="AL1650" s="41"/>
      <c r="AM1650" s="41"/>
      <c r="AN1650" s="41"/>
      <c r="AO1650" s="41"/>
      <c r="AP1650" s="41"/>
      <c r="AQ1650" s="41"/>
    </row>
    <row r="1651">
      <c r="A1651" s="41"/>
      <c r="B1651" s="41"/>
      <c r="C1651" s="41"/>
      <c r="D1651" s="41"/>
      <c r="E1651" s="41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41"/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  <c r="AA1651" s="41"/>
      <c r="AB1651" s="41"/>
      <c r="AC1651" s="41"/>
      <c r="AD1651" s="41"/>
      <c r="AE1651" s="41"/>
      <c r="AF1651" s="41"/>
      <c r="AG1651" s="41"/>
      <c r="AH1651" s="41"/>
      <c r="AI1651" s="41"/>
      <c r="AJ1651" s="41"/>
      <c r="AK1651" s="41"/>
      <c r="AL1651" s="41"/>
      <c r="AM1651" s="41"/>
      <c r="AN1651" s="41"/>
      <c r="AO1651" s="41"/>
      <c r="AP1651" s="41"/>
      <c r="AQ1651" s="41"/>
    </row>
    <row r="1652">
      <c r="A1652" s="41"/>
      <c r="B1652" s="41"/>
      <c r="C1652" s="41"/>
      <c r="D1652" s="41"/>
      <c r="E1652" s="41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41"/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  <c r="AA1652" s="41"/>
      <c r="AB1652" s="41"/>
      <c r="AC1652" s="41"/>
      <c r="AD1652" s="41"/>
      <c r="AE1652" s="41"/>
      <c r="AF1652" s="41"/>
      <c r="AG1652" s="41"/>
      <c r="AH1652" s="41"/>
      <c r="AI1652" s="41"/>
      <c r="AJ1652" s="41"/>
      <c r="AK1652" s="41"/>
      <c r="AL1652" s="41"/>
      <c r="AM1652" s="41"/>
      <c r="AN1652" s="41"/>
      <c r="AO1652" s="41"/>
      <c r="AP1652" s="41"/>
      <c r="AQ1652" s="41"/>
    </row>
    <row r="1653">
      <c r="A1653" s="41"/>
      <c r="B1653" s="41"/>
      <c r="C1653" s="41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  <c r="AA1653" s="41"/>
      <c r="AB1653" s="41"/>
      <c r="AC1653" s="41"/>
      <c r="AD1653" s="41"/>
      <c r="AE1653" s="41"/>
      <c r="AF1653" s="41"/>
      <c r="AG1653" s="41"/>
      <c r="AH1653" s="41"/>
      <c r="AI1653" s="41"/>
      <c r="AJ1653" s="41"/>
      <c r="AK1653" s="41"/>
      <c r="AL1653" s="41"/>
      <c r="AM1653" s="41"/>
      <c r="AN1653" s="41"/>
      <c r="AO1653" s="41"/>
      <c r="AP1653" s="41"/>
      <c r="AQ1653" s="41"/>
    </row>
    <row r="1654">
      <c r="A1654" s="41"/>
      <c r="B1654" s="41"/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  <c r="AB1654" s="41"/>
      <c r="AC1654" s="41"/>
      <c r="AD1654" s="41"/>
      <c r="AE1654" s="41"/>
      <c r="AF1654" s="41"/>
      <c r="AG1654" s="41"/>
      <c r="AH1654" s="41"/>
      <c r="AI1654" s="41"/>
      <c r="AJ1654" s="41"/>
      <c r="AK1654" s="41"/>
      <c r="AL1654" s="41"/>
      <c r="AM1654" s="41"/>
      <c r="AN1654" s="41"/>
      <c r="AO1654" s="41"/>
      <c r="AP1654" s="41"/>
      <c r="AQ1654" s="41"/>
    </row>
    <row r="1655">
      <c r="A1655" s="41"/>
      <c r="B1655" s="41"/>
      <c r="C1655" s="41"/>
      <c r="D1655" s="41"/>
      <c r="E1655" s="41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41"/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  <c r="AA1655" s="41"/>
      <c r="AB1655" s="41"/>
      <c r="AC1655" s="41"/>
      <c r="AD1655" s="41"/>
      <c r="AE1655" s="41"/>
      <c r="AF1655" s="41"/>
      <c r="AG1655" s="41"/>
      <c r="AH1655" s="41"/>
      <c r="AI1655" s="41"/>
      <c r="AJ1655" s="41"/>
      <c r="AK1655" s="41"/>
      <c r="AL1655" s="41"/>
      <c r="AM1655" s="41"/>
      <c r="AN1655" s="41"/>
      <c r="AO1655" s="41"/>
      <c r="AP1655" s="41"/>
      <c r="AQ1655" s="41"/>
    </row>
    <row r="1656">
      <c r="A1656" s="41"/>
      <c r="B1656" s="41"/>
      <c r="C1656" s="41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41"/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  <c r="AA1656" s="41"/>
      <c r="AB1656" s="41"/>
      <c r="AC1656" s="41"/>
      <c r="AD1656" s="41"/>
      <c r="AE1656" s="41"/>
      <c r="AF1656" s="41"/>
      <c r="AG1656" s="41"/>
      <c r="AH1656" s="41"/>
      <c r="AI1656" s="41"/>
      <c r="AJ1656" s="41"/>
      <c r="AK1656" s="41"/>
      <c r="AL1656" s="41"/>
      <c r="AM1656" s="41"/>
      <c r="AN1656" s="41"/>
      <c r="AO1656" s="41"/>
      <c r="AP1656" s="41"/>
      <c r="AQ1656" s="41"/>
    </row>
    <row r="1657">
      <c r="A1657" s="41"/>
      <c r="B1657" s="41"/>
      <c r="C1657" s="41"/>
      <c r="D1657" s="41"/>
      <c r="E1657" s="41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41"/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  <c r="AA1657" s="41"/>
      <c r="AB1657" s="41"/>
      <c r="AC1657" s="41"/>
      <c r="AD1657" s="41"/>
      <c r="AE1657" s="41"/>
      <c r="AF1657" s="41"/>
      <c r="AG1657" s="41"/>
      <c r="AH1657" s="41"/>
      <c r="AI1657" s="41"/>
      <c r="AJ1657" s="41"/>
      <c r="AK1657" s="41"/>
      <c r="AL1657" s="41"/>
      <c r="AM1657" s="41"/>
      <c r="AN1657" s="41"/>
      <c r="AO1657" s="41"/>
      <c r="AP1657" s="41"/>
      <c r="AQ1657" s="41"/>
    </row>
    <row r="1658">
      <c r="A1658" s="41"/>
      <c r="B1658" s="41"/>
      <c r="C1658" s="41"/>
      <c r="D1658" s="41"/>
      <c r="E1658" s="41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41"/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  <c r="AA1658" s="41"/>
      <c r="AB1658" s="41"/>
      <c r="AC1658" s="41"/>
      <c r="AD1658" s="41"/>
      <c r="AE1658" s="41"/>
      <c r="AF1658" s="41"/>
      <c r="AG1658" s="41"/>
      <c r="AH1658" s="41"/>
      <c r="AI1658" s="41"/>
      <c r="AJ1658" s="41"/>
      <c r="AK1658" s="41"/>
      <c r="AL1658" s="41"/>
      <c r="AM1658" s="41"/>
      <c r="AN1658" s="41"/>
      <c r="AO1658" s="41"/>
      <c r="AP1658" s="41"/>
      <c r="AQ1658" s="41"/>
    </row>
    <row r="1659">
      <c r="A1659" s="41"/>
      <c r="B1659" s="41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  <c r="AA1659" s="41"/>
      <c r="AB1659" s="41"/>
      <c r="AC1659" s="41"/>
      <c r="AD1659" s="41"/>
      <c r="AE1659" s="41"/>
      <c r="AF1659" s="41"/>
      <c r="AG1659" s="41"/>
      <c r="AH1659" s="41"/>
      <c r="AI1659" s="41"/>
      <c r="AJ1659" s="41"/>
      <c r="AK1659" s="41"/>
      <c r="AL1659" s="41"/>
      <c r="AM1659" s="41"/>
      <c r="AN1659" s="41"/>
      <c r="AO1659" s="41"/>
      <c r="AP1659" s="41"/>
      <c r="AQ1659" s="41"/>
    </row>
    <row r="1660">
      <c r="A1660" s="41"/>
      <c r="B1660" s="41"/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41"/>
      <c r="Q1660" s="41"/>
      <c r="R1660" s="41"/>
      <c r="S1660" s="41"/>
      <c r="T1660" s="41"/>
      <c r="U1660" s="41"/>
      <c r="V1660" s="41"/>
      <c r="W1660" s="41"/>
      <c r="X1660" s="41"/>
      <c r="Y1660" s="41"/>
      <c r="Z1660" s="41"/>
      <c r="AA1660" s="41"/>
      <c r="AB1660" s="41"/>
      <c r="AC1660" s="41"/>
      <c r="AD1660" s="41"/>
      <c r="AE1660" s="41"/>
      <c r="AF1660" s="41"/>
      <c r="AG1660" s="41"/>
      <c r="AH1660" s="41"/>
      <c r="AI1660" s="41"/>
      <c r="AJ1660" s="41"/>
      <c r="AK1660" s="41"/>
      <c r="AL1660" s="41"/>
      <c r="AM1660" s="41"/>
      <c r="AN1660" s="41"/>
      <c r="AO1660" s="41"/>
      <c r="AP1660" s="41"/>
      <c r="AQ1660" s="41"/>
    </row>
    <row r="1661">
      <c r="A1661" s="41"/>
      <c r="B1661" s="41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  <c r="AB1661" s="41"/>
      <c r="AC1661" s="41"/>
      <c r="AD1661" s="41"/>
      <c r="AE1661" s="41"/>
      <c r="AF1661" s="41"/>
      <c r="AG1661" s="41"/>
      <c r="AH1661" s="41"/>
      <c r="AI1661" s="41"/>
      <c r="AJ1661" s="41"/>
      <c r="AK1661" s="41"/>
      <c r="AL1661" s="41"/>
      <c r="AM1661" s="41"/>
      <c r="AN1661" s="41"/>
      <c r="AO1661" s="41"/>
      <c r="AP1661" s="41"/>
      <c r="AQ1661" s="41"/>
    </row>
    <row r="1662">
      <c r="A1662" s="41"/>
      <c r="B1662" s="41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1"/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  <c r="AA1662" s="41"/>
      <c r="AB1662" s="41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  <c r="AM1662" s="41"/>
      <c r="AN1662" s="41"/>
      <c r="AO1662" s="41"/>
      <c r="AP1662" s="41"/>
      <c r="AQ1662" s="41"/>
    </row>
    <row r="1663">
      <c r="A1663" s="41"/>
      <c r="B1663" s="41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  <c r="AB1663" s="41"/>
      <c r="AC1663" s="41"/>
      <c r="AD1663" s="41"/>
      <c r="AE1663" s="41"/>
      <c r="AF1663" s="41"/>
      <c r="AG1663" s="41"/>
      <c r="AH1663" s="41"/>
      <c r="AI1663" s="41"/>
      <c r="AJ1663" s="41"/>
      <c r="AK1663" s="41"/>
      <c r="AL1663" s="41"/>
      <c r="AM1663" s="41"/>
      <c r="AN1663" s="41"/>
      <c r="AO1663" s="41"/>
      <c r="AP1663" s="41"/>
      <c r="AQ1663" s="41"/>
    </row>
    <row r="1664">
      <c r="A1664" s="41"/>
      <c r="B1664" s="41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  <c r="AA1664" s="41"/>
      <c r="AB1664" s="41"/>
      <c r="AC1664" s="41"/>
      <c r="AD1664" s="41"/>
      <c r="AE1664" s="41"/>
      <c r="AF1664" s="41"/>
      <c r="AG1664" s="41"/>
      <c r="AH1664" s="41"/>
      <c r="AI1664" s="41"/>
      <c r="AJ1664" s="41"/>
      <c r="AK1664" s="41"/>
      <c r="AL1664" s="41"/>
      <c r="AM1664" s="41"/>
      <c r="AN1664" s="41"/>
      <c r="AO1664" s="41"/>
      <c r="AP1664" s="41"/>
      <c r="AQ1664" s="41"/>
    </row>
    <row r="1665">
      <c r="A1665" s="41"/>
      <c r="B1665" s="41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1"/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  <c r="AA1665" s="41"/>
      <c r="AB1665" s="41"/>
      <c r="AC1665" s="41"/>
      <c r="AD1665" s="41"/>
      <c r="AE1665" s="41"/>
      <c r="AF1665" s="41"/>
      <c r="AG1665" s="41"/>
      <c r="AH1665" s="41"/>
      <c r="AI1665" s="41"/>
      <c r="AJ1665" s="41"/>
      <c r="AK1665" s="41"/>
      <c r="AL1665" s="41"/>
      <c r="AM1665" s="41"/>
      <c r="AN1665" s="41"/>
      <c r="AO1665" s="41"/>
      <c r="AP1665" s="41"/>
      <c r="AQ1665" s="41"/>
    </row>
    <row r="1666">
      <c r="A1666" s="41"/>
      <c r="B1666" s="41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1"/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  <c r="AA1666" s="41"/>
      <c r="AB1666" s="41"/>
      <c r="AC1666" s="41"/>
      <c r="AD1666" s="41"/>
      <c r="AE1666" s="41"/>
      <c r="AF1666" s="41"/>
      <c r="AG1666" s="41"/>
      <c r="AH1666" s="41"/>
      <c r="AI1666" s="41"/>
      <c r="AJ1666" s="41"/>
      <c r="AK1666" s="41"/>
      <c r="AL1666" s="41"/>
      <c r="AM1666" s="41"/>
      <c r="AN1666" s="41"/>
      <c r="AO1666" s="41"/>
      <c r="AP1666" s="41"/>
      <c r="AQ1666" s="41"/>
    </row>
    <row r="1667">
      <c r="A1667" s="41"/>
      <c r="B1667" s="41"/>
      <c r="C1667" s="41"/>
      <c r="D1667" s="41"/>
      <c r="E1667" s="41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41"/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  <c r="AA1667" s="41"/>
      <c r="AB1667" s="41"/>
      <c r="AC1667" s="41"/>
      <c r="AD1667" s="41"/>
      <c r="AE1667" s="41"/>
      <c r="AF1667" s="41"/>
      <c r="AG1667" s="41"/>
      <c r="AH1667" s="41"/>
      <c r="AI1667" s="41"/>
      <c r="AJ1667" s="41"/>
      <c r="AK1667" s="41"/>
      <c r="AL1667" s="41"/>
      <c r="AM1667" s="41"/>
      <c r="AN1667" s="41"/>
      <c r="AO1667" s="41"/>
      <c r="AP1667" s="41"/>
      <c r="AQ1667" s="41"/>
    </row>
    <row r="1668">
      <c r="A1668" s="41"/>
      <c r="B1668" s="41"/>
      <c r="C1668" s="41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41"/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  <c r="AA1668" s="41"/>
      <c r="AB1668" s="41"/>
      <c r="AC1668" s="41"/>
      <c r="AD1668" s="41"/>
      <c r="AE1668" s="41"/>
      <c r="AF1668" s="41"/>
      <c r="AG1668" s="41"/>
      <c r="AH1668" s="41"/>
      <c r="AI1668" s="41"/>
      <c r="AJ1668" s="41"/>
      <c r="AK1668" s="41"/>
      <c r="AL1668" s="41"/>
      <c r="AM1668" s="41"/>
      <c r="AN1668" s="41"/>
      <c r="AO1668" s="41"/>
      <c r="AP1668" s="41"/>
      <c r="AQ1668" s="41"/>
    </row>
    <row r="1669">
      <c r="A1669" s="41"/>
      <c r="B1669" s="41"/>
      <c r="C1669" s="41"/>
      <c r="D1669" s="41"/>
      <c r="E1669" s="41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41"/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  <c r="AA1669" s="41"/>
      <c r="AB1669" s="41"/>
      <c r="AC1669" s="41"/>
      <c r="AD1669" s="41"/>
      <c r="AE1669" s="41"/>
      <c r="AF1669" s="41"/>
      <c r="AG1669" s="41"/>
      <c r="AH1669" s="41"/>
      <c r="AI1669" s="41"/>
      <c r="AJ1669" s="41"/>
      <c r="AK1669" s="41"/>
      <c r="AL1669" s="41"/>
      <c r="AM1669" s="41"/>
      <c r="AN1669" s="41"/>
      <c r="AO1669" s="41"/>
      <c r="AP1669" s="41"/>
      <c r="AQ1669" s="41"/>
    </row>
    <row r="1670">
      <c r="A1670" s="41"/>
      <c r="B1670" s="41"/>
      <c r="C1670" s="41"/>
      <c r="D1670" s="41"/>
      <c r="E1670" s="41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41"/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  <c r="AA1670" s="41"/>
      <c r="AB1670" s="41"/>
      <c r="AC1670" s="41"/>
      <c r="AD1670" s="41"/>
      <c r="AE1670" s="41"/>
      <c r="AF1670" s="41"/>
      <c r="AG1670" s="41"/>
      <c r="AH1670" s="41"/>
      <c r="AI1670" s="41"/>
      <c r="AJ1670" s="41"/>
      <c r="AK1670" s="41"/>
      <c r="AL1670" s="41"/>
      <c r="AM1670" s="41"/>
      <c r="AN1670" s="41"/>
      <c r="AO1670" s="41"/>
      <c r="AP1670" s="41"/>
      <c r="AQ1670" s="41"/>
    </row>
    <row r="1671">
      <c r="A1671" s="41"/>
      <c r="B1671" s="41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  <c r="AA1671" s="41"/>
      <c r="AB1671" s="41"/>
      <c r="AC1671" s="41"/>
      <c r="AD1671" s="41"/>
      <c r="AE1671" s="41"/>
      <c r="AF1671" s="41"/>
      <c r="AG1671" s="41"/>
      <c r="AH1671" s="41"/>
      <c r="AI1671" s="41"/>
      <c r="AJ1671" s="41"/>
      <c r="AK1671" s="41"/>
      <c r="AL1671" s="41"/>
      <c r="AM1671" s="41"/>
      <c r="AN1671" s="41"/>
      <c r="AO1671" s="41"/>
      <c r="AP1671" s="41"/>
      <c r="AQ1671" s="41"/>
    </row>
    <row r="1672">
      <c r="A1672" s="41"/>
      <c r="B1672" s="41"/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  <c r="AB1672" s="41"/>
      <c r="AC1672" s="41"/>
      <c r="AD1672" s="41"/>
      <c r="AE1672" s="41"/>
      <c r="AF1672" s="41"/>
      <c r="AG1672" s="41"/>
      <c r="AH1672" s="41"/>
      <c r="AI1672" s="41"/>
      <c r="AJ1672" s="41"/>
      <c r="AK1672" s="41"/>
      <c r="AL1672" s="41"/>
      <c r="AM1672" s="41"/>
      <c r="AN1672" s="41"/>
      <c r="AO1672" s="41"/>
      <c r="AP1672" s="41"/>
      <c r="AQ1672" s="41"/>
    </row>
    <row r="1673">
      <c r="A1673" s="41"/>
      <c r="B1673" s="41"/>
      <c r="C1673" s="41"/>
      <c r="D1673" s="41"/>
      <c r="E1673" s="41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41"/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  <c r="AA1673" s="41"/>
      <c r="AB1673" s="41"/>
      <c r="AC1673" s="41"/>
      <c r="AD1673" s="41"/>
      <c r="AE1673" s="41"/>
      <c r="AF1673" s="41"/>
      <c r="AG1673" s="41"/>
      <c r="AH1673" s="41"/>
      <c r="AI1673" s="41"/>
      <c r="AJ1673" s="41"/>
      <c r="AK1673" s="41"/>
      <c r="AL1673" s="41"/>
      <c r="AM1673" s="41"/>
      <c r="AN1673" s="41"/>
      <c r="AO1673" s="41"/>
      <c r="AP1673" s="41"/>
      <c r="AQ1673" s="41"/>
    </row>
    <row r="1674">
      <c r="A1674" s="41"/>
      <c r="B1674" s="41"/>
      <c r="C1674" s="41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  <c r="Q1674" s="41"/>
      <c r="R1674" s="41"/>
      <c r="S1674" s="41"/>
      <c r="T1674" s="41"/>
      <c r="U1674" s="41"/>
      <c r="V1674" s="41"/>
      <c r="W1674" s="41"/>
      <c r="X1674" s="41"/>
      <c r="Y1674" s="41"/>
      <c r="Z1674" s="41"/>
      <c r="AA1674" s="41"/>
      <c r="AB1674" s="41"/>
      <c r="AC1674" s="41"/>
      <c r="AD1674" s="41"/>
      <c r="AE1674" s="41"/>
      <c r="AF1674" s="41"/>
      <c r="AG1674" s="41"/>
      <c r="AH1674" s="41"/>
      <c r="AI1674" s="41"/>
      <c r="AJ1674" s="41"/>
      <c r="AK1674" s="41"/>
      <c r="AL1674" s="41"/>
      <c r="AM1674" s="41"/>
      <c r="AN1674" s="41"/>
      <c r="AO1674" s="41"/>
      <c r="AP1674" s="41"/>
      <c r="AQ1674" s="41"/>
    </row>
    <row r="1675">
      <c r="A1675" s="41"/>
      <c r="B1675" s="41"/>
      <c r="C1675" s="41"/>
      <c r="D1675" s="41"/>
      <c r="E1675" s="41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  <c r="AA1675" s="41"/>
      <c r="AB1675" s="41"/>
      <c r="AC1675" s="41"/>
      <c r="AD1675" s="41"/>
      <c r="AE1675" s="41"/>
      <c r="AF1675" s="41"/>
      <c r="AG1675" s="41"/>
      <c r="AH1675" s="41"/>
      <c r="AI1675" s="41"/>
      <c r="AJ1675" s="41"/>
      <c r="AK1675" s="41"/>
      <c r="AL1675" s="41"/>
      <c r="AM1675" s="41"/>
      <c r="AN1675" s="41"/>
      <c r="AO1675" s="41"/>
      <c r="AP1675" s="41"/>
      <c r="AQ1675" s="41"/>
    </row>
    <row r="1676">
      <c r="A1676" s="41"/>
      <c r="B1676" s="41"/>
      <c r="C1676" s="41"/>
      <c r="D1676" s="41"/>
      <c r="E1676" s="41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  <c r="AA1676" s="41"/>
      <c r="AB1676" s="41"/>
      <c r="AC1676" s="41"/>
      <c r="AD1676" s="41"/>
      <c r="AE1676" s="41"/>
      <c r="AF1676" s="41"/>
      <c r="AG1676" s="41"/>
      <c r="AH1676" s="41"/>
      <c r="AI1676" s="41"/>
      <c r="AJ1676" s="41"/>
      <c r="AK1676" s="41"/>
      <c r="AL1676" s="41"/>
      <c r="AM1676" s="41"/>
      <c r="AN1676" s="41"/>
      <c r="AO1676" s="41"/>
      <c r="AP1676" s="41"/>
      <c r="AQ1676" s="41"/>
    </row>
    <row r="1677">
      <c r="A1677" s="41"/>
      <c r="B1677" s="41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1"/>
      <c r="X1677" s="41"/>
      <c r="Y1677" s="41"/>
      <c r="Z1677" s="41"/>
      <c r="AA1677" s="41"/>
      <c r="AB1677" s="41"/>
      <c r="AC1677" s="41"/>
      <c r="AD1677" s="41"/>
      <c r="AE1677" s="41"/>
      <c r="AF1677" s="41"/>
      <c r="AG1677" s="41"/>
      <c r="AH1677" s="41"/>
      <c r="AI1677" s="41"/>
      <c r="AJ1677" s="41"/>
      <c r="AK1677" s="41"/>
      <c r="AL1677" s="41"/>
      <c r="AM1677" s="41"/>
      <c r="AN1677" s="41"/>
      <c r="AO1677" s="41"/>
      <c r="AP1677" s="41"/>
      <c r="AQ1677" s="41"/>
    </row>
    <row r="1678">
      <c r="A1678" s="41"/>
      <c r="B1678" s="41"/>
      <c r="C1678" s="41"/>
      <c r="D1678" s="41"/>
      <c r="E1678" s="41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41"/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  <c r="AA1678" s="41"/>
      <c r="AB1678" s="41"/>
      <c r="AC1678" s="41"/>
      <c r="AD1678" s="41"/>
      <c r="AE1678" s="41"/>
      <c r="AF1678" s="41"/>
      <c r="AG1678" s="41"/>
      <c r="AH1678" s="41"/>
      <c r="AI1678" s="41"/>
      <c r="AJ1678" s="41"/>
      <c r="AK1678" s="41"/>
      <c r="AL1678" s="41"/>
      <c r="AM1678" s="41"/>
      <c r="AN1678" s="41"/>
      <c r="AO1678" s="41"/>
      <c r="AP1678" s="41"/>
      <c r="AQ1678" s="41"/>
    </row>
    <row r="1679">
      <c r="A1679" s="41"/>
      <c r="B1679" s="41"/>
      <c r="C1679" s="41"/>
      <c r="D1679" s="41"/>
      <c r="E1679" s="41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41"/>
      <c r="Q1679" s="41"/>
      <c r="R1679" s="41"/>
      <c r="S1679" s="41"/>
      <c r="T1679" s="41"/>
      <c r="U1679" s="41"/>
      <c r="V1679" s="41"/>
      <c r="W1679" s="41"/>
      <c r="X1679" s="41"/>
      <c r="Y1679" s="41"/>
      <c r="Z1679" s="41"/>
      <c r="AA1679" s="41"/>
      <c r="AB1679" s="41"/>
      <c r="AC1679" s="41"/>
      <c r="AD1679" s="41"/>
      <c r="AE1679" s="41"/>
      <c r="AF1679" s="41"/>
      <c r="AG1679" s="41"/>
      <c r="AH1679" s="41"/>
      <c r="AI1679" s="41"/>
      <c r="AJ1679" s="41"/>
      <c r="AK1679" s="41"/>
      <c r="AL1679" s="41"/>
      <c r="AM1679" s="41"/>
      <c r="AN1679" s="41"/>
      <c r="AO1679" s="41"/>
      <c r="AP1679" s="41"/>
      <c r="AQ1679" s="41"/>
    </row>
    <row r="1680">
      <c r="A1680" s="41"/>
      <c r="B1680" s="41"/>
      <c r="C1680" s="41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41"/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  <c r="AA1680" s="41"/>
      <c r="AB1680" s="41"/>
      <c r="AC1680" s="41"/>
      <c r="AD1680" s="41"/>
      <c r="AE1680" s="41"/>
      <c r="AF1680" s="41"/>
      <c r="AG1680" s="41"/>
      <c r="AH1680" s="41"/>
      <c r="AI1680" s="41"/>
      <c r="AJ1680" s="41"/>
      <c r="AK1680" s="41"/>
      <c r="AL1680" s="41"/>
      <c r="AM1680" s="41"/>
      <c r="AN1680" s="41"/>
      <c r="AO1680" s="41"/>
      <c r="AP1680" s="41"/>
      <c r="AQ1680" s="41"/>
    </row>
    <row r="1681">
      <c r="A1681" s="41"/>
      <c r="B1681" s="41"/>
      <c r="C1681" s="41"/>
      <c r="D1681" s="41"/>
      <c r="E1681" s="41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41"/>
      <c r="Q1681" s="41"/>
      <c r="R1681" s="41"/>
      <c r="S1681" s="41"/>
      <c r="T1681" s="41"/>
      <c r="U1681" s="41"/>
      <c r="V1681" s="41"/>
      <c r="W1681" s="41"/>
      <c r="X1681" s="41"/>
      <c r="Y1681" s="41"/>
      <c r="Z1681" s="41"/>
      <c r="AA1681" s="41"/>
      <c r="AB1681" s="41"/>
      <c r="AC1681" s="41"/>
      <c r="AD1681" s="41"/>
      <c r="AE1681" s="41"/>
      <c r="AF1681" s="41"/>
      <c r="AG1681" s="41"/>
      <c r="AH1681" s="41"/>
      <c r="AI1681" s="41"/>
      <c r="AJ1681" s="41"/>
      <c r="AK1681" s="41"/>
      <c r="AL1681" s="41"/>
      <c r="AM1681" s="41"/>
      <c r="AN1681" s="41"/>
      <c r="AO1681" s="41"/>
      <c r="AP1681" s="41"/>
      <c r="AQ1681" s="41"/>
    </row>
    <row r="1682">
      <c r="A1682" s="41"/>
      <c r="B1682" s="41"/>
      <c r="C1682" s="41"/>
      <c r="D1682" s="41"/>
      <c r="E1682" s="41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41"/>
      <c r="Q1682" s="41"/>
      <c r="R1682" s="41"/>
      <c r="S1682" s="41"/>
      <c r="T1682" s="41"/>
      <c r="U1682" s="41"/>
      <c r="V1682" s="41"/>
      <c r="W1682" s="41"/>
      <c r="X1682" s="41"/>
      <c r="Y1682" s="41"/>
      <c r="Z1682" s="41"/>
      <c r="AA1682" s="41"/>
      <c r="AB1682" s="41"/>
      <c r="AC1682" s="41"/>
      <c r="AD1682" s="41"/>
      <c r="AE1682" s="41"/>
      <c r="AF1682" s="41"/>
      <c r="AG1682" s="41"/>
      <c r="AH1682" s="41"/>
      <c r="AI1682" s="41"/>
      <c r="AJ1682" s="41"/>
      <c r="AK1682" s="41"/>
      <c r="AL1682" s="41"/>
      <c r="AM1682" s="41"/>
      <c r="AN1682" s="41"/>
      <c r="AO1682" s="41"/>
      <c r="AP1682" s="41"/>
      <c r="AQ1682" s="41"/>
    </row>
    <row r="1683">
      <c r="A1683" s="41"/>
      <c r="B1683" s="41"/>
      <c r="C1683" s="41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  <c r="AA1683" s="41"/>
      <c r="AB1683" s="41"/>
      <c r="AC1683" s="41"/>
      <c r="AD1683" s="41"/>
      <c r="AE1683" s="41"/>
      <c r="AF1683" s="41"/>
      <c r="AG1683" s="41"/>
      <c r="AH1683" s="41"/>
      <c r="AI1683" s="41"/>
      <c r="AJ1683" s="41"/>
      <c r="AK1683" s="41"/>
      <c r="AL1683" s="41"/>
      <c r="AM1683" s="41"/>
      <c r="AN1683" s="41"/>
      <c r="AO1683" s="41"/>
      <c r="AP1683" s="41"/>
      <c r="AQ1683" s="41"/>
    </row>
    <row r="1684">
      <c r="A1684" s="41"/>
      <c r="B1684" s="41"/>
      <c r="C1684" s="41"/>
      <c r="D1684" s="41"/>
      <c r="E1684" s="41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  <c r="AA1684" s="41"/>
      <c r="AB1684" s="41"/>
      <c r="AC1684" s="41"/>
      <c r="AD1684" s="41"/>
      <c r="AE1684" s="41"/>
      <c r="AF1684" s="41"/>
      <c r="AG1684" s="41"/>
      <c r="AH1684" s="41"/>
      <c r="AI1684" s="41"/>
      <c r="AJ1684" s="41"/>
      <c r="AK1684" s="41"/>
      <c r="AL1684" s="41"/>
      <c r="AM1684" s="41"/>
      <c r="AN1684" s="41"/>
      <c r="AO1684" s="41"/>
      <c r="AP1684" s="41"/>
      <c r="AQ1684" s="41"/>
    </row>
    <row r="1685">
      <c r="A1685" s="41"/>
      <c r="B1685" s="41"/>
      <c r="C1685" s="41"/>
      <c r="D1685" s="41"/>
      <c r="E1685" s="41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41"/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  <c r="AA1685" s="41"/>
      <c r="AB1685" s="41"/>
      <c r="AC1685" s="41"/>
      <c r="AD1685" s="41"/>
      <c r="AE1685" s="41"/>
      <c r="AF1685" s="41"/>
      <c r="AG1685" s="41"/>
      <c r="AH1685" s="41"/>
      <c r="AI1685" s="41"/>
      <c r="AJ1685" s="41"/>
      <c r="AK1685" s="41"/>
      <c r="AL1685" s="41"/>
      <c r="AM1685" s="41"/>
      <c r="AN1685" s="41"/>
      <c r="AO1685" s="41"/>
      <c r="AP1685" s="41"/>
      <c r="AQ1685" s="41"/>
    </row>
    <row r="1686">
      <c r="A1686" s="41"/>
      <c r="B1686" s="41"/>
      <c r="C1686" s="41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41"/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  <c r="AA1686" s="41"/>
      <c r="AB1686" s="41"/>
      <c r="AC1686" s="41"/>
      <c r="AD1686" s="41"/>
      <c r="AE1686" s="41"/>
      <c r="AF1686" s="41"/>
      <c r="AG1686" s="41"/>
      <c r="AH1686" s="41"/>
      <c r="AI1686" s="41"/>
      <c r="AJ1686" s="41"/>
      <c r="AK1686" s="41"/>
      <c r="AL1686" s="41"/>
      <c r="AM1686" s="41"/>
      <c r="AN1686" s="41"/>
      <c r="AO1686" s="41"/>
      <c r="AP1686" s="41"/>
      <c r="AQ1686" s="41"/>
    </row>
    <row r="1687">
      <c r="A1687" s="41"/>
      <c r="B1687" s="41"/>
      <c r="C1687" s="41"/>
      <c r="D1687" s="41"/>
      <c r="E1687" s="41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  <c r="AB1687" s="41"/>
      <c r="AC1687" s="41"/>
      <c r="AD1687" s="41"/>
      <c r="AE1687" s="41"/>
      <c r="AF1687" s="41"/>
      <c r="AG1687" s="41"/>
      <c r="AH1687" s="41"/>
      <c r="AI1687" s="41"/>
      <c r="AJ1687" s="41"/>
      <c r="AK1687" s="41"/>
      <c r="AL1687" s="41"/>
      <c r="AM1687" s="41"/>
      <c r="AN1687" s="41"/>
      <c r="AO1687" s="41"/>
      <c r="AP1687" s="41"/>
      <c r="AQ1687" s="41"/>
    </row>
    <row r="1688">
      <c r="A1688" s="41"/>
      <c r="B1688" s="41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  <c r="AA1688" s="41"/>
      <c r="AB1688" s="41"/>
      <c r="AC1688" s="41"/>
      <c r="AD1688" s="41"/>
      <c r="AE1688" s="41"/>
      <c r="AF1688" s="41"/>
      <c r="AG1688" s="41"/>
      <c r="AH1688" s="41"/>
      <c r="AI1688" s="41"/>
      <c r="AJ1688" s="41"/>
      <c r="AK1688" s="41"/>
      <c r="AL1688" s="41"/>
      <c r="AM1688" s="41"/>
      <c r="AN1688" s="41"/>
      <c r="AO1688" s="41"/>
      <c r="AP1688" s="41"/>
      <c r="AQ1688" s="41"/>
    </row>
    <row r="1689">
      <c r="A1689" s="41"/>
      <c r="B1689" s="41"/>
      <c r="C1689" s="41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  <c r="AA1689" s="41"/>
      <c r="AB1689" s="41"/>
      <c r="AC1689" s="41"/>
      <c r="AD1689" s="41"/>
      <c r="AE1689" s="41"/>
      <c r="AF1689" s="41"/>
      <c r="AG1689" s="41"/>
      <c r="AH1689" s="41"/>
      <c r="AI1689" s="41"/>
      <c r="AJ1689" s="41"/>
      <c r="AK1689" s="41"/>
      <c r="AL1689" s="41"/>
      <c r="AM1689" s="41"/>
      <c r="AN1689" s="41"/>
      <c r="AO1689" s="41"/>
      <c r="AP1689" s="41"/>
      <c r="AQ1689" s="41"/>
    </row>
    <row r="1690">
      <c r="A1690" s="41"/>
      <c r="B1690" s="41"/>
      <c r="C1690" s="41"/>
      <c r="D1690" s="41"/>
      <c r="E1690" s="41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  <c r="AB1690" s="41"/>
      <c r="AC1690" s="41"/>
      <c r="AD1690" s="41"/>
      <c r="AE1690" s="41"/>
      <c r="AF1690" s="41"/>
      <c r="AG1690" s="41"/>
      <c r="AH1690" s="41"/>
      <c r="AI1690" s="41"/>
      <c r="AJ1690" s="41"/>
      <c r="AK1690" s="41"/>
      <c r="AL1690" s="41"/>
      <c r="AM1690" s="41"/>
      <c r="AN1690" s="41"/>
      <c r="AO1690" s="41"/>
      <c r="AP1690" s="41"/>
      <c r="AQ1690" s="41"/>
    </row>
    <row r="1691">
      <c r="A1691" s="41"/>
      <c r="B1691" s="41"/>
      <c r="C1691" s="41"/>
      <c r="D1691" s="41"/>
      <c r="E1691" s="41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41"/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  <c r="AA1691" s="41"/>
      <c r="AB1691" s="41"/>
      <c r="AC1691" s="41"/>
      <c r="AD1691" s="41"/>
      <c r="AE1691" s="41"/>
      <c r="AF1691" s="41"/>
      <c r="AG1691" s="41"/>
      <c r="AH1691" s="41"/>
      <c r="AI1691" s="41"/>
      <c r="AJ1691" s="41"/>
      <c r="AK1691" s="41"/>
      <c r="AL1691" s="41"/>
      <c r="AM1691" s="41"/>
      <c r="AN1691" s="41"/>
      <c r="AO1691" s="41"/>
      <c r="AP1691" s="41"/>
      <c r="AQ1691" s="41"/>
    </row>
    <row r="1692">
      <c r="A1692" s="41"/>
      <c r="B1692" s="41"/>
      <c r="C1692" s="41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41"/>
      <c r="Q1692" s="41"/>
      <c r="R1692" s="41"/>
      <c r="S1692" s="41"/>
      <c r="T1692" s="41"/>
      <c r="U1692" s="41"/>
      <c r="V1692" s="41"/>
      <c r="W1692" s="41"/>
      <c r="X1692" s="41"/>
      <c r="Y1692" s="41"/>
      <c r="Z1692" s="41"/>
      <c r="AA1692" s="41"/>
      <c r="AB1692" s="41"/>
      <c r="AC1692" s="41"/>
      <c r="AD1692" s="41"/>
      <c r="AE1692" s="41"/>
      <c r="AF1692" s="41"/>
      <c r="AG1692" s="41"/>
      <c r="AH1692" s="41"/>
      <c r="AI1692" s="41"/>
      <c r="AJ1692" s="41"/>
      <c r="AK1692" s="41"/>
      <c r="AL1692" s="41"/>
      <c r="AM1692" s="41"/>
      <c r="AN1692" s="41"/>
      <c r="AO1692" s="41"/>
      <c r="AP1692" s="41"/>
      <c r="AQ1692" s="41"/>
    </row>
    <row r="1693">
      <c r="A1693" s="41"/>
      <c r="B1693" s="41"/>
      <c r="C1693" s="41"/>
      <c r="D1693" s="41"/>
      <c r="E1693" s="41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41"/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  <c r="AA1693" s="41"/>
      <c r="AB1693" s="41"/>
      <c r="AC1693" s="41"/>
      <c r="AD1693" s="41"/>
      <c r="AE1693" s="41"/>
      <c r="AF1693" s="41"/>
      <c r="AG1693" s="41"/>
      <c r="AH1693" s="41"/>
      <c r="AI1693" s="41"/>
      <c r="AJ1693" s="41"/>
      <c r="AK1693" s="41"/>
      <c r="AL1693" s="41"/>
      <c r="AM1693" s="41"/>
      <c r="AN1693" s="41"/>
      <c r="AO1693" s="41"/>
      <c r="AP1693" s="41"/>
      <c r="AQ1693" s="41"/>
    </row>
    <row r="1694">
      <c r="A1694" s="41"/>
      <c r="B1694" s="41"/>
      <c r="C1694" s="41"/>
      <c r="D1694" s="41"/>
      <c r="E1694" s="41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41"/>
      <c r="Q1694" s="41"/>
      <c r="R1694" s="41"/>
      <c r="S1694" s="41"/>
      <c r="T1694" s="41"/>
      <c r="U1694" s="41"/>
      <c r="V1694" s="41"/>
      <c r="W1694" s="41"/>
      <c r="X1694" s="41"/>
      <c r="Y1694" s="41"/>
      <c r="Z1694" s="41"/>
      <c r="AA1694" s="41"/>
      <c r="AB1694" s="41"/>
      <c r="AC1694" s="41"/>
      <c r="AD1694" s="41"/>
      <c r="AE1694" s="41"/>
      <c r="AF1694" s="41"/>
      <c r="AG1694" s="41"/>
      <c r="AH1694" s="41"/>
      <c r="AI1694" s="41"/>
      <c r="AJ1694" s="41"/>
      <c r="AK1694" s="41"/>
      <c r="AL1694" s="41"/>
      <c r="AM1694" s="41"/>
      <c r="AN1694" s="41"/>
      <c r="AO1694" s="41"/>
      <c r="AP1694" s="41"/>
      <c r="AQ1694" s="41"/>
    </row>
    <row r="1695">
      <c r="A1695" s="41"/>
      <c r="B1695" s="41"/>
      <c r="C1695" s="41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  <c r="AA1695" s="41"/>
      <c r="AB1695" s="41"/>
      <c r="AC1695" s="41"/>
      <c r="AD1695" s="41"/>
      <c r="AE1695" s="41"/>
      <c r="AF1695" s="41"/>
      <c r="AG1695" s="41"/>
      <c r="AH1695" s="41"/>
      <c r="AI1695" s="41"/>
      <c r="AJ1695" s="41"/>
      <c r="AK1695" s="41"/>
      <c r="AL1695" s="41"/>
      <c r="AM1695" s="41"/>
      <c r="AN1695" s="41"/>
      <c r="AO1695" s="41"/>
      <c r="AP1695" s="41"/>
      <c r="AQ1695" s="41"/>
    </row>
    <row r="1696">
      <c r="A1696" s="41"/>
      <c r="B1696" s="41"/>
      <c r="C1696" s="41"/>
      <c r="D1696" s="41"/>
      <c r="E1696" s="41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41"/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  <c r="AA1696" s="41"/>
      <c r="AB1696" s="41"/>
      <c r="AC1696" s="41"/>
      <c r="AD1696" s="41"/>
      <c r="AE1696" s="41"/>
      <c r="AF1696" s="41"/>
      <c r="AG1696" s="41"/>
      <c r="AH1696" s="41"/>
      <c r="AI1696" s="41"/>
      <c r="AJ1696" s="41"/>
      <c r="AK1696" s="41"/>
      <c r="AL1696" s="41"/>
      <c r="AM1696" s="41"/>
      <c r="AN1696" s="41"/>
      <c r="AO1696" s="41"/>
      <c r="AP1696" s="41"/>
      <c r="AQ1696" s="41"/>
    </row>
    <row r="1697">
      <c r="A1697" s="41"/>
      <c r="B1697" s="41"/>
      <c r="C1697" s="41"/>
      <c r="D1697" s="41"/>
      <c r="E1697" s="41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41"/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  <c r="AA1697" s="41"/>
      <c r="AB1697" s="41"/>
      <c r="AC1697" s="41"/>
      <c r="AD1697" s="41"/>
      <c r="AE1697" s="41"/>
      <c r="AF1697" s="41"/>
      <c r="AG1697" s="41"/>
      <c r="AH1697" s="41"/>
      <c r="AI1697" s="41"/>
      <c r="AJ1697" s="41"/>
      <c r="AK1697" s="41"/>
      <c r="AL1697" s="41"/>
      <c r="AM1697" s="41"/>
      <c r="AN1697" s="41"/>
      <c r="AO1697" s="41"/>
      <c r="AP1697" s="41"/>
      <c r="AQ1697" s="41"/>
    </row>
    <row r="1698">
      <c r="A1698" s="41"/>
      <c r="B1698" s="41"/>
      <c r="C1698" s="41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41"/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  <c r="AA1698" s="41"/>
      <c r="AB1698" s="41"/>
      <c r="AC1698" s="41"/>
      <c r="AD1698" s="41"/>
      <c r="AE1698" s="41"/>
      <c r="AF1698" s="41"/>
      <c r="AG1698" s="41"/>
      <c r="AH1698" s="41"/>
      <c r="AI1698" s="41"/>
      <c r="AJ1698" s="41"/>
      <c r="AK1698" s="41"/>
      <c r="AL1698" s="41"/>
      <c r="AM1698" s="41"/>
      <c r="AN1698" s="41"/>
      <c r="AO1698" s="41"/>
      <c r="AP1698" s="41"/>
      <c r="AQ1698" s="41"/>
    </row>
    <row r="1699">
      <c r="A1699" s="41"/>
      <c r="B1699" s="41"/>
      <c r="C1699" s="41"/>
      <c r="D1699" s="41"/>
      <c r="E1699" s="41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41"/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  <c r="AA1699" s="41"/>
      <c r="AB1699" s="41"/>
      <c r="AC1699" s="41"/>
      <c r="AD1699" s="41"/>
      <c r="AE1699" s="41"/>
      <c r="AF1699" s="41"/>
      <c r="AG1699" s="41"/>
      <c r="AH1699" s="41"/>
      <c r="AI1699" s="41"/>
      <c r="AJ1699" s="41"/>
      <c r="AK1699" s="41"/>
      <c r="AL1699" s="41"/>
      <c r="AM1699" s="41"/>
      <c r="AN1699" s="41"/>
      <c r="AO1699" s="41"/>
      <c r="AP1699" s="41"/>
      <c r="AQ1699" s="41"/>
    </row>
    <row r="1700">
      <c r="A1700" s="41"/>
      <c r="B1700" s="41"/>
      <c r="C1700" s="41"/>
      <c r="D1700" s="41"/>
      <c r="E1700" s="41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  <c r="AA1700" s="41"/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  <c r="AM1700" s="41"/>
      <c r="AN1700" s="41"/>
      <c r="AO1700" s="41"/>
      <c r="AP1700" s="41"/>
      <c r="AQ1700" s="41"/>
    </row>
    <row r="1701">
      <c r="A1701" s="41"/>
      <c r="B1701" s="41"/>
      <c r="C1701" s="41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41"/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  <c r="AA1701" s="41"/>
      <c r="AB1701" s="41"/>
      <c r="AC1701" s="41"/>
      <c r="AD1701" s="41"/>
      <c r="AE1701" s="41"/>
      <c r="AF1701" s="41"/>
      <c r="AG1701" s="41"/>
      <c r="AH1701" s="41"/>
      <c r="AI1701" s="41"/>
      <c r="AJ1701" s="41"/>
      <c r="AK1701" s="41"/>
      <c r="AL1701" s="41"/>
      <c r="AM1701" s="41"/>
      <c r="AN1701" s="41"/>
      <c r="AO1701" s="41"/>
      <c r="AP1701" s="41"/>
      <c r="AQ1701" s="41"/>
    </row>
    <row r="1702">
      <c r="A1702" s="41"/>
      <c r="B1702" s="41"/>
      <c r="C1702" s="41"/>
      <c r="D1702" s="41"/>
      <c r="E1702" s="41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41"/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  <c r="AA1702" s="41"/>
      <c r="AB1702" s="41"/>
      <c r="AC1702" s="41"/>
      <c r="AD1702" s="41"/>
      <c r="AE1702" s="41"/>
      <c r="AF1702" s="41"/>
      <c r="AG1702" s="41"/>
      <c r="AH1702" s="41"/>
      <c r="AI1702" s="41"/>
      <c r="AJ1702" s="41"/>
      <c r="AK1702" s="41"/>
      <c r="AL1702" s="41"/>
      <c r="AM1702" s="41"/>
      <c r="AN1702" s="41"/>
      <c r="AO1702" s="41"/>
      <c r="AP1702" s="41"/>
      <c r="AQ1702" s="41"/>
    </row>
    <row r="1703">
      <c r="A1703" s="41"/>
      <c r="B1703" s="41"/>
      <c r="C1703" s="41"/>
      <c r="D1703" s="41"/>
      <c r="E1703" s="41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41"/>
      <c r="AA1703" s="41"/>
      <c r="AB1703" s="41"/>
      <c r="AC1703" s="41"/>
      <c r="AD1703" s="41"/>
      <c r="AE1703" s="41"/>
      <c r="AF1703" s="41"/>
      <c r="AG1703" s="41"/>
      <c r="AH1703" s="41"/>
      <c r="AI1703" s="41"/>
      <c r="AJ1703" s="41"/>
      <c r="AK1703" s="41"/>
      <c r="AL1703" s="41"/>
      <c r="AM1703" s="41"/>
      <c r="AN1703" s="41"/>
      <c r="AO1703" s="41"/>
      <c r="AP1703" s="41"/>
      <c r="AQ1703" s="41"/>
    </row>
    <row r="1704">
      <c r="A1704" s="41"/>
      <c r="B1704" s="41"/>
      <c r="C1704" s="41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  <c r="AA1704" s="41"/>
      <c r="AB1704" s="41"/>
      <c r="AC1704" s="41"/>
      <c r="AD1704" s="41"/>
      <c r="AE1704" s="41"/>
      <c r="AF1704" s="41"/>
      <c r="AG1704" s="41"/>
      <c r="AH1704" s="41"/>
      <c r="AI1704" s="41"/>
      <c r="AJ1704" s="41"/>
      <c r="AK1704" s="41"/>
      <c r="AL1704" s="41"/>
      <c r="AM1704" s="41"/>
      <c r="AN1704" s="41"/>
      <c r="AO1704" s="41"/>
      <c r="AP1704" s="41"/>
      <c r="AQ1704" s="41"/>
    </row>
    <row r="1705">
      <c r="A1705" s="41"/>
      <c r="B1705" s="41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41"/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  <c r="AA1705" s="41"/>
      <c r="AB1705" s="41"/>
      <c r="AC1705" s="41"/>
      <c r="AD1705" s="41"/>
      <c r="AE1705" s="41"/>
      <c r="AF1705" s="41"/>
      <c r="AG1705" s="41"/>
      <c r="AH1705" s="41"/>
      <c r="AI1705" s="41"/>
      <c r="AJ1705" s="41"/>
      <c r="AK1705" s="41"/>
      <c r="AL1705" s="41"/>
      <c r="AM1705" s="41"/>
      <c r="AN1705" s="41"/>
      <c r="AO1705" s="41"/>
      <c r="AP1705" s="41"/>
      <c r="AQ1705" s="41"/>
    </row>
    <row r="1706">
      <c r="A1706" s="41"/>
      <c r="B1706" s="41"/>
      <c r="C1706" s="41"/>
      <c r="D1706" s="41"/>
      <c r="E1706" s="41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41"/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  <c r="AA1706" s="41"/>
      <c r="AB1706" s="41"/>
      <c r="AC1706" s="41"/>
      <c r="AD1706" s="41"/>
      <c r="AE1706" s="41"/>
      <c r="AF1706" s="41"/>
      <c r="AG1706" s="41"/>
      <c r="AH1706" s="41"/>
      <c r="AI1706" s="41"/>
      <c r="AJ1706" s="41"/>
      <c r="AK1706" s="41"/>
      <c r="AL1706" s="41"/>
      <c r="AM1706" s="41"/>
      <c r="AN1706" s="41"/>
      <c r="AO1706" s="41"/>
      <c r="AP1706" s="41"/>
      <c r="AQ1706" s="41"/>
    </row>
    <row r="1707">
      <c r="A1707" s="41"/>
      <c r="B1707" s="41"/>
      <c r="C1707" s="41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  <c r="AA1707" s="41"/>
      <c r="AB1707" s="41"/>
      <c r="AC1707" s="41"/>
      <c r="AD1707" s="41"/>
      <c r="AE1707" s="41"/>
      <c r="AF1707" s="41"/>
      <c r="AG1707" s="41"/>
      <c r="AH1707" s="41"/>
      <c r="AI1707" s="41"/>
      <c r="AJ1707" s="41"/>
      <c r="AK1707" s="41"/>
      <c r="AL1707" s="41"/>
      <c r="AM1707" s="41"/>
      <c r="AN1707" s="41"/>
      <c r="AO1707" s="41"/>
      <c r="AP1707" s="41"/>
      <c r="AQ1707" s="41"/>
    </row>
    <row r="1708">
      <c r="A1708" s="41"/>
      <c r="B1708" s="41"/>
      <c r="C1708" s="41"/>
      <c r="D1708" s="41"/>
      <c r="E1708" s="41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  <c r="AA1708" s="41"/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/>
      <c r="AN1708" s="41"/>
      <c r="AO1708" s="41"/>
      <c r="AP1708" s="41"/>
      <c r="AQ1708" s="41"/>
    </row>
    <row r="1709">
      <c r="A1709" s="41"/>
      <c r="B1709" s="41"/>
      <c r="C1709" s="41"/>
      <c r="D1709" s="41"/>
      <c r="E1709" s="41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41"/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  <c r="AA1709" s="41"/>
      <c r="AB1709" s="41"/>
      <c r="AC1709" s="41"/>
      <c r="AD1709" s="41"/>
      <c r="AE1709" s="41"/>
      <c r="AF1709" s="41"/>
      <c r="AG1709" s="41"/>
      <c r="AH1709" s="41"/>
      <c r="AI1709" s="41"/>
      <c r="AJ1709" s="41"/>
      <c r="AK1709" s="41"/>
      <c r="AL1709" s="41"/>
      <c r="AM1709" s="41"/>
      <c r="AN1709" s="41"/>
      <c r="AO1709" s="41"/>
      <c r="AP1709" s="41"/>
      <c r="AQ1709" s="41"/>
    </row>
    <row r="1710">
      <c r="A1710" s="41"/>
      <c r="B1710" s="41"/>
      <c r="C1710" s="41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41"/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  <c r="AA1710" s="41"/>
      <c r="AB1710" s="41"/>
      <c r="AC1710" s="41"/>
      <c r="AD1710" s="41"/>
      <c r="AE1710" s="41"/>
      <c r="AF1710" s="41"/>
      <c r="AG1710" s="41"/>
      <c r="AH1710" s="41"/>
      <c r="AI1710" s="41"/>
      <c r="AJ1710" s="41"/>
      <c r="AK1710" s="41"/>
      <c r="AL1710" s="41"/>
      <c r="AM1710" s="41"/>
      <c r="AN1710" s="41"/>
      <c r="AO1710" s="41"/>
      <c r="AP1710" s="41"/>
      <c r="AQ1710" s="41"/>
    </row>
    <row r="1711">
      <c r="A1711" s="41"/>
      <c r="B1711" s="41"/>
      <c r="C1711" s="41"/>
      <c r="D1711" s="41"/>
      <c r="E1711" s="41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41"/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  <c r="AA1711" s="41"/>
      <c r="AB1711" s="41"/>
      <c r="AC1711" s="41"/>
      <c r="AD1711" s="41"/>
      <c r="AE1711" s="41"/>
      <c r="AF1711" s="41"/>
      <c r="AG1711" s="41"/>
      <c r="AH1711" s="41"/>
      <c r="AI1711" s="41"/>
      <c r="AJ1711" s="41"/>
      <c r="AK1711" s="41"/>
      <c r="AL1711" s="41"/>
      <c r="AM1711" s="41"/>
      <c r="AN1711" s="41"/>
      <c r="AO1711" s="41"/>
      <c r="AP1711" s="41"/>
      <c r="AQ1711" s="41"/>
    </row>
    <row r="1712">
      <c r="A1712" s="41"/>
      <c r="B1712" s="41"/>
      <c r="C1712" s="41"/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41"/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  <c r="AA1712" s="41"/>
      <c r="AB1712" s="41"/>
      <c r="AC1712" s="41"/>
      <c r="AD1712" s="41"/>
      <c r="AE1712" s="41"/>
      <c r="AF1712" s="41"/>
      <c r="AG1712" s="41"/>
      <c r="AH1712" s="41"/>
      <c r="AI1712" s="41"/>
      <c r="AJ1712" s="41"/>
      <c r="AK1712" s="41"/>
      <c r="AL1712" s="41"/>
      <c r="AM1712" s="41"/>
      <c r="AN1712" s="41"/>
      <c r="AO1712" s="41"/>
      <c r="AP1712" s="41"/>
      <c r="AQ1712" s="41"/>
    </row>
    <row r="1713">
      <c r="A1713" s="41"/>
      <c r="B1713" s="41"/>
      <c r="C1713" s="41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  <c r="AA1713" s="41"/>
      <c r="AB1713" s="41"/>
      <c r="AC1713" s="41"/>
      <c r="AD1713" s="41"/>
      <c r="AE1713" s="41"/>
      <c r="AF1713" s="41"/>
      <c r="AG1713" s="41"/>
      <c r="AH1713" s="41"/>
      <c r="AI1713" s="41"/>
      <c r="AJ1713" s="41"/>
      <c r="AK1713" s="41"/>
      <c r="AL1713" s="41"/>
      <c r="AM1713" s="41"/>
      <c r="AN1713" s="41"/>
      <c r="AO1713" s="41"/>
      <c r="AP1713" s="41"/>
      <c r="AQ1713" s="41"/>
    </row>
    <row r="1714">
      <c r="A1714" s="41"/>
      <c r="B1714" s="41"/>
      <c r="C1714" s="41"/>
      <c r="D1714" s="41"/>
      <c r="E1714" s="41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  <c r="AA1714" s="41"/>
      <c r="AB1714" s="41"/>
      <c r="AC1714" s="41"/>
      <c r="AD1714" s="41"/>
      <c r="AE1714" s="41"/>
      <c r="AF1714" s="41"/>
      <c r="AG1714" s="41"/>
      <c r="AH1714" s="41"/>
      <c r="AI1714" s="41"/>
      <c r="AJ1714" s="41"/>
      <c r="AK1714" s="41"/>
      <c r="AL1714" s="41"/>
      <c r="AM1714" s="41"/>
      <c r="AN1714" s="41"/>
      <c r="AO1714" s="41"/>
      <c r="AP1714" s="41"/>
      <c r="AQ1714" s="41"/>
    </row>
    <row r="1715">
      <c r="A1715" s="41"/>
      <c r="B1715" s="41"/>
      <c r="C1715" s="41"/>
      <c r="D1715" s="41"/>
      <c r="E1715" s="41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41"/>
      <c r="Q1715" s="41"/>
      <c r="R1715" s="41"/>
      <c r="S1715" s="41"/>
      <c r="T1715" s="41"/>
      <c r="U1715" s="41"/>
      <c r="V1715" s="41"/>
      <c r="W1715" s="41"/>
      <c r="X1715" s="41"/>
      <c r="Y1715" s="41"/>
      <c r="Z1715" s="41"/>
      <c r="AA1715" s="41"/>
      <c r="AB1715" s="41"/>
      <c r="AC1715" s="41"/>
      <c r="AD1715" s="41"/>
      <c r="AE1715" s="41"/>
      <c r="AF1715" s="41"/>
      <c r="AG1715" s="41"/>
      <c r="AH1715" s="41"/>
      <c r="AI1715" s="41"/>
      <c r="AJ1715" s="41"/>
      <c r="AK1715" s="41"/>
      <c r="AL1715" s="41"/>
      <c r="AM1715" s="41"/>
      <c r="AN1715" s="41"/>
      <c r="AO1715" s="41"/>
      <c r="AP1715" s="41"/>
      <c r="AQ1715" s="41"/>
    </row>
    <row r="1716">
      <c r="A1716" s="41"/>
      <c r="B1716" s="41"/>
      <c r="C1716" s="41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41"/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  <c r="AA1716" s="41"/>
      <c r="AB1716" s="41"/>
      <c r="AC1716" s="41"/>
      <c r="AD1716" s="41"/>
      <c r="AE1716" s="41"/>
      <c r="AF1716" s="41"/>
      <c r="AG1716" s="41"/>
      <c r="AH1716" s="41"/>
      <c r="AI1716" s="41"/>
      <c r="AJ1716" s="41"/>
      <c r="AK1716" s="41"/>
      <c r="AL1716" s="41"/>
      <c r="AM1716" s="41"/>
      <c r="AN1716" s="41"/>
      <c r="AO1716" s="41"/>
      <c r="AP1716" s="41"/>
      <c r="AQ1716" s="41"/>
    </row>
    <row r="1717">
      <c r="A1717" s="41"/>
      <c r="B1717" s="41"/>
      <c r="C1717" s="41"/>
      <c r="D1717" s="41"/>
      <c r="E1717" s="41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41"/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  <c r="AA1717" s="41"/>
      <c r="AB1717" s="41"/>
      <c r="AC1717" s="41"/>
      <c r="AD1717" s="41"/>
      <c r="AE1717" s="41"/>
      <c r="AF1717" s="41"/>
      <c r="AG1717" s="41"/>
      <c r="AH1717" s="41"/>
      <c r="AI1717" s="41"/>
      <c r="AJ1717" s="41"/>
      <c r="AK1717" s="41"/>
      <c r="AL1717" s="41"/>
      <c r="AM1717" s="41"/>
      <c r="AN1717" s="41"/>
      <c r="AO1717" s="41"/>
      <c r="AP1717" s="41"/>
      <c r="AQ1717" s="41"/>
    </row>
    <row r="1718">
      <c r="A1718" s="41"/>
      <c r="B1718" s="41"/>
      <c r="C1718" s="41"/>
      <c r="D1718" s="41"/>
      <c r="E1718" s="41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41"/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  <c r="AA1718" s="41"/>
      <c r="AB1718" s="41"/>
      <c r="AC1718" s="41"/>
      <c r="AD1718" s="41"/>
      <c r="AE1718" s="41"/>
      <c r="AF1718" s="41"/>
      <c r="AG1718" s="41"/>
      <c r="AH1718" s="41"/>
      <c r="AI1718" s="41"/>
      <c r="AJ1718" s="41"/>
      <c r="AK1718" s="41"/>
      <c r="AL1718" s="41"/>
      <c r="AM1718" s="41"/>
      <c r="AN1718" s="41"/>
      <c r="AO1718" s="41"/>
      <c r="AP1718" s="41"/>
      <c r="AQ1718" s="41"/>
    </row>
    <row r="1719">
      <c r="A1719" s="41"/>
      <c r="B1719" s="41"/>
      <c r="C1719" s="41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41"/>
      <c r="Q1719" s="41"/>
      <c r="R1719" s="41"/>
      <c r="S1719" s="41"/>
      <c r="T1719" s="41"/>
      <c r="U1719" s="41"/>
      <c r="V1719" s="41"/>
      <c r="W1719" s="41"/>
      <c r="X1719" s="41"/>
      <c r="Y1719" s="41"/>
      <c r="Z1719" s="41"/>
      <c r="AA1719" s="41"/>
      <c r="AB1719" s="41"/>
      <c r="AC1719" s="41"/>
      <c r="AD1719" s="41"/>
      <c r="AE1719" s="41"/>
      <c r="AF1719" s="41"/>
      <c r="AG1719" s="41"/>
      <c r="AH1719" s="41"/>
      <c r="AI1719" s="41"/>
      <c r="AJ1719" s="41"/>
      <c r="AK1719" s="41"/>
      <c r="AL1719" s="41"/>
      <c r="AM1719" s="41"/>
      <c r="AN1719" s="41"/>
      <c r="AO1719" s="41"/>
      <c r="AP1719" s="41"/>
      <c r="AQ1719" s="41"/>
    </row>
    <row r="1720">
      <c r="A1720" s="41"/>
      <c r="B1720" s="41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  <c r="AB1720" s="41"/>
      <c r="AC1720" s="41"/>
      <c r="AD1720" s="41"/>
      <c r="AE1720" s="41"/>
      <c r="AF1720" s="41"/>
      <c r="AG1720" s="41"/>
      <c r="AH1720" s="41"/>
      <c r="AI1720" s="41"/>
      <c r="AJ1720" s="41"/>
      <c r="AK1720" s="41"/>
      <c r="AL1720" s="41"/>
      <c r="AM1720" s="41"/>
      <c r="AN1720" s="41"/>
      <c r="AO1720" s="41"/>
      <c r="AP1720" s="41"/>
      <c r="AQ1720" s="41"/>
    </row>
    <row r="1721">
      <c r="A1721" s="41"/>
      <c r="B1721" s="41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  <c r="AA1721" s="41"/>
      <c r="AB1721" s="41"/>
      <c r="AC1721" s="41"/>
      <c r="AD1721" s="41"/>
      <c r="AE1721" s="41"/>
      <c r="AF1721" s="41"/>
      <c r="AG1721" s="41"/>
      <c r="AH1721" s="41"/>
      <c r="AI1721" s="41"/>
      <c r="AJ1721" s="41"/>
      <c r="AK1721" s="41"/>
      <c r="AL1721" s="41"/>
      <c r="AM1721" s="41"/>
      <c r="AN1721" s="41"/>
      <c r="AO1721" s="41"/>
      <c r="AP1721" s="41"/>
      <c r="AQ1721" s="41"/>
    </row>
    <row r="1722">
      <c r="A1722" s="41"/>
      <c r="B1722" s="41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1"/>
      <c r="Q1722" s="41"/>
      <c r="R1722" s="41"/>
      <c r="S1722" s="41"/>
      <c r="T1722" s="41"/>
      <c r="U1722" s="41"/>
      <c r="V1722" s="41"/>
      <c r="W1722" s="41"/>
      <c r="X1722" s="41"/>
      <c r="Y1722" s="41"/>
      <c r="Z1722" s="41"/>
      <c r="AA1722" s="41"/>
      <c r="AB1722" s="41"/>
      <c r="AC1722" s="41"/>
      <c r="AD1722" s="41"/>
      <c r="AE1722" s="41"/>
      <c r="AF1722" s="41"/>
      <c r="AG1722" s="41"/>
      <c r="AH1722" s="41"/>
      <c r="AI1722" s="41"/>
      <c r="AJ1722" s="41"/>
      <c r="AK1722" s="41"/>
      <c r="AL1722" s="41"/>
      <c r="AM1722" s="41"/>
      <c r="AN1722" s="41"/>
      <c r="AO1722" s="41"/>
      <c r="AP1722" s="41"/>
      <c r="AQ1722" s="41"/>
    </row>
    <row r="1723">
      <c r="A1723" s="41"/>
      <c r="B1723" s="41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1"/>
      <c r="Q1723" s="41"/>
      <c r="R1723" s="41"/>
      <c r="S1723" s="41"/>
      <c r="T1723" s="41"/>
      <c r="U1723" s="41"/>
      <c r="V1723" s="41"/>
      <c r="W1723" s="41"/>
      <c r="X1723" s="41"/>
      <c r="Y1723" s="41"/>
      <c r="Z1723" s="41"/>
      <c r="AA1723" s="41"/>
      <c r="AB1723" s="41"/>
      <c r="AC1723" s="41"/>
      <c r="AD1723" s="41"/>
      <c r="AE1723" s="41"/>
      <c r="AF1723" s="41"/>
      <c r="AG1723" s="41"/>
      <c r="AH1723" s="41"/>
      <c r="AI1723" s="41"/>
      <c r="AJ1723" s="41"/>
      <c r="AK1723" s="41"/>
      <c r="AL1723" s="41"/>
      <c r="AM1723" s="41"/>
      <c r="AN1723" s="41"/>
      <c r="AO1723" s="41"/>
      <c r="AP1723" s="41"/>
      <c r="AQ1723" s="41"/>
    </row>
    <row r="1724">
      <c r="A1724" s="41"/>
      <c r="B1724" s="41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1"/>
      <c r="Q1724" s="41"/>
      <c r="R1724" s="41"/>
      <c r="S1724" s="41"/>
      <c r="T1724" s="41"/>
      <c r="U1724" s="41"/>
      <c r="V1724" s="41"/>
      <c r="W1724" s="41"/>
      <c r="X1724" s="41"/>
      <c r="Y1724" s="41"/>
      <c r="Z1724" s="41"/>
      <c r="AA1724" s="41"/>
      <c r="AB1724" s="41"/>
      <c r="AC1724" s="41"/>
      <c r="AD1724" s="41"/>
      <c r="AE1724" s="41"/>
      <c r="AF1724" s="41"/>
      <c r="AG1724" s="41"/>
      <c r="AH1724" s="41"/>
      <c r="AI1724" s="41"/>
      <c r="AJ1724" s="41"/>
      <c r="AK1724" s="41"/>
      <c r="AL1724" s="41"/>
      <c r="AM1724" s="41"/>
      <c r="AN1724" s="41"/>
      <c r="AO1724" s="41"/>
      <c r="AP1724" s="41"/>
      <c r="AQ1724" s="41"/>
    </row>
    <row r="1725">
      <c r="A1725" s="41"/>
      <c r="B1725" s="41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  <c r="AA1725" s="41"/>
      <c r="AB1725" s="41"/>
      <c r="AC1725" s="41"/>
      <c r="AD1725" s="41"/>
      <c r="AE1725" s="41"/>
      <c r="AF1725" s="41"/>
      <c r="AG1725" s="41"/>
      <c r="AH1725" s="41"/>
      <c r="AI1725" s="41"/>
      <c r="AJ1725" s="41"/>
      <c r="AK1725" s="41"/>
      <c r="AL1725" s="41"/>
      <c r="AM1725" s="41"/>
      <c r="AN1725" s="41"/>
      <c r="AO1725" s="41"/>
      <c r="AP1725" s="41"/>
      <c r="AQ1725" s="41"/>
    </row>
    <row r="1726">
      <c r="A1726" s="41"/>
      <c r="B1726" s="41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  <c r="AA1726" s="41"/>
      <c r="AB1726" s="41"/>
      <c r="AC1726" s="41"/>
      <c r="AD1726" s="41"/>
      <c r="AE1726" s="41"/>
      <c r="AF1726" s="41"/>
      <c r="AG1726" s="41"/>
      <c r="AH1726" s="41"/>
      <c r="AI1726" s="41"/>
      <c r="AJ1726" s="41"/>
      <c r="AK1726" s="41"/>
      <c r="AL1726" s="41"/>
      <c r="AM1726" s="41"/>
      <c r="AN1726" s="41"/>
      <c r="AO1726" s="41"/>
      <c r="AP1726" s="41"/>
      <c r="AQ1726" s="41"/>
    </row>
    <row r="1727">
      <c r="A1727" s="41"/>
      <c r="B1727" s="41"/>
      <c r="C1727" s="41"/>
      <c r="D1727" s="41"/>
      <c r="E1727" s="41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41"/>
      <c r="Q1727" s="41"/>
      <c r="R1727" s="41"/>
      <c r="S1727" s="41"/>
      <c r="T1727" s="41"/>
      <c r="U1727" s="41"/>
      <c r="V1727" s="41"/>
      <c r="W1727" s="41"/>
      <c r="X1727" s="41"/>
      <c r="Y1727" s="41"/>
      <c r="Z1727" s="41"/>
      <c r="AA1727" s="41"/>
      <c r="AB1727" s="41"/>
      <c r="AC1727" s="41"/>
      <c r="AD1727" s="41"/>
      <c r="AE1727" s="41"/>
      <c r="AF1727" s="41"/>
      <c r="AG1727" s="41"/>
      <c r="AH1727" s="41"/>
      <c r="AI1727" s="41"/>
      <c r="AJ1727" s="41"/>
      <c r="AK1727" s="41"/>
      <c r="AL1727" s="41"/>
      <c r="AM1727" s="41"/>
      <c r="AN1727" s="41"/>
      <c r="AO1727" s="41"/>
      <c r="AP1727" s="41"/>
      <c r="AQ1727" s="41"/>
    </row>
    <row r="1728">
      <c r="A1728" s="41"/>
      <c r="B1728" s="41"/>
      <c r="C1728" s="41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41"/>
      <c r="Q1728" s="41"/>
      <c r="R1728" s="41"/>
      <c r="S1728" s="41"/>
      <c r="T1728" s="41"/>
      <c r="U1728" s="41"/>
      <c r="V1728" s="41"/>
      <c r="W1728" s="41"/>
      <c r="X1728" s="41"/>
      <c r="Y1728" s="41"/>
      <c r="Z1728" s="41"/>
      <c r="AA1728" s="41"/>
      <c r="AB1728" s="41"/>
      <c r="AC1728" s="41"/>
      <c r="AD1728" s="41"/>
      <c r="AE1728" s="41"/>
      <c r="AF1728" s="41"/>
      <c r="AG1728" s="41"/>
      <c r="AH1728" s="41"/>
      <c r="AI1728" s="41"/>
      <c r="AJ1728" s="41"/>
      <c r="AK1728" s="41"/>
      <c r="AL1728" s="41"/>
      <c r="AM1728" s="41"/>
      <c r="AN1728" s="41"/>
      <c r="AO1728" s="41"/>
      <c r="AP1728" s="41"/>
      <c r="AQ1728" s="41"/>
    </row>
    <row r="1729">
      <c r="A1729" s="41"/>
      <c r="B1729" s="41"/>
      <c r="C1729" s="41"/>
      <c r="D1729" s="41"/>
      <c r="E1729" s="41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41"/>
      <c r="Q1729" s="41"/>
      <c r="R1729" s="41"/>
      <c r="S1729" s="41"/>
      <c r="T1729" s="41"/>
      <c r="U1729" s="41"/>
      <c r="V1729" s="41"/>
      <c r="W1729" s="41"/>
      <c r="X1729" s="41"/>
      <c r="Y1729" s="41"/>
      <c r="Z1729" s="41"/>
      <c r="AA1729" s="41"/>
      <c r="AB1729" s="41"/>
      <c r="AC1729" s="41"/>
      <c r="AD1729" s="41"/>
      <c r="AE1729" s="41"/>
      <c r="AF1729" s="41"/>
      <c r="AG1729" s="41"/>
      <c r="AH1729" s="41"/>
      <c r="AI1729" s="41"/>
      <c r="AJ1729" s="41"/>
      <c r="AK1729" s="41"/>
      <c r="AL1729" s="41"/>
      <c r="AM1729" s="41"/>
      <c r="AN1729" s="41"/>
      <c r="AO1729" s="41"/>
      <c r="AP1729" s="41"/>
      <c r="AQ1729" s="41"/>
    </row>
    <row r="1730">
      <c r="A1730" s="41"/>
      <c r="B1730" s="41"/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41"/>
      <c r="Q1730" s="41"/>
      <c r="R1730" s="41"/>
      <c r="S1730" s="41"/>
      <c r="T1730" s="41"/>
      <c r="U1730" s="41"/>
      <c r="V1730" s="41"/>
      <c r="W1730" s="41"/>
      <c r="X1730" s="41"/>
      <c r="Y1730" s="41"/>
      <c r="Z1730" s="41"/>
      <c r="AA1730" s="41"/>
      <c r="AB1730" s="41"/>
      <c r="AC1730" s="41"/>
      <c r="AD1730" s="41"/>
      <c r="AE1730" s="41"/>
      <c r="AF1730" s="41"/>
      <c r="AG1730" s="41"/>
      <c r="AH1730" s="41"/>
      <c r="AI1730" s="41"/>
      <c r="AJ1730" s="41"/>
      <c r="AK1730" s="41"/>
      <c r="AL1730" s="41"/>
      <c r="AM1730" s="41"/>
      <c r="AN1730" s="41"/>
      <c r="AO1730" s="41"/>
      <c r="AP1730" s="41"/>
      <c r="AQ1730" s="41"/>
    </row>
    <row r="1731">
      <c r="A1731" s="41"/>
      <c r="B1731" s="41"/>
      <c r="C1731" s="41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1"/>
      <c r="X1731" s="41"/>
      <c r="Y1731" s="41"/>
      <c r="Z1731" s="41"/>
      <c r="AA1731" s="41"/>
      <c r="AB1731" s="41"/>
      <c r="AC1731" s="41"/>
      <c r="AD1731" s="41"/>
      <c r="AE1731" s="41"/>
      <c r="AF1731" s="41"/>
      <c r="AG1731" s="41"/>
      <c r="AH1731" s="41"/>
      <c r="AI1731" s="41"/>
      <c r="AJ1731" s="41"/>
      <c r="AK1731" s="41"/>
      <c r="AL1731" s="41"/>
      <c r="AM1731" s="41"/>
      <c r="AN1731" s="41"/>
      <c r="AO1731" s="41"/>
      <c r="AP1731" s="41"/>
      <c r="AQ1731" s="41"/>
    </row>
    <row r="1732">
      <c r="A1732" s="41"/>
      <c r="B1732" s="41"/>
      <c r="C1732" s="41"/>
      <c r="D1732" s="41"/>
      <c r="E1732" s="41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41"/>
      <c r="Q1732" s="41"/>
      <c r="R1732" s="41"/>
      <c r="S1732" s="41"/>
      <c r="T1732" s="41"/>
      <c r="U1732" s="41"/>
      <c r="V1732" s="41"/>
      <c r="W1732" s="41"/>
      <c r="X1732" s="41"/>
      <c r="Y1732" s="41"/>
      <c r="Z1732" s="41"/>
      <c r="AA1732" s="41"/>
      <c r="AB1732" s="41"/>
      <c r="AC1732" s="41"/>
      <c r="AD1732" s="41"/>
      <c r="AE1732" s="41"/>
      <c r="AF1732" s="41"/>
      <c r="AG1732" s="41"/>
      <c r="AH1732" s="41"/>
      <c r="AI1732" s="41"/>
      <c r="AJ1732" s="41"/>
      <c r="AK1732" s="41"/>
      <c r="AL1732" s="41"/>
      <c r="AM1732" s="41"/>
      <c r="AN1732" s="41"/>
      <c r="AO1732" s="41"/>
      <c r="AP1732" s="41"/>
      <c r="AQ1732" s="41"/>
    </row>
    <row r="1733">
      <c r="A1733" s="41"/>
      <c r="B1733" s="41"/>
      <c r="C1733" s="41"/>
      <c r="D1733" s="41"/>
      <c r="E1733" s="41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41"/>
      <c r="Q1733" s="41"/>
      <c r="R1733" s="41"/>
      <c r="S1733" s="41"/>
      <c r="T1733" s="41"/>
      <c r="U1733" s="41"/>
      <c r="V1733" s="41"/>
      <c r="W1733" s="41"/>
      <c r="X1733" s="41"/>
      <c r="Y1733" s="41"/>
      <c r="Z1733" s="41"/>
      <c r="AA1733" s="41"/>
      <c r="AB1733" s="41"/>
      <c r="AC1733" s="41"/>
      <c r="AD1733" s="41"/>
      <c r="AE1733" s="41"/>
      <c r="AF1733" s="41"/>
      <c r="AG1733" s="41"/>
      <c r="AH1733" s="41"/>
      <c r="AI1733" s="41"/>
      <c r="AJ1733" s="41"/>
      <c r="AK1733" s="41"/>
      <c r="AL1733" s="41"/>
      <c r="AM1733" s="41"/>
      <c r="AN1733" s="41"/>
      <c r="AO1733" s="41"/>
      <c r="AP1733" s="41"/>
      <c r="AQ1733" s="41"/>
    </row>
    <row r="1734">
      <c r="A1734" s="41"/>
      <c r="B1734" s="41"/>
      <c r="C1734" s="41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41"/>
      <c r="Q1734" s="41"/>
      <c r="R1734" s="41"/>
      <c r="S1734" s="41"/>
      <c r="T1734" s="41"/>
      <c r="U1734" s="41"/>
      <c r="V1734" s="41"/>
      <c r="W1734" s="41"/>
      <c r="X1734" s="41"/>
      <c r="Y1734" s="41"/>
      <c r="Z1734" s="41"/>
      <c r="AA1734" s="41"/>
      <c r="AB1734" s="41"/>
      <c r="AC1734" s="41"/>
      <c r="AD1734" s="41"/>
      <c r="AE1734" s="41"/>
      <c r="AF1734" s="41"/>
      <c r="AG1734" s="41"/>
      <c r="AH1734" s="41"/>
      <c r="AI1734" s="41"/>
      <c r="AJ1734" s="41"/>
      <c r="AK1734" s="41"/>
      <c r="AL1734" s="41"/>
      <c r="AM1734" s="41"/>
      <c r="AN1734" s="41"/>
      <c r="AO1734" s="41"/>
      <c r="AP1734" s="41"/>
      <c r="AQ1734" s="41"/>
    </row>
    <row r="1735">
      <c r="A1735" s="41"/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  <c r="AL1735" s="41"/>
      <c r="AM1735" s="41"/>
      <c r="AN1735" s="41"/>
      <c r="AO1735" s="41"/>
      <c r="AP1735" s="41"/>
      <c r="AQ1735" s="41"/>
    </row>
    <row r="1736">
      <c r="A1736" s="41"/>
      <c r="B1736" s="41"/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41"/>
      <c r="Q1736" s="41"/>
      <c r="R1736" s="41"/>
      <c r="S1736" s="41"/>
      <c r="T1736" s="41"/>
      <c r="U1736" s="41"/>
      <c r="V1736" s="41"/>
      <c r="W1736" s="41"/>
      <c r="X1736" s="41"/>
      <c r="Y1736" s="41"/>
      <c r="Z1736" s="41"/>
      <c r="AA1736" s="41"/>
      <c r="AB1736" s="41"/>
      <c r="AC1736" s="41"/>
      <c r="AD1736" s="41"/>
      <c r="AE1736" s="41"/>
      <c r="AF1736" s="41"/>
      <c r="AG1736" s="41"/>
      <c r="AH1736" s="41"/>
      <c r="AI1736" s="41"/>
      <c r="AJ1736" s="41"/>
      <c r="AK1736" s="41"/>
      <c r="AL1736" s="41"/>
      <c r="AM1736" s="41"/>
      <c r="AN1736" s="41"/>
      <c r="AO1736" s="41"/>
      <c r="AP1736" s="41"/>
      <c r="AQ1736" s="41"/>
    </row>
    <row r="1737">
      <c r="A1737" s="41"/>
      <c r="B1737" s="41"/>
      <c r="C1737" s="41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41"/>
      <c r="Q1737" s="41"/>
      <c r="R1737" s="41"/>
      <c r="S1737" s="41"/>
      <c r="T1737" s="41"/>
      <c r="U1737" s="41"/>
      <c r="V1737" s="41"/>
      <c r="W1737" s="41"/>
      <c r="X1737" s="41"/>
      <c r="Y1737" s="41"/>
      <c r="Z1737" s="41"/>
      <c r="AA1737" s="41"/>
      <c r="AB1737" s="41"/>
      <c r="AC1737" s="41"/>
      <c r="AD1737" s="41"/>
      <c r="AE1737" s="41"/>
      <c r="AF1737" s="41"/>
      <c r="AG1737" s="41"/>
      <c r="AH1737" s="41"/>
      <c r="AI1737" s="41"/>
      <c r="AJ1737" s="41"/>
      <c r="AK1737" s="41"/>
      <c r="AL1737" s="41"/>
      <c r="AM1737" s="41"/>
      <c r="AN1737" s="41"/>
      <c r="AO1737" s="41"/>
      <c r="AP1737" s="41"/>
      <c r="AQ1737" s="41"/>
    </row>
    <row r="1738">
      <c r="A1738" s="41"/>
      <c r="B1738" s="41"/>
      <c r="C1738" s="41"/>
      <c r="D1738" s="41"/>
      <c r="E1738" s="41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41"/>
      <c r="Q1738" s="41"/>
      <c r="R1738" s="41"/>
      <c r="S1738" s="41"/>
      <c r="T1738" s="41"/>
      <c r="U1738" s="41"/>
      <c r="V1738" s="41"/>
      <c r="W1738" s="41"/>
      <c r="X1738" s="41"/>
      <c r="Y1738" s="41"/>
      <c r="Z1738" s="41"/>
      <c r="AA1738" s="41"/>
      <c r="AB1738" s="41"/>
      <c r="AC1738" s="41"/>
      <c r="AD1738" s="41"/>
      <c r="AE1738" s="41"/>
      <c r="AF1738" s="41"/>
      <c r="AG1738" s="41"/>
      <c r="AH1738" s="41"/>
      <c r="AI1738" s="41"/>
      <c r="AJ1738" s="41"/>
      <c r="AK1738" s="41"/>
      <c r="AL1738" s="41"/>
      <c r="AM1738" s="41"/>
      <c r="AN1738" s="41"/>
      <c r="AO1738" s="41"/>
      <c r="AP1738" s="41"/>
      <c r="AQ1738" s="41"/>
    </row>
    <row r="1739">
      <c r="A1739" s="41"/>
      <c r="B1739" s="41"/>
      <c r="C1739" s="41"/>
      <c r="D1739" s="41"/>
      <c r="E1739" s="41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41"/>
      <c r="Q1739" s="41"/>
      <c r="R1739" s="41"/>
      <c r="S1739" s="41"/>
      <c r="T1739" s="41"/>
      <c r="U1739" s="41"/>
      <c r="V1739" s="41"/>
      <c r="W1739" s="41"/>
      <c r="X1739" s="41"/>
      <c r="Y1739" s="41"/>
      <c r="Z1739" s="41"/>
      <c r="AA1739" s="41"/>
      <c r="AB1739" s="41"/>
      <c r="AC1739" s="41"/>
      <c r="AD1739" s="41"/>
      <c r="AE1739" s="41"/>
      <c r="AF1739" s="41"/>
      <c r="AG1739" s="41"/>
      <c r="AH1739" s="41"/>
      <c r="AI1739" s="41"/>
      <c r="AJ1739" s="41"/>
      <c r="AK1739" s="41"/>
      <c r="AL1739" s="41"/>
      <c r="AM1739" s="41"/>
      <c r="AN1739" s="41"/>
      <c r="AO1739" s="41"/>
      <c r="AP1739" s="41"/>
      <c r="AQ1739" s="41"/>
    </row>
    <row r="1740">
      <c r="A1740" s="41"/>
      <c r="B1740" s="41"/>
      <c r="C1740" s="41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41"/>
      <c r="Q1740" s="41"/>
      <c r="R1740" s="41"/>
      <c r="S1740" s="41"/>
      <c r="T1740" s="41"/>
      <c r="U1740" s="41"/>
      <c r="V1740" s="41"/>
      <c r="W1740" s="41"/>
      <c r="X1740" s="41"/>
      <c r="Y1740" s="41"/>
      <c r="Z1740" s="41"/>
      <c r="AA1740" s="41"/>
      <c r="AB1740" s="41"/>
      <c r="AC1740" s="41"/>
      <c r="AD1740" s="41"/>
      <c r="AE1740" s="41"/>
      <c r="AF1740" s="41"/>
      <c r="AG1740" s="41"/>
      <c r="AH1740" s="41"/>
      <c r="AI1740" s="41"/>
      <c r="AJ1740" s="41"/>
      <c r="AK1740" s="41"/>
      <c r="AL1740" s="41"/>
      <c r="AM1740" s="41"/>
      <c r="AN1740" s="41"/>
      <c r="AO1740" s="41"/>
      <c r="AP1740" s="41"/>
      <c r="AQ1740" s="41"/>
    </row>
    <row r="1741">
      <c r="A1741" s="41"/>
      <c r="B1741" s="41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41"/>
      <c r="Q1741" s="41"/>
      <c r="R1741" s="41"/>
      <c r="S1741" s="41"/>
      <c r="T1741" s="41"/>
      <c r="U1741" s="41"/>
      <c r="V1741" s="41"/>
      <c r="W1741" s="41"/>
      <c r="X1741" s="41"/>
      <c r="Y1741" s="41"/>
      <c r="Z1741" s="41"/>
      <c r="AA1741" s="41"/>
      <c r="AB1741" s="41"/>
      <c r="AC1741" s="41"/>
      <c r="AD1741" s="41"/>
      <c r="AE1741" s="41"/>
      <c r="AF1741" s="41"/>
      <c r="AG1741" s="41"/>
      <c r="AH1741" s="41"/>
      <c r="AI1741" s="41"/>
      <c r="AJ1741" s="41"/>
      <c r="AK1741" s="41"/>
      <c r="AL1741" s="41"/>
      <c r="AM1741" s="41"/>
      <c r="AN1741" s="41"/>
      <c r="AO1741" s="41"/>
      <c r="AP1741" s="41"/>
      <c r="AQ1741" s="41"/>
    </row>
    <row r="1742">
      <c r="A1742" s="41"/>
      <c r="B1742" s="41"/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41"/>
      <c r="Q1742" s="41"/>
      <c r="R1742" s="41"/>
      <c r="S1742" s="41"/>
      <c r="T1742" s="41"/>
      <c r="U1742" s="41"/>
      <c r="V1742" s="41"/>
      <c r="W1742" s="41"/>
      <c r="X1742" s="41"/>
      <c r="Y1742" s="41"/>
      <c r="Z1742" s="41"/>
      <c r="AA1742" s="41"/>
      <c r="AB1742" s="41"/>
      <c r="AC1742" s="41"/>
      <c r="AD1742" s="41"/>
      <c r="AE1742" s="41"/>
      <c r="AF1742" s="41"/>
      <c r="AG1742" s="41"/>
      <c r="AH1742" s="41"/>
      <c r="AI1742" s="41"/>
      <c r="AJ1742" s="41"/>
      <c r="AK1742" s="41"/>
      <c r="AL1742" s="41"/>
      <c r="AM1742" s="41"/>
      <c r="AN1742" s="41"/>
      <c r="AO1742" s="41"/>
      <c r="AP1742" s="41"/>
      <c r="AQ1742" s="41"/>
    </row>
    <row r="1743">
      <c r="A1743" s="41"/>
      <c r="B1743" s="41"/>
      <c r="C1743" s="41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  <c r="AA1743" s="41"/>
      <c r="AB1743" s="41"/>
      <c r="AC1743" s="41"/>
      <c r="AD1743" s="41"/>
      <c r="AE1743" s="41"/>
      <c r="AF1743" s="41"/>
      <c r="AG1743" s="41"/>
      <c r="AH1743" s="41"/>
      <c r="AI1743" s="41"/>
      <c r="AJ1743" s="41"/>
      <c r="AK1743" s="41"/>
      <c r="AL1743" s="41"/>
      <c r="AM1743" s="41"/>
      <c r="AN1743" s="41"/>
      <c r="AO1743" s="41"/>
      <c r="AP1743" s="41"/>
      <c r="AQ1743" s="41"/>
    </row>
    <row r="1744">
      <c r="A1744" s="41"/>
      <c r="B1744" s="41"/>
      <c r="C1744" s="41"/>
      <c r="D1744" s="41"/>
      <c r="E1744" s="41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1"/>
      <c r="AC1744" s="41"/>
      <c r="AD1744" s="41"/>
      <c r="AE1744" s="41"/>
      <c r="AF1744" s="41"/>
      <c r="AG1744" s="41"/>
      <c r="AH1744" s="41"/>
      <c r="AI1744" s="41"/>
      <c r="AJ1744" s="41"/>
      <c r="AK1744" s="41"/>
      <c r="AL1744" s="41"/>
      <c r="AM1744" s="41"/>
      <c r="AN1744" s="41"/>
      <c r="AO1744" s="41"/>
      <c r="AP1744" s="41"/>
      <c r="AQ1744" s="41"/>
    </row>
    <row r="1745">
      <c r="A1745" s="41"/>
      <c r="B1745" s="41"/>
      <c r="C1745" s="41"/>
      <c r="D1745" s="41"/>
      <c r="E1745" s="41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41"/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  <c r="AA1745" s="41"/>
      <c r="AB1745" s="41"/>
      <c r="AC1745" s="41"/>
      <c r="AD1745" s="41"/>
      <c r="AE1745" s="41"/>
      <c r="AF1745" s="41"/>
      <c r="AG1745" s="41"/>
      <c r="AH1745" s="41"/>
      <c r="AI1745" s="41"/>
      <c r="AJ1745" s="41"/>
      <c r="AK1745" s="41"/>
      <c r="AL1745" s="41"/>
      <c r="AM1745" s="41"/>
      <c r="AN1745" s="41"/>
      <c r="AO1745" s="41"/>
      <c r="AP1745" s="41"/>
      <c r="AQ1745" s="41"/>
    </row>
    <row r="1746">
      <c r="A1746" s="41"/>
      <c r="B1746" s="41"/>
      <c r="C1746" s="41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41"/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  <c r="AA1746" s="41"/>
      <c r="AB1746" s="41"/>
      <c r="AC1746" s="41"/>
      <c r="AD1746" s="41"/>
      <c r="AE1746" s="41"/>
      <c r="AF1746" s="41"/>
      <c r="AG1746" s="41"/>
      <c r="AH1746" s="41"/>
      <c r="AI1746" s="41"/>
      <c r="AJ1746" s="41"/>
      <c r="AK1746" s="41"/>
      <c r="AL1746" s="41"/>
      <c r="AM1746" s="41"/>
      <c r="AN1746" s="41"/>
      <c r="AO1746" s="41"/>
      <c r="AP1746" s="41"/>
      <c r="AQ1746" s="41"/>
    </row>
    <row r="1747">
      <c r="A1747" s="41"/>
      <c r="B1747" s="41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41"/>
      <c r="Q1747" s="41"/>
      <c r="R1747" s="41"/>
      <c r="S1747" s="41"/>
      <c r="T1747" s="41"/>
      <c r="U1747" s="41"/>
      <c r="V1747" s="41"/>
      <c r="W1747" s="41"/>
      <c r="X1747" s="41"/>
      <c r="Y1747" s="41"/>
      <c r="Z1747" s="41"/>
      <c r="AA1747" s="41"/>
      <c r="AB1747" s="41"/>
      <c r="AC1747" s="41"/>
      <c r="AD1747" s="41"/>
      <c r="AE1747" s="41"/>
      <c r="AF1747" s="41"/>
      <c r="AG1747" s="41"/>
      <c r="AH1747" s="41"/>
      <c r="AI1747" s="41"/>
      <c r="AJ1747" s="41"/>
      <c r="AK1747" s="41"/>
      <c r="AL1747" s="41"/>
      <c r="AM1747" s="41"/>
      <c r="AN1747" s="41"/>
      <c r="AO1747" s="41"/>
      <c r="AP1747" s="41"/>
      <c r="AQ1747" s="41"/>
    </row>
    <row r="1748">
      <c r="A1748" s="41"/>
      <c r="B1748" s="41"/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41"/>
      <c r="Q1748" s="41"/>
      <c r="R1748" s="41"/>
      <c r="S1748" s="41"/>
      <c r="T1748" s="41"/>
      <c r="U1748" s="41"/>
      <c r="V1748" s="41"/>
      <c r="W1748" s="41"/>
      <c r="X1748" s="41"/>
      <c r="Y1748" s="41"/>
      <c r="Z1748" s="41"/>
      <c r="AA1748" s="41"/>
      <c r="AB1748" s="41"/>
      <c r="AC1748" s="41"/>
      <c r="AD1748" s="41"/>
      <c r="AE1748" s="41"/>
      <c r="AF1748" s="41"/>
      <c r="AG1748" s="41"/>
      <c r="AH1748" s="41"/>
      <c r="AI1748" s="41"/>
      <c r="AJ1748" s="41"/>
      <c r="AK1748" s="41"/>
      <c r="AL1748" s="41"/>
      <c r="AM1748" s="41"/>
      <c r="AN1748" s="41"/>
      <c r="AO1748" s="41"/>
      <c r="AP1748" s="41"/>
      <c r="AQ1748" s="41"/>
    </row>
    <row r="1749">
      <c r="A1749" s="41"/>
      <c r="B1749" s="41"/>
      <c r="C1749" s="41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1"/>
      <c r="X1749" s="41"/>
      <c r="Y1749" s="41"/>
      <c r="Z1749" s="41"/>
      <c r="AA1749" s="41"/>
      <c r="AB1749" s="41"/>
      <c r="AC1749" s="41"/>
      <c r="AD1749" s="41"/>
      <c r="AE1749" s="41"/>
      <c r="AF1749" s="41"/>
      <c r="AG1749" s="41"/>
      <c r="AH1749" s="41"/>
      <c r="AI1749" s="41"/>
      <c r="AJ1749" s="41"/>
      <c r="AK1749" s="41"/>
      <c r="AL1749" s="41"/>
      <c r="AM1749" s="41"/>
      <c r="AN1749" s="41"/>
      <c r="AO1749" s="41"/>
      <c r="AP1749" s="41"/>
      <c r="AQ1749" s="41"/>
    </row>
    <row r="1750">
      <c r="A1750" s="41"/>
      <c r="B1750" s="41"/>
      <c r="C1750" s="41"/>
      <c r="D1750" s="41"/>
      <c r="E1750" s="41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41"/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  <c r="AA1750" s="41"/>
      <c r="AB1750" s="41"/>
      <c r="AC1750" s="41"/>
      <c r="AD1750" s="41"/>
      <c r="AE1750" s="41"/>
      <c r="AF1750" s="41"/>
      <c r="AG1750" s="41"/>
      <c r="AH1750" s="41"/>
      <c r="AI1750" s="41"/>
      <c r="AJ1750" s="41"/>
      <c r="AK1750" s="41"/>
      <c r="AL1750" s="41"/>
      <c r="AM1750" s="41"/>
      <c r="AN1750" s="41"/>
      <c r="AO1750" s="41"/>
      <c r="AP1750" s="41"/>
      <c r="AQ1750" s="41"/>
    </row>
    <row r="1751">
      <c r="A1751" s="41"/>
      <c r="B1751" s="41"/>
      <c r="C1751" s="41"/>
      <c r="D1751" s="41"/>
      <c r="E1751" s="41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41"/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  <c r="AA1751" s="41"/>
      <c r="AB1751" s="41"/>
      <c r="AC1751" s="41"/>
      <c r="AD1751" s="41"/>
      <c r="AE1751" s="41"/>
      <c r="AF1751" s="41"/>
      <c r="AG1751" s="41"/>
      <c r="AH1751" s="41"/>
      <c r="AI1751" s="41"/>
      <c r="AJ1751" s="41"/>
      <c r="AK1751" s="41"/>
      <c r="AL1751" s="41"/>
      <c r="AM1751" s="41"/>
      <c r="AN1751" s="41"/>
      <c r="AO1751" s="41"/>
      <c r="AP1751" s="41"/>
      <c r="AQ1751" s="41"/>
    </row>
    <row r="1752">
      <c r="A1752" s="41"/>
      <c r="B1752" s="41"/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41"/>
      <c r="Q1752" s="41"/>
      <c r="R1752" s="41"/>
      <c r="S1752" s="41"/>
      <c r="T1752" s="41"/>
      <c r="U1752" s="41"/>
      <c r="V1752" s="41"/>
      <c r="W1752" s="41"/>
      <c r="X1752" s="41"/>
      <c r="Y1752" s="41"/>
      <c r="Z1752" s="41"/>
      <c r="AA1752" s="41"/>
      <c r="AB1752" s="41"/>
      <c r="AC1752" s="41"/>
      <c r="AD1752" s="41"/>
      <c r="AE1752" s="41"/>
      <c r="AF1752" s="41"/>
      <c r="AG1752" s="41"/>
      <c r="AH1752" s="41"/>
      <c r="AI1752" s="41"/>
      <c r="AJ1752" s="41"/>
      <c r="AK1752" s="41"/>
      <c r="AL1752" s="41"/>
      <c r="AM1752" s="41"/>
      <c r="AN1752" s="41"/>
      <c r="AO1752" s="41"/>
      <c r="AP1752" s="41"/>
      <c r="AQ1752" s="41"/>
    </row>
    <row r="1753">
      <c r="A1753" s="41"/>
      <c r="B1753" s="41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41"/>
      <c r="Q1753" s="41"/>
      <c r="R1753" s="41"/>
      <c r="S1753" s="41"/>
      <c r="T1753" s="41"/>
      <c r="U1753" s="41"/>
      <c r="V1753" s="41"/>
      <c r="W1753" s="41"/>
      <c r="X1753" s="41"/>
      <c r="Y1753" s="41"/>
      <c r="Z1753" s="41"/>
      <c r="AA1753" s="41"/>
      <c r="AB1753" s="41"/>
      <c r="AC1753" s="41"/>
      <c r="AD1753" s="41"/>
      <c r="AE1753" s="41"/>
      <c r="AF1753" s="41"/>
      <c r="AG1753" s="41"/>
      <c r="AH1753" s="41"/>
      <c r="AI1753" s="41"/>
      <c r="AJ1753" s="41"/>
      <c r="AK1753" s="41"/>
      <c r="AL1753" s="41"/>
      <c r="AM1753" s="41"/>
      <c r="AN1753" s="41"/>
      <c r="AO1753" s="41"/>
      <c r="AP1753" s="41"/>
      <c r="AQ1753" s="41"/>
    </row>
    <row r="1754">
      <c r="A1754" s="41"/>
      <c r="B1754" s="41"/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41"/>
      <c r="Q1754" s="41"/>
      <c r="R1754" s="41"/>
      <c r="S1754" s="41"/>
      <c r="T1754" s="41"/>
      <c r="U1754" s="41"/>
      <c r="V1754" s="41"/>
      <c r="W1754" s="41"/>
      <c r="X1754" s="41"/>
      <c r="Y1754" s="41"/>
      <c r="Z1754" s="41"/>
      <c r="AA1754" s="41"/>
      <c r="AB1754" s="41"/>
      <c r="AC1754" s="41"/>
      <c r="AD1754" s="41"/>
      <c r="AE1754" s="41"/>
      <c r="AF1754" s="41"/>
      <c r="AG1754" s="41"/>
      <c r="AH1754" s="41"/>
      <c r="AI1754" s="41"/>
      <c r="AJ1754" s="41"/>
      <c r="AK1754" s="41"/>
      <c r="AL1754" s="41"/>
      <c r="AM1754" s="41"/>
      <c r="AN1754" s="41"/>
      <c r="AO1754" s="41"/>
      <c r="AP1754" s="41"/>
      <c r="AQ1754" s="41"/>
    </row>
    <row r="1755">
      <c r="A1755" s="41"/>
      <c r="B1755" s="41"/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41"/>
      <c r="Q1755" s="41"/>
      <c r="R1755" s="41"/>
      <c r="S1755" s="41"/>
      <c r="T1755" s="41"/>
      <c r="U1755" s="41"/>
      <c r="V1755" s="41"/>
      <c r="W1755" s="41"/>
      <c r="X1755" s="41"/>
      <c r="Y1755" s="41"/>
      <c r="Z1755" s="41"/>
      <c r="AA1755" s="41"/>
      <c r="AB1755" s="41"/>
      <c r="AC1755" s="41"/>
      <c r="AD1755" s="41"/>
      <c r="AE1755" s="41"/>
      <c r="AF1755" s="41"/>
      <c r="AG1755" s="41"/>
      <c r="AH1755" s="41"/>
      <c r="AI1755" s="41"/>
      <c r="AJ1755" s="41"/>
      <c r="AK1755" s="41"/>
      <c r="AL1755" s="41"/>
      <c r="AM1755" s="41"/>
      <c r="AN1755" s="41"/>
      <c r="AO1755" s="41"/>
      <c r="AP1755" s="41"/>
      <c r="AQ1755" s="41"/>
    </row>
    <row r="1756">
      <c r="A1756" s="41"/>
      <c r="B1756" s="41"/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41"/>
      <c r="Q1756" s="41"/>
      <c r="R1756" s="41"/>
      <c r="S1756" s="41"/>
      <c r="T1756" s="41"/>
      <c r="U1756" s="41"/>
      <c r="V1756" s="41"/>
      <c r="W1756" s="41"/>
      <c r="X1756" s="41"/>
      <c r="Y1756" s="41"/>
      <c r="Z1756" s="41"/>
      <c r="AA1756" s="41"/>
      <c r="AB1756" s="41"/>
      <c r="AC1756" s="41"/>
      <c r="AD1756" s="41"/>
      <c r="AE1756" s="41"/>
      <c r="AF1756" s="41"/>
      <c r="AG1756" s="41"/>
      <c r="AH1756" s="41"/>
      <c r="AI1756" s="41"/>
      <c r="AJ1756" s="41"/>
      <c r="AK1756" s="41"/>
      <c r="AL1756" s="41"/>
      <c r="AM1756" s="41"/>
      <c r="AN1756" s="41"/>
      <c r="AO1756" s="41"/>
      <c r="AP1756" s="41"/>
      <c r="AQ1756" s="41"/>
    </row>
    <row r="1757">
      <c r="A1757" s="41"/>
      <c r="B1757" s="41"/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41"/>
      <c r="Q1757" s="41"/>
      <c r="R1757" s="41"/>
      <c r="S1757" s="41"/>
      <c r="T1757" s="41"/>
      <c r="U1757" s="41"/>
      <c r="V1757" s="41"/>
      <c r="W1757" s="41"/>
      <c r="X1757" s="41"/>
      <c r="Y1757" s="41"/>
      <c r="Z1757" s="41"/>
      <c r="AA1757" s="41"/>
      <c r="AB1757" s="41"/>
      <c r="AC1757" s="41"/>
      <c r="AD1757" s="41"/>
      <c r="AE1757" s="41"/>
      <c r="AF1757" s="41"/>
      <c r="AG1757" s="41"/>
      <c r="AH1757" s="41"/>
      <c r="AI1757" s="41"/>
      <c r="AJ1757" s="41"/>
      <c r="AK1757" s="41"/>
      <c r="AL1757" s="41"/>
      <c r="AM1757" s="41"/>
      <c r="AN1757" s="41"/>
      <c r="AO1757" s="41"/>
      <c r="AP1757" s="41"/>
      <c r="AQ1757" s="41"/>
    </row>
    <row r="1758">
      <c r="A1758" s="41"/>
      <c r="B1758" s="41"/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41"/>
      <c r="Q1758" s="41"/>
      <c r="R1758" s="41"/>
      <c r="S1758" s="41"/>
      <c r="T1758" s="41"/>
      <c r="U1758" s="41"/>
      <c r="V1758" s="41"/>
      <c r="W1758" s="41"/>
      <c r="X1758" s="41"/>
      <c r="Y1758" s="41"/>
      <c r="Z1758" s="41"/>
      <c r="AA1758" s="41"/>
      <c r="AB1758" s="41"/>
      <c r="AC1758" s="41"/>
      <c r="AD1758" s="41"/>
      <c r="AE1758" s="41"/>
      <c r="AF1758" s="41"/>
      <c r="AG1758" s="41"/>
      <c r="AH1758" s="41"/>
      <c r="AI1758" s="41"/>
      <c r="AJ1758" s="41"/>
      <c r="AK1758" s="41"/>
      <c r="AL1758" s="41"/>
      <c r="AM1758" s="41"/>
      <c r="AN1758" s="41"/>
      <c r="AO1758" s="41"/>
      <c r="AP1758" s="41"/>
      <c r="AQ1758" s="41"/>
    </row>
    <row r="1759">
      <c r="A1759" s="41"/>
      <c r="B1759" s="41"/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41"/>
      <c r="Q1759" s="41"/>
      <c r="R1759" s="41"/>
      <c r="S1759" s="41"/>
      <c r="T1759" s="41"/>
      <c r="U1759" s="41"/>
      <c r="V1759" s="41"/>
      <c r="W1759" s="41"/>
      <c r="X1759" s="41"/>
      <c r="Y1759" s="41"/>
      <c r="Z1759" s="41"/>
      <c r="AA1759" s="41"/>
      <c r="AB1759" s="41"/>
      <c r="AC1759" s="41"/>
      <c r="AD1759" s="41"/>
      <c r="AE1759" s="41"/>
      <c r="AF1759" s="41"/>
      <c r="AG1759" s="41"/>
      <c r="AH1759" s="41"/>
      <c r="AI1759" s="41"/>
      <c r="AJ1759" s="41"/>
      <c r="AK1759" s="41"/>
      <c r="AL1759" s="41"/>
      <c r="AM1759" s="41"/>
      <c r="AN1759" s="41"/>
      <c r="AO1759" s="41"/>
      <c r="AP1759" s="41"/>
      <c r="AQ1759" s="41"/>
    </row>
    <row r="1760">
      <c r="A1760" s="41"/>
      <c r="B1760" s="41"/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41"/>
      <c r="Q1760" s="41"/>
      <c r="R1760" s="41"/>
      <c r="S1760" s="41"/>
      <c r="T1760" s="41"/>
      <c r="U1760" s="41"/>
      <c r="V1760" s="41"/>
      <c r="W1760" s="41"/>
      <c r="X1760" s="41"/>
      <c r="Y1760" s="41"/>
      <c r="Z1760" s="41"/>
      <c r="AA1760" s="41"/>
      <c r="AB1760" s="41"/>
      <c r="AC1760" s="41"/>
      <c r="AD1760" s="41"/>
      <c r="AE1760" s="41"/>
      <c r="AF1760" s="41"/>
      <c r="AG1760" s="41"/>
      <c r="AH1760" s="41"/>
      <c r="AI1760" s="41"/>
      <c r="AJ1760" s="41"/>
      <c r="AK1760" s="41"/>
      <c r="AL1760" s="41"/>
      <c r="AM1760" s="41"/>
      <c r="AN1760" s="41"/>
      <c r="AO1760" s="41"/>
      <c r="AP1760" s="41"/>
      <c r="AQ1760" s="41"/>
    </row>
    <row r="1761">
      <c r="A1761" s="41"/>
      <c r="B1761" s="41"/>
      <c r="C1761" s="41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  <c r="AA1761" s="41"/>
      <c r="AB1761" s="41"/>
      <c r="AC1761" s="41"/>
      <c r="AD1761" s="41"/>
      <c r="AE1761" s="41"/>
      <c r="AF1761" s="41"/>
      <c r="AG1761" s="41"/>
      <c r="AH1761" s="41"/>
      <c r="AI1761" s="41"/>
      <c r="AJ1761" s="41"/>
      <c r="AK1761" s="41"/>
      <c r="AL1761" s="41"/>
      <c r="AM1761" s="41"/>
      <c r="AN1761" s="41"/>
      <c r="AO1761" s="41"/>
      <c r="AP1761" s="41"/>
      <c r="AQ1761" s="41"/>
    </row>
    <row r="1762">
      <c r="A1762" s="41"/>
      <c r="B1762" s="41"/>
      <c r="C1762" s="41"/>
      <c r="D1762" s="41"/>
      <c r="E1762" s="41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  <c r="AA1762" s="41"/>
      <c r="AB1762" s="41"/>
      <c r="AC1762" s="41"/>
      <c r="AD1762" s="41"/>
      <c r="AE1762" s="41"/>
      <c r="AF1762" s="41"/>
      <c r="AG1762" s="41"/>
      <c r="AH1762" s="41"/>
      <c r="AI1762" s="41"/>
      <c r="AJ1762" s="41"/>
      <c r="AK1762" s="41"/>
      <c r="AL1762" s="41"/>
      <c r="AM1762" s="41"/>
      <c r="AN1762" s="41"/>
      <c r="AO1762" s="41"/>
      <c r="AP1762" s="41"/>
      <c r="AQ1762" s="41"/>
    </row>
    <row r="1763">
      <c r="A1763" s="41"/>
      <c r="B1763" s="41"/>
      <c r="C1763" s="41"/>
      <c r="D1763" s="41"/>
      <c r="E1763" s="41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41"/>
      <c r="Q1763" s="41"/>
      <c r="R1763" s="41"/>
      <c r="S1763" s="41"/>
      <c r="T1763" s="41"/>
      <c r="U1763" s="41"/>
      <c r="V1763" s="41"/>
      <c r="W1763" s="41"/>
      <c r="X1763" s="41"/>
      <c r="Y1763" s="41"/>
      <c r="Z1763" s="41"/>
      <c r="AA1763" s="41"/>
      <c r="AB1763" s="41"/>
      <c r="AC1763" s="41"/>
      <c r="AD1763" s="41"/>
      <c r="AE1763" s="41"/>
      <c r="AF1763" s="41"/>
      <c r="AG1763" s="41"/>
      <c r="AH1763" s="41"/>
      <c r="AI1763" s="41"/>
      <c r="AJ1763" s="41"/>
      <c r="AK1763" s="41"/>
      <c r="AL1763" s="41"/>
      <c r="AM1763" s="41"/>
      <c r="AN1763" s="41"/>
      <c r="AO1763" s="41"/>
      <c r="AP1763" s="41"/>
      <c r="AQ1763" s="41"/>
    </row>
    <row r="1764">
      <c r="A1764" s="41"/>
      <c r="B1764" s="41"/>
      <c r="C1764" s="41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41"/>
      <c r="Q1764" s="41"/>
      <c r="R1764" s="41"/>
      <c r="S1764" s="41"/>
      <c r="T1764" s="41"/>
      <c r="U1764" s="41"/>
      <c r="V1764" s="41"/>
      <c r="W1764" s="41"/>
      <c r="X1764" s="41"/>
      <c r="Y1764" s="41"/>
      <c r="Z1764" s="41"/>
      <c r="AA1764" s="41"/>
      <c r="AB1764" s="41"/>
      <c r="AC1764" s="41"/>
      <c r="AD1764" s="41"/>
      <c r="AE1764" s="41"/>
      <c r="AF1764" s="41"/>
      <c r="AG1764" s="41"/>
      <c r="AH1764" s="41"/>
      <c r="AI1764" s="41"/>
      <c r="AJ1764" s="41"/>
      <c r="AK1764" s="41"/>
      <c r="AL1764" s="41"/>
      <c r="AM1764" s="41"/>
      <c r="AN1764" s="41"/>
      <c r="AO1764" s="41"/>
      <c r="AP1764" s="41"/>
      <c r="AQ1764" s="41"/>
    </row>
    <row r="1765">
      <c r="A1765" s="41"/>
      <c r="B1765" s="41"/>
      <c r="C1765" s="41"/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41"/>
      <c r="Q1765" s="41"/>
      <c r="R1765" s="41"/>
      <c r="S1765" s="41"/>
      <c r="T1765" s="41"/>
      <c r="U1765" s="41"/>
      <c r="V1765" s="41"/>
      <c r="W1765" s="41"/>
      <c r="X1765" s="41"/>
      <c r="Y1765" s="41"/>
      <c r="Z1765" s="41"/>
      <c r="AA1765" s="41"/>
      <c r="AB1765" s="41"/>
      <c r="AC1765" s="41"/>
      <c r="AD1765" s="41"/>
      <c r="AE1765" s="41"/>
      <c r="AF1765" s="41"/>
      <c r="AG1765" s="41"/>
      <c r="AH1765" s="41"/>
      <c r="AI1765" s="41"/>
      <c r="AJ1765" s="41"/>
      <c r="AK1765" s="41"/>
      <c r="AL1765" s="41"/>
      <c r="AM1765" s="41"/>
      <c r="AN1765" s="41"/>
      <c r="AO1765" s="41"/>
      <c r="AP1765" s="41"/>
      <c r="AQ1765" s="41"/>
    </row>
    <row r="1766">
      <c r="A1766" s="41"/>
      <c r="B1766" s="41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  <c r="Q1766" s="41"/>
      <c r="R1766" s="41"/>
      <c r="S1766" s="41"/>
      <c r="T1766" s="41"/>
      <c r="U1766" s="41"/>
      <c r="V1766" s="41"/>
      <c r="W1766" s="41"/>
      <c r="X1766" s="41"/>
      <c r="Y1766" s="41"/>
      <c r="Z1766" s="41"/>
      <c r="AA1766" s="41"/>
      <c r="AB1766" s="41"/>
      <c r="AC1766" s="41"/>
      <c r="AD1766" s="41"/>
      <c r="AE1766" s="41"/>
      <c r="AF1766" s="41"/>
      <c r="AG1766" s="41"/>
      <c r="AH1766" s="41"/>
      <c r="AI1766" s="41"/>
      <c r="AJ1766" s="41"/>
      <c r="AK1766" s="41"/>
      <c r="AL1766" s="41"/>
      <c r="AM1766" s="41"/>
      <c r="AN1766" s="41"/>
      <c r="AO1766" s="41"/>
      <c r="AP1766" s="41"/>
      <c r="AQ1766" s="41"/>
    </row>
    <row r="1767">
      <c r="A1767" s="41"/>
      <c r="B1767" s="41"/>
      <c r="C1767" s="41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  <c r="AA1767" s="41"/>
      <c r="AB1767" s="41"/>
      <c r="AC1767" s="41"/>
      <c r="AD1767" s="41"/>
      <c r="AE1767" s="41"/>
      <c r="AF1767" s="41"/>
      <c r="AG1767" s="41"/>
      <c r="AH1767" s="41"/>
      <c r="AI1767" s="41"/>
      <c r="AJ1767" s="41"/>
      <c r="AK1767" s="41"/>
      <c r="AL1767" s="41"/>
      <c r="AM1767" s="41"/>
      <c r="AN1767" s="41"/>
      <c r="AO1767" s="41"/>
      <c r="AP1767" s="41"/>
      <c r="AQ1767" s="41"/>
    </row>
    <row r="1768">
      <c r="A1768" s="41"/>
      <c r="B1768" s="41"/>
      <c r="C1768" s="41"/>
      <c r="D1768" s="41"/>
      <c r="E1768" s="41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41"/>
      <c r="Q1768" s="41"/>
      <c r="R1768" s="41"/>
      <c r="S1768" s="41"/>
      <c r="T1768" s="41"/>
      <c r="U1768" s="41"/>
      <c r="V1768" s="41"/>
      <c r="W1768" s="41"/>
      <c r="X1768" s="41"/>
      <c r="Y1768" s="41"/>
      <c r="Z1768" s="41"/>
      <c r="AA1768" s="41"/>
      <c r="AB1768" s="41"/>
      <c r="AC1768" s="41"/>
      <c r="AD1768" s="41"/>
      <c r="AE1768" s="41"/>
      <c r="AF1768" s="41"/>
      <c r="AG1768" s="41"/>
      <c r="AH1768" s="41"/>
      <c r="AI1768" s="41"/>
      <c r="AJ1768" s="41"/>
      <c r="AK1768" s="41"/>
      <c r="AL1768" s="41"/>
      <c r="AM1768" s="41"/>
      <c r="AN1768" s="41"/>
      <c r="AO1768" s="41"/>
      <c r="AP1768" s="41"/>
      <c r="AQ1768" s="41"/>
    </row>
    <row r="1769">
      <c r="A1769" s="41"/>
      <c r="B1769" s="41"/>
      <c r="C1769" s="41"/>
      <c r="D1769" s="41"/>
      <c r="E1769" s="41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41"/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  <c r="AA1769" s="41"/>
      <c r="AB1769" s="41"/>
      <c r="AC1769" s="41"/>
      <c r="AD1769" s="41"/>
      <c r="AE1769" s="41"/>
      <c r="AF1769" s="41"/>
      <c r="AG1769" s="41"/>
      <c r="AH1769" s="41"/>
      <c r="AI1769" s="41"/>
      <c r="AJ1769" s="41"/>
      <c r="AK1769" s="41"/>
      <c r="AL1769" s="41"/>
      <c r="AM1769" s="41"/>
      <c r="AN1769" s="41"/>
      <c r="AO1769" s="41"/>
      <c r="AP1769" s="41"/>
      <c r="AQ1769" s="41"/>
    </row>
    <row r="1770">
      <c r="A1770" s="41"/>
      <c r="B1770" s="41"/>
      <c r="C1770" s="41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41"/>
      <c r="Q1770" s="41"/>
      <c r="R1770" s="41"/>
      <c r="S1770" s="41"/>
      <c r="T1770" s="41"/>
      <c r="U1770" s="41"/>
      <c r="V1770" s="41"/>
      <c r="W1770" s="41"/>
      <c r="X1770" s="41"/>
      <c r="Y1770" s="41"/>
      <c r="Z1770" s="41"/>
      <c r="AA1770" s="41"/>
      <c r="AB1770" s="41"/>
      <c r="AC1770" s="41"/>
      <c r="AD1770" s="41"/>
      <c r="AE1770" s="41"/>
      <c r="AF1770" s="41"/>
      <c r="AG1770" s="41"/>
      <c r="AH1770" s="41"/>
      <c r="AI1770" s="41"/>
      <c r="AJ1770" s="41"/>
      <c r="AK1770" s="41"/>
      <c r="AL1770" s="41"/>
      <c r="AM1770" s="41"/>
      <c r="AN1770" s="41"/>
      <c r="AO1770" s="41"/>
      <c r="AP1770" s="41"/>
      <c r="AQ1770" s="41"/>
    </row>
    <row r="1771">
      <c r="A1771" s="41"/>
      <c r="B1771" s="41"/>
      <c r="C1771" s="41"/>
      <c r="D1771" s="41"/>
      <c r="E1771" s="41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41"/>
      <c r="Q1771" s="41"/>
      <c r="R1771" s="41"/>
      <c r="S1771" s="41"/>
      <c r="T1771" s="41"/>
      <c r="U1771" s="41"/>
      <c r="V1771" s="41"/>
      <c r="W1771" s="41"/>
      <c r="X1771" s="41"/>
      <c r="Y1771" s="41"/>
      <c r="Z1771" s="41"/>
      <c r="AA1771" s="41"/>
      <c r="AB1771" s="41"/>
      <c r="AC1771" s="41"/>
      <c r="AD1771" s="41"/>
      <c r="AE1771" s="41"/>
      <c r="AF1771" s="41"/>
      <c r="AG1771" s="41"/>
      <c r="AH1771" s="41"/>
      <c r="AI1771" s="41"/>
      <c r="AJ1771" s="41"/>
      <c r="AK1771" s="41"/>
      <c r="AL1771" s="41"/>
      <c r="AM1771" s="41"/>
      <c r="AN1771" s="41"/>
      <c r="AO1771" s="41"/>
      <c r="AP1771" s="41"/>
      <c r="AQ1771" s="41"/>
    </row>
    <row r="1772">
      <c r="A1772" s="41"/>
      <c r="B1772" s="41"/>
      <c r="C1772" s="41"/>
      <c r="D1772" s="41"/>
      <c r="E1772" s="41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41"/>
      <c r="Q1772" s="41"/>
      <c r="R1772" s="41"/>
      <c r="S1772" s="41"/>
      <c r="T1772" s="41"/>
      <c r="U1772" s="41"/>
      <c r="V1772" s="41"/>
      <c r="W1772" s="41"/>
      <c r="X1772" s="41"/>
      <c r="Y1772" s="41"/>
      <c r="Z1772" s="41"/>
      <c r="AA1772" s="41"/>
      <c r="AB1772" s="41"/>
      <c r="AC1772" s="41"/>
      <c r="AD1772" s="41"/>
      <c r="AE1772" s="41"/>
      <c r="AF1772" s="41"/>
      <c r="AG1772" s="41"/>
      <c r="AH1772" s="41"/>
      <c r="AI1772" s="41"/>
      <c r="AJ1772" s="41"/>
      <c r="AK1772" s="41"/>
      <c r="AL1772" s="41"/>
      <c r="AM1772" s="41"/>
      <c r="AN1772" s="41"/>
      <c r="AO1772" s="41"/>
      <c r="AP1772" s="41"/>
      <c r="AQ1772" s="41"/>
    </row>
    <row r="1773">
      <c r="A1773" s="41"/>
      <c r="B1773" s="41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  <c r="AA1773" s="41"/>
      <c r="AB1773" s="41"/>
      <c r="AC1773" s="41"/>
      <c r="AD1773" s="41"/>
      <c r="AE1773" s="41"/>
      <c r="AF1773" s="41"/>
      <c r="AG1773" s="41"/>
      <c r="AH1773" s="41"/>
      <c r="AI1773" s="41"/>
      <c r="AJ1773" s="41"/>
      <c r="AK1773" s="41"/>
      <c r="AL1773" s="41"/>
      <c r="AM1773" s="41"/>
      <c r="AN1773" s="41"/>
      <c r="AO1773" s="41"/>
      <c r="AP1773" s="41"/>
      <c r="AQ1773" s="41"/>
    </row>
    <row r="1774">
      <c r="A1774" s="41"/>
      <c r="B1774" s="41"/>
      <c r="C1774" s="41"/>
      <c r="D1774" s="41"/>
      <c r="E1774" s="41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41"/>
      <c r="Q1774" s="41"/>
      <c r="R1774" s="41"/>
      <c r="S1774" s="41"/>
      <c r="T1774" s="41"/>
      <c r="U1774" s="41"/>
      <c r="V1774" s="41"/>
      <c r="W1774" s="41"/>
      <c r="X1774" s="41"/>
      <c r="Y1774" s="41"/>
      <c r="Z1774" s="41"/>
      <c r="AA1774" s="41"/>
      <c r="AB1774" s="41"/>
      <c r="AC1774" s="41"/>
      <c r="AD1774" s="41"/>
      <c r="AE1774" s="41"/>
      <c r="AF1774" s="41"/>
      <c r="AG1774" s="41"/>
      <c r="AH1774" s="41"/>
      <c r="AI1774" s="41"/>
      <c r="AJ1774" s="41"/>
      <c r="AK1774" s="41"/>
      <c r="AL1774" s="41"/>
      <c r="AM1774" s="41"/>
      <c r="AN1774" s="41"/>
      <c r="AO1774" s="41"/>
      <c r="AP1774" s="41"/>
      <c r="AQ1774" s="41"/>
    </row>
    <row r="1775">
      <c r="A1775" s="41"/>
      <c r="B1775" s="41"/>
      <c r="C1775" s="41"/>
      <c r="D1775" s="41"/>
      <c r="E1775" s="41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41"/>
      <c r="Q1775" s="41"/>
      <c r="R1775" s="41"/>
      <c r="S1775" s="41"/>
      <c r="T1775" s="41"/>
      <c r="U1775" s="41"/>
      <c r="V1775" s="41"/>
      <c r="W1775" s="41"/>
      <c r="X1775" s="41"/>
      <c r="Y1775" s="41"/>
      <c r="Z1775" s="41"/>
      <c r="AA1775" s="41"/>
      <c r="AB1775" s="41"/>
      <c r="AC1775" s="41"/>
      <c r="AD1775" s="41"/>
      <c r="AE1775" s="41"/>
      <c r="AF1775" s="41"/>
      <c r="AG1775" s="41"/>
      <c r="AH1775" s="41"/>
      <c r="AI1775" s="41"/>
      <c r="AJ1775" s="41"/>
      <c r="AK1775" s="41"/>
      <c r="AL1775" s="41"/>
      <c r="AM1775" s="41"/>
      <c r="AN1775" s="41"/>
      <c r="AO1775" s="41"/>
      <c r="AP1775" s="41"/>
      <c r="AQ1775" s="41"/>
    </row>
    <row r="1776">
      <c r="A1776" s="41"/>
      <c r="B1776" s="41"/>
      <c r="C1776" s="41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1"/>
      <c r="AC1776" s="41"/>
      <c r="AD1776" s="41"/>
      <c r="AE1776" s="41"/>
      <c r="AF1776" s="41"/>
      <c r="AG1776" s="41"/>
      <c r="AH1776" s="41"/>
      <c r="AI1776" s="41"/>
      <c r="AJ1776" s="41"/>
      <c r="AK1776" s="41"/>
      <c r="AL1776" s="41"/>
      <c r="AM1776" s="41"/>
      <c r="AN1776" s="41"/>
      <c r="AO1776" s="41"/>
      <c r="AP1776" s="41"/>
      <c r="AQ1776" s="41"/>
    </row>
    <row r="1777">
      <c r="A1777" s="41"/>
      <c r="B1777" s="41"/>
      <c r="C1777" s="41"/>
      <c r="D1777" s="41"/>
      <c r="E1777" s="41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41"/>
      <c r="Q1777" s="41"/>
      <c r="R1777" s="41"/>
      <c r="S1777" s="41"/>
      <c r="T1777" s="41"/>
      <c r="U1777" s="41"/>
      <c r="V1777" s="41"/>
      <c r="W1777" s="41"/>
      <c r="X1777" s="41"/>
      <c r="Y1777" s="41"/>
      <c r="Z1777" s="41"/>
      <c r="AA1777" s="41"/>
      <c r="AB1777" s="41"/>
      <c r="AC1777" s="41"/>
      <c r="AD1777" s="41"/>
      <c r="AE1777" s="41"/>
      <c r="AF1777" s="41"/>
      <c r="AG1777" s="41"/>
      <c r="AH1777" s="41"/>
      <c r="AI1777" s="41"/>
      <c r="AJ1777" s="41"/>
      <c r="AK1777" s="41"/>
      <c r="AL1777" s="41"/>
      <c r="AM1777" s="41"/>
      <c r="AN1777" s="41"/>
      <c r="AO1777" s="41"/>
      <c r="AP1777" s="41"/>
      <c r="AQ1777" s="41"/>
    </row>
    <row r="1778">
      <c r="A1778" s="41"/>
      <c r="B1778" s="41"/>
      <c r="C1778" s="41"/>
      <c r="D1778" s="41"/>
      <c r="E1778" s="41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41"/>
      <c r="Q1778" s="41"/>
      <c r="R1778" s="41"/>
      <c r="S1778" s="41"/>
      <c r="T1778" s="41"/>
      <c r="U1778" s="41"/>
      <c r="V1778" s="41"/>
      <c r="W1778" s="41"/>
      <c r="X1778" s="41"/>
      <c r="Y1778" s="41"/>
      <c r="Z1778" s="41"/>
      <c r="AA1778" s="41"/>
      <c r="AB1778" s="41"/>
      <c r="AC1778" s="41"/>
      <c r="AD1778" s="41"/>
      <c r="AE1778" s="41"/>
      <c r="AF1778" s="41"/>
      <c r="AG1778" s="41"/>
      <c r="AH1778" s="41"/>
      <c r="AI1778" s="41"/>
      <c r="AJ1778" s="41"/>
      <c r="AK1778" s="41"/>
      <c r="AL1778" s="41"/>
      <c r="AM1778" s="41"/>
      <c r="AN1778" s="41"/>
      <c r="AO1778" s="41"/>
      <c r="AP1778" s="41"/>
      <c r="AQ1778" s="41"/>
    </row>
    <row r="1779">
      <c r="A1779" s="41"/>
      <c r="B1779" s="41"/>
      <c r="C1779" s="41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  <c r="AA1779" s="41"/>
      <c r="AB1779" s="41"/>
      <c r="AC1779" s="41"/>
      <c r="AD1779" s="41"/>
      <c r="AE1779" s="41"/>
      <c r="AF1779" s="41"/>
      <c r="AG1779" s="41"/>
      <c r="AH1779" s="41"/>
      <c r="AI1779" s="41"/>
      <c r="AJ1779" s="41"/>
      <c r="AK1779" s="41"/>
      <c r="AL1779" s="41"/>
      <c r="AM1779" s="41"/>
      <c r="AN1779" s="41"/>
      <c r="AO1779" s="41"/>
      <c r="AP1779" s="41"/>
      <c r="AQ1779" s="41"/>
    </row>
    <row r="1780">
      <c r="A1780" s="41"/>
      <c r="B1780" s="41"/>
      <c r="C1780" s="41"/>
      <c r="D1780" s="41"/>
      <c r="E1780" s="41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  <c r="AA1780" s="41"/>
      <c r="AB1780" s="41"/>
      <c r="AC1780" s="41"/>
      <c r="AD1780" s="41"/>
      <c r="AE1780" s="41"/>
      <c r="AF1780" s="41"/>
      <c r="AG1780" s="41"/>
      <c r="AH1780" s="41"/>
      <c r="AI1780" s="41"/>
      <c r="AJ1780" s="41"/>
      <c r="AK1780" s="41"/>
      <c r="AL1780" s="41"/>
      <c r="AM1780" s="41"/>
      <c r="AN1780" s="41"/>
      <c r="AO1780" s="41"/>
      <c r="AP1780" s="41"/>
      <c r="AQ1780" s="41"/>
    </row>
    <row r="1781">
      <c r="A1781" s="41"/>
      <c r="B1781" s="41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1"/>
      <c r="Q1781" s="41"/>
      <c r="R1781" s="41"/>
      <c r="S1781" s="41"/>
      <c r="T1781" s="41"/>
      <c r="U1781" s="41"/>
      <c r="V1781" s="41"/>
      <c r="W1781" s="41"/>
      <c r="X1781" s="41"/>
      <c r="Y1781" s="41"/>
      <c r="Z1781" s="41"/>
      <c r="AA1781" s="41"/>
      <c r="AB1781" s="41"/>
      <c r="AC1781" s="41"/>
      <c r="AD1781" s="41"/>
      <c r="AE1781" s="41"/>
      <c r="AF1781" s="41"/>
      <c r="AG1781" s="41"/>
      <c r="AH1781" s="41"/>
      <c r="AI1781" s="41"/>
      <c r="AJ1781" s="41"/>
      <c r="AK1781" s="41"/>
      <c r="AL1781" s="41"/>
      <c r="AM1781" s="41"/>
      <c r="AN1781" s="41"/>
      <c r="AO1781" s="41"/>
      <c r="AP1781" s="41"/>
      <c r="AQ1781" s="41"/>
    </row>
    <row r="1782">
      <c r="A1782" s="41"/>
      <c r="B1782" s="41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1"/>
      <c r="Q1782" s="41"/>
      <c r="R1782" s="41"/>
      <c r="S1782" s="41"/>
      <c r="T1782" s="41"/>
      <c r="U1782" s="41"/>
      <c r="V1782" s="41"/>
      <c r="W1782" s="41"/>
      <c r="X1782" s="41"/>
      <c r="Y1782" s="41"/>
      <c r="Z1782" s="41"/>
      <c r="AA1782" s="41"/>
      <c r="AB1782" s="41"/>
      <c r="AC1782" s="41"/>
      <c r="AD1782" s="41"/>
      <c r="AE1782" s="41"/>
      <c r="AF1782" s="41"/>
      <c r="AG1782" s="41"/>
      <c r="AH1782" s="41"/>
      <c r="AI1782" s="41"/>
      <c r="AJ1782" s="41"/>
      <c r="AK1782" s="41"/>
      <c r="AL1782" s="41"/>
      <c r="AM1782" s="41"/>
      <c r="AN1782" s="41"/>
      <c r="AO1782" s="41"/>
      <c r="AP1782" s="41"/>
      <c r="AQ1782" s="41"/>
    </row>
    <row r="1783">
      <c r="A1783" s="41"/>
      <c r="B1783" s="41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1"/>
      <c r="Q1783" s="41"/>
      <c r="R1783" s="41"/>
      <c r="S1783" s="41"/>
      <c r="T1783" s="41"/>
      <c r="U1783" s="41"/>
      <c r="V1783" s="41"/>
      <c r="W1783" s="41"/>
      <c r="X1783" s="41"/>
      <c r="Y1783" s="41"/>
      <c r="Z1783" s="41"/>
      <c r="AA1783" s="41"/>
      <c r="AB1783" s="41"/>
      <c r="AC1783" s="41"/>
      <c r="AD1783" s="41"/>
      <c r="AE1783" s="41"/>
      <c r="AF1783" s="41"/>
      <c r="AG1783" s="41"/>
      <c r="AH1783" s="41"/>
      <c r="AI1783" s="41"/>
      <c r="AJ1783" s="41"/>
      <c r="AK1783" s="41"/>
      <c r="AL1783" s="41"/>
      <c r="AM1783" s="41"/>
      <c r="AN1783" s="41"/>
      <c r="AO1783" s="41"/>
      <c r="AP1783" s="41"/>
      <c r="AQ1783" s="41"/>
    </row>
    <row r="1784">
      <c r="A1784" s="41"/>
      <c r="B1784" s="41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1"/>
      <c r="Q1784" s="41"/>
      <c r="R1784" s="41"/>
      <c r="S1784" s="41"/>
      <c r="T1784" s="41"/>
      <c r="U1784" s="41"/>
      <c r="V1784" s="41"/>
      <c r="W1784" s="41"/>
      <c r="X1784" s="41"/>
      <c r="Y1784" s="41"/>
      <c r="Z1784" s="41"/>
      <c r="AA1784" s="41"/>
      <c r="AB1784" s="41"/>
      <c r="AC1784" s="41"/>
      <c r="AD1784" s="41"/>
      <c r="AE1784" s="41"/>
      <c r="AF1784" s="41"/>
      <c r="AG1784" s="41"/>
      <c r="AH1784" s="41"/>
      <c r="AI1784" s="41"/>
      <c r="AJ1784" s="41"/>
      <c r="AK1784" s="41"/>
      <c r="AL1784" s="41"/>
      <c r="AM1784" s="41"/>
      <c r="AN1784" s="41"/>
      <c r="AO1784" s="41"/>
      <c r="AP1784" s="41"/>
      <c r="AQ1784" s="41"/>
    </row>
    <row r="1785">
      <c r="A1785" s="41"/>
      <c r="B1785" s="41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1"/>
      <c r="X1785" s="41"/>
      <c r="Y1785" s="41"/>
      <c r="Z1785" s="41"/>
      <c r="AA1785" s="41"/>
      <c r="AB1785" s="41"/>
      <c r="AC1785" s="41"/>
      <c r="AD1785" s="41"/>
      <c r="AE1785" s="41"/>
      <c r="AF1785" s="41"/>
      <c r="AG1785" s="41"/>
      <c r="AH1785" s="41"/>
      <c r="AI1785" s="41"/>
      <c r="AJ1785" s="41"/>
      <c r="AK1785" s="41"/>
      <c r="AL1785" s="41"/>
      <c r="AM1785" s="41"/>
      <c r="AN1785" s="41"/>
      <c r="AO1785" s="41"/>
      <c r="AP1785" s="41"/>
      <c r="AQ1785" s="41"/>
    </row>
    <row r="1786">
      <c r="A1786" s="41"/>
      <c r="B1786" s="41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1"/>
      <c r="Q1786" s="41"/>
      <c r="R1786" s="41"/>
      <c r="S1786" s="41"/>
      <c r="T1786" s="41"/>
      <c r="U1786" s="41"/>
      <c r="V1786" s="41"/>
      <c r="W1786" s="41"/>
      <c r="X1786" s="41"/>
      <c r="Y1786" s="41"/>
      <c r="Z1786" s="41"/>
      <c r="AA1786" s="41"/>
      <c r="AB1786" s="41"/>
      <c r="AC1786" s="41"/>
      <c r="AD1786" s="41"/>
      <c r="AE1786" s="41"/>
      <c r="AF1786" s="41"/>
      <c r="AG1786" s="41"/>
      <c r="AH1786" s="41"/>
      <c r="AI1786" s="41"/>
      <c r="AJ1786" s="41"/>
      <c r="AK1786" s="41"/>
      <c r="AL1786" s="41"/>
      <c r="AM1786" s="41"/>
      <c r="AN1786" s="41"/>
      <c r="AO1786" s="41"/>
      <c r="AP1786" s="41"/>
      <c r="AQ1786" s="41"/>
    </row>
    <row r="1787">
      <c r="A1787" s="41"/>
      <c r="B1787" s="41"/>
      <c r="C1787" s="41"/>
      <c r="D1787" s="41"/>
      <c r="E1787" s="41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41"/>
      <c r="Q1787" s="41"/>
      <c r="R1787" s="41"/>
      <c r="S1787" s="41"/>
      <c r="T1787" s="41"/>
      <c r="U1787" s="41"/>
      <c r="V1787" s="41"/>
      <c r="W1787" s="41"/>
      <c r="X1787" s="41"/>
      <c r="Y1787" s="41"/>
      <c r="Z1787" s="41"/>
      <c r="AA1787" s="41"/>
      <c r="AB1787" s="41"/>
      <c r="AC1787" s="41"/>
      <c r="AD1787" s="41"/>
      <c r="AE1787" s="41"/>
      <c r="AF1787" s="41"/>
      <c r="AG1787" s="41"/>
      <c r="AH1787" s="41"/>
      <c r="AI1787" s="41"/>
      <c r="AJ1787" s="41"/>
      <c r="AK1787" s="41"/>
      <c r="AL1787" s="41"/>
      <c r="AM1787" s="41"/>
      <c r="AN1787" s="41"/>
      <c r="AO1787" s="41"/>
      <c r="AP1787" s="41"/>
      <c r="AQ1787" s="41"/>
    </row>
    <row r="1788">
      <c r="A1788" s="41"/>
      <c r="B1788" s="41"/>
      <c r="C1788" s="41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41"/>
      <c r="Q1788" s="41"/>
      <c r="R1788" s="41"/>
      <c r="S1788" s="41"/>
      <c r="T1788" s="41"/>
      <c r="U1788" s="41"/>
      <c r="V1788" s="41"/>
      <c r="W1788" s="41"/>
      <c r="X1788" s="41"/>
      <c r="Y1788" s="41"/>
      <c r="Z1788" s="41"/>
      <c r="AA1788" s="41"/>
      <c r="AB1788" s="41"/>
      <c r="AC1788" s="41"/>
      <c r="AD1788" s="41"/>
      <c r="AE1788" s="41"/>
      <c r="AF1788" s="41"/>
      <c r="AG1788" s="41"/>
      <c r="AH1788" s="41"/>
      <c r="AI1788" s="41"/>
      <c r="AJ1788" s="41"/>
      <c r="AK1788" s="41"/>
      <c r="AL1788" s="41"/>
      <c r="AM1788" s="41"/>
      <c r="AN1788" s="41"/>
      <c r="AO1788" s="41"/>
      <c r="AP1788" s="41"/>
      <c r="AQ1788" s="41"/>
    </row>
    <row r="1789">
      <c r="A1789" s="41"/>
      <c r="B1789" s="41"/>
      <c r="C1789" s="41"/>
      <c r="D1789" s="41"/>
      <c r="E1789" s="41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41"/>
      <c r="Q1789" s="41"/>
      <c r="R1789" s="41"/>
      <c r="S1789" s="41"/>
      <c r="T1789" s="41"/>
      <c r="U1789" s="41"/>
      <c r="V1789" s="41"/>
      <c r="W1789" s="41"/>
      <c r="X1789" s="41"/>
      <c r="Y1789" s="41"/>
      <c r="Z1789" s="41"/>
      <c r="AA1789" s="41"/>
      <c r="AB1789" s="41"/>
      <c r="AC1789" s="41"/>
      <c r="AD1789" s="41"/>
      <c r="AE1789" s="41"/>
      <c r="AF1789" s="41"/>
      <c r="AG1789" s="41"/>
      <c r="AH1789" s="41"/>
      <c r="AI1789" s="41"/>
      <c r="AJ1789" s="41"/>
      <c r="AK1789" s="41"/>
      <c r="AL1789" s="41"/>
      <c r="AM1789" s="41"/>
      <c r="AN1789" s="41"/>
      <c r="AO1789" s="41"/>
      <c r="AP1789" s="41"/>
      <c r="AQ1789" s="41"/>
    </row>
    <row r="1790">
      <c r="A1790" s="41"/>
      <c r="B1790" s="41"/>
      <c r="C1790" s="41"/>
      <c r="D1790" s="41"/>
      <c r="E1790" s="41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41"/>
      <c r="Q1790" s="41"/>
      <c r="R1790" s="41"/>
      <c r="S1790" s="41"/>
      <c r="T1790" s="41"/>
      <c r="U1790" s="41"/>
      <c r="V1790" s="41"/>
      <c r="W1790" s="41"/>
      <c r="X1790" s="41"/>
      <c r="Y1790" s="41"/>
      <c r="Z1790" s="41"/>
      <c r="AA1790" s="41"/>
      <c r="AB1790" s="41"/>
      <c r="AC1790" s="41"/>
      <c r="AD1790" s="41"/>
      <c r="AE1790" s="41"/>
      <c r="AF1790" s="41"/>
      <c r="AG1790" s="41"/>
      <c r="AH1790" s="41"/>
      <c r="AI1790" s="41"/>
      <c r="AJ1790" s="41"/>
      <c r="AK1790" s="41"/>
      <c r="AL1790" s="41"/>
      <c r="AM1790" s="41"/>
      <c r="AN1790" s="41"/>
      <c r="AO1790" s="41"/>
      <c r="AP1790" s="41"/>
      <c r="AQ1790" s="41"/>
    </row>
    <row r="1791">
      <c r="A1791" s="41"/>
      <c r="B1791" s="41"/>
      <c r="C1791" s="41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41"/>
      <c r="Q1791" s="41"/>
      <c r="R1791" s="41"/>
      <c r="S1791" s="41"/>
      <c r="T1791" s="41"/>
      <c r="U1791" s="41"/>
      <c r="V1791" s="41"/>
      <c r="W1791" s="41"/>
      <c r="X1791" s="41"/>
      <c r="Y1791" s="41"/>
      <c r="Z1791" s="41"/>
      <c r="AA1791" s="41"/>
      <c r="AB1791" s="41"/>
      <c r="AC1791" s="41"/>
      <c r="AD1791" s="41"/>
      <c r="AE1791" s="41"/>
      <c r="AF1791" s="41"/>
      <c r="AG1791" s="41"/>
      <c r="AH1791" s="41"/>
      <c r="AI1791" s="41"/>
      <c r="AJ1791" s="41"/>
      <c r="AK1791" s="41"/>
      <c r="AL1791" s="41"/>
      <c r="AM1791" s="41"/>
      <c r="AN1791" s="41"/>
      <c r="AO1791" s="41"/>
      <c r="AP1791" s="41"/>
      <c r="AQ1791" s="41"/>
    </row>
    <row r="1792">
      <c r="A1792" s="41"/>
      <c r="B1792" s="41"/>
      <c r="C1792" s="41"/>
      <c r="D1792" s="41"/>
      <c r="E1792" s="41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41"/>
      <c r="Q1792" s="41"/>
      <c r="R1792" s="41"/>
      <c r="S1792" s="41"/>
      <c r="T1792" s="41"/>
      <c r="U1792" s="41"/>
      <c r="V1792" s="41"/>
      <c r="W1792" s="41"/>
      <c r="X1792" s="41"/>
      <c r="Y1792" s="41"/>
      <c r="Z1792" s="41"/>
      <c r="AA1792" s="41"/>
      <c r="AB1792" s="41"/>
      <c r="AC1792" s="41"/>
      <c r="AD1792" s="41"/>
      <c r="AE1792" s="41"/>
      <c r="AF1792" s="41"/>
      <c r="AG1792" s="41"/>
      <c r="AH1792" s="41"/>
      <c r="AI1792" s="41"/>
      <c r="AJ1792" s="41"/>
      <c r="AK1792" s="41"/>
      <c r="AL1792" s="41"/>
      <c r="AM1792" s="41"/>
      <c r="AN1792" s="41"/>
      <c r="AO1792" s="41"/>
      <c r="AP1792" s="41"/>
      <c r="AQ1792" s="41"/>
    </row>
    <row r="1793">
      <c r="A1793" s="41"/>
      <c r="B1793" s="41"/>
      <c r="C1793" s="41"/>
      <c r="D1793" s="41"/>
      <c r="E1793" s="41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41"/>
      <c r="Q1793" s="41"/>
      <c r="R1793" s="41"/>
      <c r="S1793" s="41"/>
      <c r="T1793" s="41"/>
      <c r="U1793" s="41"/>
      <c r="V1793" s="41"/>
      <c r="W1793" s="41"/>
      <c r="X1793" s="41"/>
      <c r="Y1793" s="41"/>
      <c r="Z1793" s="41"/>
      <c r="AA1793" s="41"/>
      <c r="AB1793" s="41"/>
      <c r="AC1793" s="41"/>
      <c r="AD1793" s="41"/>
      <c r="AE1793" s="41"/>
      <c r="AF1793" s="41"/>
      <c r="AG1793" s="41"/>
      <c r="AH1793" s="41"/>
      <c r="AI1793" s="41"/>
      <c r="AJ1793" s="41"/>
      <c r="AK1793" s="41"/>
      <c r="AL1793" s="41"/>
      <c r="AM1793" s="41"/>
      <c r="AN1793" s="41"/>
      <c r="AO1793" s="41"/>
      <c r="AP1793" s="41"/>
      <c r="AQ1793" s="41"/>
    </row>
    <row r="1794">
      <c r="A1794" s="41"/>
      <c r="B1794" s="41"/>
      <c r="C1794" s="41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41"/>
      <c r="Q1794" s="41"/>
      <c r="R1794" s="41"/>
      <c r="S1794" s="41"/>
      <c r="T1794" s="41"/>
      <c r="U1794" s="41"/>
      <c r="V1794" s="41"/>
      <c r="W1794" s="41"/>
      <c r="X1794" s="41"/>
      <c r="Y1794" s="41"/>
      <c r="Z1794" s="41"/>
      <c r="AA1794" s="41"/>
      <c r="AB1794" s="41"/>
      <c r="AC1794" s="41"/>
      <c r="AD1794" s="41"/>
      <c r="AE1794" s="41"/>
      <c r="AF1794" s="41"/>
      <c r="AG1794" s="41"/>
      <c r="AH1794" s="41"/>
      <c r="AI1794" s="41"/>
      <c r="AJ1794" s="41"/>
      <c r="AK1794" s="41"/>
      <c r="AL1794" s="41"/>
      <c r="AM1794" s="41"/>
      <c r="AN1794" s="41"/>
      <c r="AO1794" s="41"/>
      <c r="AP1794" s="41"/>
      <c r="AQ1794" s="41"/>
    </row>
    <row r="1795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  <c r="AM1795" s="41"/>
      <c r="AN1795" s="41"/>
      <c r="AO1795" s="41"/>
      <c r="AP1795" s="41"/>
      <c r="AQ1795" s="41"/>
    </row>
    <row r="1796">
      <c r="A1796" s="41"/>
      <c r="B1796" s="41"/>
      <c r="C1796" s="41"/>
      <c r="D1796" s="41"/>
      <c r="E1796" s="41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41"/>
      <c r="Q1796" s="41"/>
      <c r="R1796" s="41"/>
      <c r="S1796" s="41"/>
      <c r="T1796" s="41"/>
      <c r="U1796" s="41"/>
      <c r="V1796" s="41"/>
      <c r="W1796" s="41"/>
      <c r="X1796" s="41"/>
      <c r="Y1796" s="41"/>
      <c r="Z1796" s="41"/>
      <c r="AA1796" s="41"/>
      <c r="AB1796" s="41"/>
      <c r="AC1796" s="41"/>
      <c r="AD1796" s="41"/>
      <c r="AE1796" s="41"/>
      <c r="AF1796" s="41"/>
      <c r="AG1796" s="41"/>
      <c r="AH1796" s="41"/>
      <c r="AI1796" s="41"/>
      <c r="AJ1796" s="41"/>
      <c r="AK1796" s="41"/>
      <c r="AL1796" s="41"/>
      <c r="AM1796" s="41"/>
      <c r="AN1796" s="41"/>
      <c r="AO1796" s="41"/>
      <c r="AP1796" s="41"/>
      <c r="AQ1796" s="41"/>
    </row>
    <row r="1797">
      <c r="A1797" s="41"/>
      <c r="B1797" s="41"/>
      <c r="C1797" s="41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  <c r="Q1797" s="41"/>
      <c r="R1797" s="41"/>
      <c r="S1797" s="41"/>
      <c r="T1797" s="41"/>
      <c r="U1797" s="41"/>
      <c r="V1797" s="41"/>
      <c r="W1797" s="41"/>
      <c r="X1797" s="41"/>
      <c r="Y1797" s="41"/>
      <c r="Z1797" s="41"/>
      <c r="AA1797" s="41"/>
      <c r="AB1797" s="41"/>
      <c r="AC1797" s="41"/>
      <c r="AD1797" s="41"/>
      <c r="AE1797" s="41"/>
      <c r="AF1797" s="41"/>
      <c r="AG1797" s="41"/>
      <c r="AH1797" s="41"/>
      <c r="AI1797" s="41"/>
      <c r="AJ1797" s="41"/>
      <c r="AK1797" s="41"/>
      <c r="AL1797" s="41"/>
      <c r="AM1797" s="41"/>
      <c r="AN1797" s="41"/>
      <c r="AO1797" s="41"/>
      <c r="AP1797" s="41"/>
      <c r="AQ1797" s="41"/>
    </row>
    <row r="1798">
      <c r="A1798" s="41"/>
      <c r="B1798" s="41"/>
      <c r="C1798" s="41"/>
      <c r="D1798" s="41"/>
      <c r="E1798" s="41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  <c r="AA1798" s="41"/>
      <c r="AB1798" s="41"/>
      <c r="AC1798" s="41"/>
      <c r="AD1798" s="41"/>
      <c r="AE1798" s="41"/>
      <c r="AF1798" s="41"/>
      <c r="AG1798" s="41"/>
      <c r="AH1798" s="41"/>
      <c r="AI1798" s="41"/>
      <c r="AJ1798" s="41"/>
      <c r="AK1798" s="41"/>
      <c r="AL1798" s="41"/>
      <c r="AM1798" s="41"/>
      <c r="AN1798" s="41"/>
      <c r="AO1798" s="41"/>
      <c r="AP1798" s="41"/>
      <c r="AQ1798" s="41"/>
    </row>
    <row r="1799">
      <c r="A1799" s="41"/>
      <c r="B1799" s="41"/>
      <c r="C1799" s="41"/>
      <c r="D1799" s="41"/>
      <c r="E1799" s="41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41"/>
      <c r="Q1799" s="41"/>
      <c r="R1799" s="41"/>
      <c r="S1799" s="41"/>
      <c r="T1799" s="41"/>
      <c r="U1799" s="41"/>
      <c r="V1799" s="41"/>
      <c r="W1799" s="41"/>
      <c r="X1799" s="41"/>
      <c r="Y1799" s="41"/>
      <c r="Z1799" s="41"/>
      <c r="AA1799" s="41"/>
      <c r="AB1799" s="41"/>
      <c r="AC1799" s="41"/>
      <c r="AD1799" s="41"/>
      <c r="AE1799" s="41"/>
      <c r="AF1799" s="41"/>
      <c r="AG1799" s="41"/>
      <c r="AH1799" s="41"/>
      <c r="AI1799" s="41"/>
      <c r="AJ1799" s="41"/>
      <c r="AK1799" s="41"/>
      <c r="AL1799" s="41"/>
      <c r="AM1799" s="41"/>
      <c r="AN1799" s="41"/>
      <c r="AO1799" s="41"/>
      <c r="AP1799" s="41"/>
      <c r="AQ1799" s="41"/>
    </row>
    <row r="1800">
      <c r="A1800" s="41"/>
      <c r="B1800" s="41"/>
      <c r="C1800" s="41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41"/>
      <c r="Q1800" s="41"/>
      <c r="R1800" s="41"/>
      <c r="S1800" s="41"/>
      <c r="T1800" s="41"/>
      <c r="U1800" s="41"/>
      <c r="V1800" s="41"/>
      <c r="W1800" s="41"/>
      <c r="X1800" s="41"/>
      <c r="Y1800" s="41"/>
      <c r="Z1800" s="41"/>
      <c r="AA1800" s="41"/>
      <c r="AB1800" s="41"/>
      <c r="AC1800" s="41"/>
      <c r="AD1800" s="41"/>
      <c r="AE1800" s="41"/>
      <c r="AF1800" s="41"/>
      <c r="AG1800" s="41"/>
      <c r="AH1800" s="41"/>
      <c r="AI1800" s="41"/>
      <c r="AJ1800" s="41"/>
      <c r="AK1800" s="41"/>
      <c r="AL1800" s="41"/>
      <c r="AM1800" s="41"/>
      <c r="AN1800" s="41"/>
      <c r="AO1800" s="41"/>
      <c r="AP1800" s="41"/>
      <c r="AQ1800" s="41"/>
    </row>
    <row r="1801">
      <c r="A1801" s="41"/>
      <c r="B1801" s="41"/>
      <c r="C1801" s="41"/>
      <c r="D1801" s="41"/>
      <c r="E1801" s="41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  <c r="AA1801" s="41"/>
      <c r="AB1801" s="41"/>
      <c r="AC1801" s="41"/>
      <c r="AD1801" s="41"/>
      <c r="AE1801" s="41"/>
      <c r="AF1801" s="41"/>
      <c r="AG1801" s="41"/>
      <c r="AH1801" s="41"/>
      <c r="AI1801" s="41"/>
      <c r="AJ1801" s="41"/>
      <c r="AK1801" s="41"/>
      <c r="AL1801" s="41"/>
      <c r="AM1801" s="41"/>
      <c r="AN1801" s="41"/>
      <c r="AO1801" s="41"/>
      <c r="AP1801" s="41"/>
      <c r="AQ1801" s="41"/>
    </row>
    <row r="1802">
      <c r="A1802" s="41"/>
      <c r="B1802" s="41"/>
      <c r="C1802" s="41"/>
      <c r="D1802" s="41"/>
      <c r="E1802" s="41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41"/>
      <c r="Q1802" s="41"/>
      <c r="R1802" s="41"/>
      <c r="S1802" s="41"/>
      <c r="T1802" s="41"/>
      <c r="U1802" s="41"/>
      <c r="V1802" s="41"/>
      <c r="W1802" s="41"/>
      <c r="X1802" s="41"/>
      <c r="Y1802" s="41"/>
      <c r="Z1802" s="41"/>
      <c r="AA1802" s="41"/>
      <c r="AB1802" s="41"/>
      <c r="AC1802" s="41"/>
      <c r="AD1802" s="41"/>
      <c r="AE1802" s="41"/>
      <c r="AF1802" s="41"/>
      <c r="AG1802" s="41"/>
      <c r="AH1802" s="41"/>
      <c r="AI1802" s="41"/>
      <c r="AJ1802" s="41"/>
      <c r="AK1802" s="41"/>
      <c r="AL1802" s="41"/>
      <c r="AM1802" s="41"/>
      <c r="AN1802" s="41"/>
      <c r="AO1802" s="41"/>
      <c r="AP1802" s="41"/>
      <c r="AQ1802" s="41"/>
    </row>
    <row r="1803">
      <c r="A1803" s="41"/>
      <c r="B1803" s="41"/>
      <c r="C1803" s="41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1"/>
      <c r="X1803" s="41"/>
      <c r="Y1803" s="41"/>
      <c r="Z1803" s="41"/>
      <c r="AA1803" s="41"/>
      <c r="AB1803" s="41"/>
      <c r="AC1803" s="41"/>
      <c r="AD1803" s="41"/>
      <c r="AE1803" s="41"/>
      <c r="AF1803" s="41"/>
      <c r="AG1803" s="41"/>
      <c r="AH1803" s="41"/>
      <c r="AI1803" s="41"/>
      <c r="AJ1803" s="41"/>
      <c r="AK1803" s="41"/>
      <c r="AL1803" s="41"/>
      <c r="AM1803" s="41"/>
      <c r="AN1803" s="41"/>
      <c r="AO1803" s="41"/>
      <c r="AP1803" s="41"/>
      <c r="AQ1803" s="41"/>
    </row>
    <row r="1804">
      <c r="A1804" s="41"/>
      <c r="B1804" s="41"/>
      <c r="C1804" s="41"/>
      <c r="D1804" s="41"/>
      <c r="E1804" s="41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41"/>
      <c r="Q1804" s="41"/>
      <c r="R1804" s="41"/>
      <c r="S1804" s="41"/>
      <c r="T1804" s="41"/>
      <c r="U1804" s="41"/>
      <c r="V1804" s="41"/>
      <c r="W1804" s="41"/>
      <c r="X1804" s="41"/>
      <c r="Y1804" s="41"/>
      <c r="Z1804" s="41"/>
      <c r="AA1804" s="41"/>
      <c r="AB1804" s="41"/>
      <c r="AC1804" s="41"/>
      <c r="AD1804" s="41"/>
      <c r="AE1804" s="41"/>
      <c r="AF1804" s="41"/>
      <c r="AG1804" s="41"/>
      <c r="AH1804" s="41"/>
      <c r="AI1804" s="41"/>
      <c r="AJ1804" s="41"/>
      <c r="AK1804" s="41"/>
      <c r="AL1804" s="41"/>
      <c r="AM1804" s="41"/>
      <c r="AN1804" s="41"/>
      <c r="AO1804" s="41"/>
      <c r="AP1804" s="41"/>
      <c r="AQ1804" s="41"/>
    </row>
    <row r="1805">
      <c r="A1805" s="41"/>
      <c r="B1805" s="41"/>
      <c r="C1805" s="41"/>
      <c r="D1805" s="41"/>
      <c r="E1805" s="41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41"/>
      <c r="Q1805" s="41"/>
      <c r="R1805" s="41"/>
      <c r="S1805" s="41"/>
      <c r="T1805" s="41"/>
      <c r="U1805" s="41"/>
      <c r="V1805" s="41"/>
      <c r="W1805" s="41"/>
      <c r="X1805" s="41"/>
      <c r="Y1805" s="41"/>
      <c r="Z1805" s="41"/>
      <c r="AA1805" s="41"/>
      <c r="AB1805" s="41"/>
      <c r="AC1805" s="41"/>
      <c r="AD1805" s="41"/>
      <c r="AE1805" s="41"/>
      <c r="AF1805" s="41"/>
      <c r="AG1805" s="41"/>
      <c r="AH1805" s="41"/>
      <c r="AI1805" s="41"/>
      <c r="AJ1805" s="41"/>
      <c r="AK1805" s="41"/>
      <c r="AL1805" s="41"/>
      <c r="AM1805" s="41"/>
      <c r="AN1805" s="41"/>
      <c r="AO1805" s="41"/>
      <c r="AP1805" s="41"/>
      <c r="AQ1805" s="41"/>
    </row>
    <row r="1806">
      <c r="A1806" s="41"/>
      <c r="B1806" s="41"/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41"/>
      <c r="Q1806" s="41"/>
      <c r="R1806" s="41"/>
      <c r="S1806" s="41"/>
      <c r="T1806" s="41"/>
      <c r="U1806" s="41"/>
      <c r="V1806" s="41"/>
      <c r="W1806" s="41"/>
      <c r="X1806" s="41"/>
      <c r="Y1806" s="41"/>
      <c r="Z1806" s="41"/>
      <c r="AA1806" s="41"/>
      <c r="AB1806" s="41"/>
      <c r="AC1806" s="41"/>
      <c r="AD1806" s="41"/>
      <c r="AE1806" s="41"/>
      <c r="AF1806" s="41"/>
      <c r="AG1806" s="41"/>
      <c r="AH1806" s="41"/>
      <c r="AI1806" s="41"/>
      <c r="AJ1806" s="41"/>
      <c r="AK1806" s="41"/>
      <c r="AL1806" s="41"/>
      <c r="AM1806" s="41"/>
      <c r="AN1806" s="41"/>
      <c r="AO1806" s="41"/>
      <c r="AP1806" s="41"/>
      <c r="AQ1806" s="41"/>
    </row>
    <row r="1807">
      <c r="A1807" s="41"/>
      <c r="B1807" s="41"/>
      <c r="C1807" s="41"/>
      <c r="D1807" s="41"/>
      <c r="E1807" s="41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41"/>
      <c r="Q1807" s="41"/>
      <c r="R1807" s="41"/>
      <c r="S1807" s="41"/>
      <c r="T1807" s="41"/>
      <c r="U1807" s="41"/>
      <c r="V1807" s="41"/>
      <c r="W1807" s="41"/>
      <c r="X1807" s="41"/>
      <c r="Y1807" s="41"/>
      <c r="Z1807" s="41"/>
      <c r="AA1807" s="41"/>
      <c r="AB1807" s="41"/>
      <c r="AC1807" s="41"/>
      <c r="AD1807" s="41"/>
      <c r="AE1807" s="41"/>
      <c r="AF1807" s="41"/>
      <c r="AG1807" s="41"/>
      <c r="AH1807" s="41"/>
      <c r="AI1807" s="41"/>
      <c r="AJ1807" s="41"/>
      <c r="AK1807" s="41"/>
      <c r="AL1807" s="41"/>
      <c r="AM1807" s="41"/>
      <c r="AN1807" s="41"/>
      <c r="AO1807" s="41"/>
      <c r="AP1807" s="41"/>
      <c r="AQ1807" s="41"/>
    </row>
    <row r="1808">
      <c r="A1808" s="41"/>
      <c r="B1808" s="41"/>
      <c r="C1808" s="41"/>
      <c r="D1808" s="41"/>
      <c r="E1808" s="41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41"/>
      <c r="Q1808" s="41"/>
      <c r="R1808" s="41"/>
      <c r="S1808" s="41"/>
      <c r="T1808" s="41"/>
      <c r="U1808" s="41"/>
      <c r="V1808" s="41"/>
      <c r="W1808" s="41"/>
      <c r="X1808" s="41"/>
      <c r="Y1808" s="41"/>
      <c r="Z1808" s="41"/>
      <c r="AA1808" s="41"/>
      <c r="AB1808" s="41"/>
      <c r="AC1808" s="41"/>
      <c r="AD1808" s="41"/>
      <c r="AE1808" s="41"/>
      <c r="AF1808" s="41"/>
      <c r="AG1808" s="41"/>
      <c r="AH1808" s="41"/>
      <c r="AI1808" s="41"/>
      <c r="AJ1808" s="41"/>
      <c r="AK1808" s="41"/>
      <c r="AL1808" s="41"/>
      <c r="AM1808" s="41"/>
      <c r="AN1808" s="41"/>
      <c r="AO1808" s="41"/>
      <c r="AP1808" s="41"/>
      <c r="AQ1808" s="41"/>
    </row>
    <row r="1809">
      <c r="A1809" s="41"/>
      <c r="B1809" s="41"/>
      <c r="C1809" s="41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41"/>
      <c r="Q1809" s="41"/>
      <c r="R1809" s="41"/>
      <c r="S1809" s="41"/>
      <c r="T1809" s="41"/>
      <c r="U1809" s="41"/>
      <c r="V1809" s="41"/>
      <c r="W1809" s="41"/>
      <c r="X1809" s="41"/>
      <c r="Y1809" s="41"/>
      <c r="Z1809" s="41"/>
      <c r="AA1809" s="41"/>
      <c r="AB1809" s="41"/>
      <c r="AC1809" s="41"/>
      <c r="AD1809" s="41"/>
      <c r="AE1809" s="41"/>
      <c r="AF1809" s="41"/>
      <c r="AG1809" s="41"/>
      <c r="AH1809" s="41"/>
      <c r="AI1809" s="41"/>
      <c r="AJ1809" s="41"/>
      <c r="AK1809" s="41"/>
      <c r="AL1809" s="41"/>
      <c r="AM1809" s="41"/>
      <c r="AN1809" s="41"/>
      <c r="AO1809" s="41"/>
      <c r="AP1809" s="41"/>
      <c r="AQ1809" s="41"/>
    </row>
    <row r="1810">
      <c r="A1810" s="41"/>
      <c r="B1810" s="41"/>
      <c r="C1810" s="41"/>
      <c r="D1810" s="41"/>
      <c r="E1810" s="41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41"/>
      <c r="Q1810" s="41"/>
      <c r="R1810" s="41"/>
      <c r="S1810" s="41"/>
      <c r="T1810" s="41"/>
      <c r="U1810" s="41"/>
      <c r="V1810" s="41"/>
      <c r="W1810" s="41"/>
      <c r="X1810" s="41"/>
      <c r="Y1810" s="41"/>
      <c r="Z1810" s="41"/>
      <c r="AA1810" s="41"/>
      <c r="AB1810" s="41"/>
      <c r="AC1810" s="41"/>
      <c r="AD1810" s="41"/>
      <c r="AE1810" s="41"/>
      <c r="AF1810" s="41"/>
      <c r="AG1810" s="41"/>
      <c r="AH1810" s="41"/>
      <c r="AI1810" s="41"/>
      <c r="AJ1810" s="41"/>
      <c r="AK1810" s="41"/>
      <c r="AL1810" s="41"/>
      <c r="AM1810" s="41"/>
      <c r="AN1810" s="41"/>
      <c r="AO1810" s="41"/>
      <c r="AP1810" s="41"/>
      <c r="AQ1810" s="41"/>
    </row>
    <row r="1811">
      <c r="A1811" s="41"/>
      <c r="B1811" s="41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  <c r="Q1811" s="41"/>
      <c r="R1811" s="41"/>
      <c r="S1811" s="41"/>
      <c r="T1811" s="41"/>
      <c r="U1811" s="41"/>
      <c r="V1811" s="41"/>
      <c r="W1811" s="41"/>
      <c r="X1811" s="41"/>
      <c r="Y1811" s="41"/>
      <c r="Z1811" s="41"/>
      <c r="AA1811" s="41"/>
      <c r="AB1811" s="41"/>
      <c r="AC1811" s="41"/>
      <c r="AD1811" s="41"/>
      <c r="AE1811" s="41"/>
      <c r="AF1811" s="41"/>
      <c r="AG1811" s="41"/>
      <c r="AH1811" s="41"/>
      <c r="AI1811" s="41"/>
      <c r="AJ1811" s="41"/>
      <c r="AK1811" s="41"/>
      <c r="AL1811" s="41"/>
      <c r="AM1811" s="41"/>
      <c r="AN1811" s="41"/>
      <c r="AO1811" s="41"/>
      <c r="AP1811" s="41"/>
      <c r="AQ1811" s="41"/>
    </row>
    <row r="1812">
      <c r="A1812" s="41"/>
      <c r="B1812" s="41"/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41"/>
      <c r="Q1812" s="41"/>
      <c r="R1812" s="41"/>
      <c r="S1812" s="41"/>
      <c r="T1812" s="41"/>
      <c r="U1812" s="41"/>
      <c r="V1812" s="41"/>
      <c r="W1812" s="41"/>
      <c r="X1812" s="41"/>
      <c r="Y1812" s="41"/>
      <c r="Z1812" s="41"/>
      <c r="AA1812" s="41"/>
      <c r="AB1812" s="41"/>
      <c r="AC1812" s="41"/>
      <c r="AD1812" s="41"/>
      <c r="AE1812" s="41"/>
      <c r="AF1812" s="41"/>
      <c r="AG1812" s="41"/>
      <c r="AH1812" s="41"/>
      <c r="AI1812" s="41"/>
      <c r="AJ1812" s="41"/>
      <c r="AK1812" s="41"/>
      <c r="AL1812" s="41"/>
      <c r="AM1812" s="41"/>
      <c r="AN1812" s="41"/>
      <c r="AO1812" s="41"/>
      <c r="AP1812" s="41"/>
      <c r="AQ1812" s="41"/>
    </row>
    <row r="1813">
      <c r="A1813" s="41"/>
      <c r="B1813" s="41"/>
      <c r="C1813" s="41"/>
      <c r="D1813" s="41"/>
      <c r="E1813" s="41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41"/>
      <c r="Q1813" s="41"/>
      <c r="R1813" s="41"/>
      <c r="S1813" s="41"/>
      <c r="T1813" s="41"/>
      <c r="U1813" s="41"/>
      <c r="V1813" s="41"/>
      <c r="W1813" s="41"/>
      <c r="X1813" s="41"/>
      <c r="Y1813" s="41"/>
      <c r="Z1813" s="41"/>
      <c r="AA1813" s="41"/>
      <c r="AB1813" s="41"/>
      <c r="AC1813" s="41"/>
      <c r="AD1813" s="41"/>
      <c r="AE1813" s="41"/>
      <c r="AF1813" s="41"/>
      <c r="AG1813" s="41"/>
      <c r="AH1813" s="41"/>
      <c r="AI1813" s="41"/>
      <c r="AJ1813" s="41"/>
      <c r="AK1813" s="41"/>
      <c r="AL1813" s="41"/>
      <c r="AM1813" s="41"/>
      <c r="AN1813" s="41"/>
      <c r="AO1813" s="41"/>
      <c r="AP1813" s="41"/>
      <c r="AQ1813" s="41"/>
    </row>
    <row r="1814">
      <c r="A1814" s="41"/>
      <c r="B1814" s="41"/>
      <c r="C1814" s="41"/>
      <c r="D1814" s="41"/>
      <c r="E1814" s="41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41"/>
      <c r="Q1814" s="41"/>
      <c r="R1814" s="41"/>
      <c r="S1814" s="41"/>
      <c r="T1814" s="41"/>
      <c r="U1814" s="41"/>
      <c r="V1814" s="41"/>
      <c r="W1814" s="41"/>
      <c r="X1814" s="41"/>
      <c r="Y1814" s="41"/>
      <c r="Z1814" s="41"/>
      <c r="AA1814" s="41"/>
      <c r="AB1814" s="41"/>
      <c r="AC1814" s="41"/>
      <c r="AD1814" s="41"/>
      <c r="AE1814" s="41"/>
      <c r="AF1814" s="41"/>
      <c r="AG1814" s="41"/>
      <c r="AH1814" s="41"/>
      <c r="AI1814" s="41"/>
      <c r="AJ1814" s="41"/>
      <c r="AK1814" s="41"/>
      <c r="AL1814" s="41"/>
      <c r="AM1814" s="41"/>
      <c r="AN1814" s="41"/>
      <c r="AO1814" s="41"/>
      <c r="AP1814" s="41"/>
      <c r="AQ1814" s="41"/>
    </row>
    <row r="1815">
      <c r="A1815" s="41"/>
      <c r="B1815" s="41"/>
      <c r="C1815" s="41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  <c r="AA1815" s="41"/>
      <c r="AB1815" s="41"/>
      <c r="AC1815" s="41"/>
      <c r="AD1815" s="41"/>
      <c r="AE1815" s="41"/>
      <c r="AF1815" s="41"/>
      <c r="AG1815" s="41"/>
      <c r="AH1815" s="41"/>
      <c r="AI1815" s="41"/>
      <c r="AJ1815" s="41"/>
      <c r="AK1815" s="41"/>
      <c r="AL1815" s="41"/>
      <c r="AM1815" s="41"/>
      <c r="AN1815" s="41"/>
      <c r="AO1815" s="41"/>
      <c r="AP1815" s="41"/>
      <c r="AQ1815" s="41"/>
    </row>
    <row r="1816">
      <c r="A1816" s="41"/>
      <c r="B1816" s="41"/>
      <c r="C1816" s="41"/>
      <c r="D1816" s="41"/>
      <c r="E1816" s="41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  <c r="AA1816" s="41"/>
      <c r="AB1816" s="41"/>
      <c r="AC1816" s="41"/>
      <c r="AD1816" s="41"/>
      <c r="AE1816" s="41"/>
      <c r="AF1816" s="41"/>
      <c r="AG1816" s="41"/>
      <c r="AH1816" s="41"/>
      <c r="AI1816" s="41"/>
      <c r="AJ1816" s="41"/>
      <c r="AK1816" s="41"/>
      <c r="AL1816" s="41"/>
      <c r="AM1816" s="41"/>
      <c r="AN1816" s="41"/>
      <c r="AO1816" s="41"/>
      <c r="AP1816" s="41"/>
      <c r="AQ1816" s="41"/>
    </row>
    <row r="1817">
      <c r="A1817" s="41"/>
      <c r="B1817" s="41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41"/>
      <c r="Q1817" s="41"/>
      <c r="R1817" s="41"/>
      <c r="S1817" s="41"/>
      <c r="T1817" s="41"/>
      <c r="U1817" s="41"/>
      <c r="V1817" s="41"/>
      <c r="W1817" s="41"/>
      <c r="X1817" s="41"/>
      <c r="Y1817" s="41"/>
      <c r="Z1817" s="41"/>
      <c r="AA1817" s="41"/>
      <c r="AB1817" s="41"/>
      <c r="AC1817" s="41"/>
      <c r="AD1817" s="41"/>
      <c r="AE1817" s="41"/>
      <c r="AF1817" s="41"/>
      <c r="AG1817" s="41"/>
      <c r="AH1817" s="41"/>
      <c r="AI1817" s="41"/>
      <c r="AJ1817" s="41"/>
      <c r="AK1817" s="41"/>
      <c r="AL1817" s="41"/>
      <c r="AM1817" s="41"/>
      <c r="AN1817" s="41"/>
      <c r="AO1817" s="41"/>
      <c r="AP1817" s="41"/>
      <c r="AQ1817" s="41"/>
    </row>
    <row r="1818">
      <c r="A1818" s="41"/>
      <c r="B1818" s="41"/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41"/>
      <c r="Q1818" s="41"/>
      <c r="R1818" s="41"/>
      <c r="S1818" s="41"/>
      <c r="T1818" s="41"/>
      <c r="U1818" s="41"/>
      <c r="V1818" s="41"/>
      <c r="W1818" s="41"/>
      <c r="X1818" s="41"/>
      <c r="Y1818" s="41"/>
      <c r="Z1818" s="41"/>
      <c r="AA1818" s="41"/>
      <c r="AB1818" s="41"/>
      <c r="AC1818" s="41"/>
      <c r="AD1818" s="41"/>
      <c r="AE1818" s="41"/>
      <c r="AF1818" s="41"/>
      <c r="AG1818" s="41"/>
      <c r="AH1818" s="41"/>
      <c r="AI1818" s="41"/>
      <c r="AJ1818" s="41"/>
      <c r="AK1818" s="41"/>
      <c r="AL1818" s="41"/>
      <c r="AM1818" s="41"/>
      <c r="AN1818" s="41"/>
      <c r="AO1818" s="41"/>
      <c r="AP1818" s="41"/>
      <c r="AQ1818" s="41"/>
    </row>
    <row r="1819">
      <c r="A1819" s="41"/>
      <c r="B1819" s="41"/>
      <c r="C1819" s="41"/>
      <c r="D1819" s="41"/>
      <c r="E1819" s="41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41"/>
      <c r="Q1819" s="41"/>
      <c r="R1819" s="41"/>
      <c r="S1819" s="41"/>
      <c r="T1819" s="41"/>
      <c r="U1819" s="41"/>
      <c r="V1819" s="41"/>
      <c r="W1819" s="41"/>
      <c r="X1819" s="41"/>
      <c r="Y1819" s="41"/>
      <c r="Z1819" s="41"/>
      <c r="AA1819" s="41"/>
      <c r="AB1819" s="41"/>
      <c r="AC1819" s="41"/>
      <c r="AD1819" s="41"/>
      <c r="AE1819" s="41"/>
      <c r="AF1819" s="41"/>
      <c r="AG1819" s="41"/>
      <c r="AH1819" s="41"/>
      <c r="AI1819" s="41"/>
      <c r="AJ1819" s="41"/>
      <c r="AK1819" s="41"/>
      <c r="AL1819" s="41"/>
      <c r="AM1819" s="41"/>
      <c r="AN1819" s="41"/>
      <c r="AO1819" s="41"/>
      <c r="AP1819" s="41"/>
      <c r="AQ1819" s="41"/>
    </row>
    <row r="1820">
      <c r="A1820" s="41"/>
      <c r="B1820" s="41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41"/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  <c r="AA1820" s="41"/>
      <c r="AB1820" s="41"/>
      <c r="AC1820" s="41"/>
      <c r="AD1820" s="41"/>
      <c r="AE1820" s="41"/>
      <c r="AF1820" s="41"/>
      <c r="AG1820" s="41"/>
      <c r="AH1820" s="41"/>
      <c r="AI1820" s="41"/>
      <c r="AJ1820" s="41"/>
      <c r="AK1820" s="41"/>
      <c r="AL1820" s="41"/>
      <c r="AM1820" s="41"/>
      <c r="AN1820" s="41"/>
      <c r="AO1820" s="41"/>
      <c r="AP1820" s="41"/>
      <c r="AQ1820" s="41"/>
    </row>
    <row r="1821">
      <c r="A1821" s="41"/>
      <c r="B1821" s="41"/>
      <c r="C1821" s="41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1"/>
      <c r="X1821" s="41"/>
      <c r="Y1821" s="41"/>
      <c r="Z1821" s="41"/>
      <c r="AA1821" s="41"/>
      <c r="AB1821" s="41"/>
      <c r="AC1821" s="41"/>
      <c r="AD1821" s="41"/>
      <c r="AE1821" s="41"/>
      <c r="AF1821" s="41"/>
      <c r="AG1821" s="41"/>
      <c r="AH1821" s="41"/>
      <c r="AI1821" s="41"/>
      <c r="AJ1821" s="41"/>
      <c r="AK1821" s="41"/>
      <c r="AL1821" s="41"/>
      <c r="AM1821" s="41"/>
      <c r="AN1821" s="41"/>
      <c r="AO1821" s="41"/>
      <c r="AP1821" s="41"/>
      <c r="AQ1821" s="41"/>
    </row>
    <row r="1822">
      <c r="A1822" s="41"/>
      <c r="B1822" s="41"/>
      <c r="C1822" s="41"/>
      <c r="D1822" s="41"/>
      <c r="E1822" s="41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41"/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  <c r="AA1822" s="41"/>
      <c r="AB1822" s="41"/>
      <c r="AC1822" s="41"/>
      <c r="AD1822" s="41"/>
      <c r="AE1822" s="41"/>
      <c r="AF1822" s="41"/>
      <c r="AG1822" s="41"/>
      <c r="AH1822" s="41"/>
      <c r="AI1822" s="41"/>
      <c r="AJ1822" s="41"/>
      <c r="AK1822" s="41"/>
      <c r="AL1822" s="41"/>
      <c r="AM1822" s="41"/>
      <c r="AN1822" s="41"/>
      <c r="AO1822" s="41"/>
      <c r="AP1822" s="41"/>
      <c r="AQ1822" s="41"/>
    </row>
    <row r="1823">
      <c r="A1823" s="41"/>
      <c r="B1823" s="41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41"/>
      <c r="Q1823" s="41"/>
      <c r="R1823" s="41"/>
      <c r="S1823" s="41"/>
      <c r="T1823" s="41"/>
      <c r="U1823" s="41"/>
      <c r="V1823" s="41"/>
      <c r="W1823" s="41"/>
      <c r="X1823" s="41"/>
      <c r="Y1823" s="41"/>
      <c r="Z1823" s="41"/>
      <c r="AA1823" s="41"/>
      <c r="AB1823" s="41"/>
      <c r="AC1823" s="41"/>
      <c r="AD1823" s="41"/>
      <c r="AE1823" s="41"/>
      <c r="AF1823" s="41"/>
      <c r="AG1823" s="41"/>
      <c r="AH1823" s="41"/>
      <c r="AI1823" s="41"/>
      <c r="AJ1823" s="41"/>
      <c r="AK1823" s="41"/>
      <c r="AL1823" s="41"/>
      <c r="AM1823" s="41"/>
      <c r="AN1823" s="41"/>
      <c r="AO1823" s="41"/>
      <c r="AP1823" s="41"/>
      <c r="AQ1823" s="41"/>
    </row>
    <row r="1824">
      <c r="A1824" s="41"/>
      <c r="B1824" s="41"/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41"/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  <c r="AA1824" s="41"/>
      <c r="AB1824" s="41"/>
      <c r="AC1824" s="41"/>
      <c r="AD1824" s="41"/>
      <c r="AE1824" s="41"/>
      <c r="AF1824" s="41"/>
      <c r="AG1824" s="41"/>
      <c r="AH1824" s="41"/>
      <c r="AI1824" s="41"/>
      <c r="AJ1824" s="41"/>
      <c r="AK1824" s="41"/>
      <c r="AL1824" s="41"/>
      <c r="AM1824" s="41"/>
      <c r="AN1824" s="41"/>
      <c r="AO1824" s="41"/>
      <c r="AP1824" s="41"/>
      <c r="AQ1824" s="41"/>
    </row>
    <row r="1825">
      <c r="A1825" s="41"/>
      <c r="B1825" s="41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  <c r="Q1825" s="41"/>
      <c r="R1825" s="41"/>
      <c r="S1825" s="41"/>
      <c r="T1825" s="41"/>
      <c r="U1825" s="41"/>
      <c r="V1825" s="41"/>
      <c r="W1825" s="41"/>
      <c r="X1825" s="41"/>
      <c r="Y1825" s="41"/>
      <c r="Z1825" s="41"/>
      <c r="AA1825" s="41"/>
      <c r="AB1825" s="41"/>
      <c r="AC1825" s="41"/>
      <c r="AD1825" s="41"/>
      <c r="AE1825" s="41"/>
      <c r="AF1825" s="41"/>
      <c r="AG1825" s="41"/>
      <c r="AH1825" s="41"/>
      <c r="AI1825" s="41"/>
      <c r="AJ1825" s="41"/>
      <c r="AK1825" s="41"/>
      <c r="AL1825" s="41"/>
      <c r="AM1825" s="41"/>
      <c r="AN1825" s="41"/>
      <c r="AO1825" s="41"/>
      <c r="AP1825" s="41"/>
      <c r="AQ1825" s="41"/>
    </row>
    <row r="1826">
      <c r="A1826" s="41"/>
      <c r="B1826" s="41"/>
      <c r="C1826" s="41"/>
      <c r="D1826" s="41"/>
      <c r="E1826" s="41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41"/>
      <c r="Q1826" s="41"/>
      <c r="R1826" s="41"/>
      <c r="S1826" s="41"/>
      <c r="T1826" s="41"/>
      <c r="U1826" s="41"/>
      <c r="V1826" s="41"/>
      <c r="W1826" s="41"/>
      <c r="X1826" s="41"/>
      <c r="Y1826" s="41"/>
      <c r="Z1826" s="41"/>
      <c r="AA1826" s="41"/>
      <c r="AB1826" s="41"/>
      <c r="AC1826" s="41"/>
      <c r="AD1826" s="41"/>
      <c r="AE1826" s="41"/>
      <c r="AF1826" s="41"/>
      <c r="AG1826" s="41"/>
      <c r="AH1826" s="41"/>
      <c r="AI1826" s="41"/>
      <c r="AJ1826" s="41"/>
      <c r="AK1826" s="41"/>
      <c r="AL1826" s="41"/>
      <c r="AM1826" s="41"/>
      <c r="AN1826" s="41"/>
      <c r="AO1826" s="41"/>
      <c r="AP1826" s="41"/>
      <c r="AQ1826" s="41"/>
    </row>
    <row r="1827">
      <c r="A1827" s="41"/>
      <c r="B1827" s="41"/>
      <c r="C1827" s="41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41"/>
      <c r="Q1827" s="41"/>
      <c r="R1827" s="41"/>
      <c r="S1827" s="41"/>
      <c r="T1827" s="41"/>
      <c r="U1827" s="41"/>
      <c r="V1827" s="41"/>
      <c r="W1827" s="41"/>
      <c r="X1827" s="41"/>
      <c r="Y1827" s="41"/>
      <c r="Z1827" s="41"/>
      <c r="AA1827" s="41"/>
      <c r="AB1827" s="41"/>
      <c r="AC1827" s="41"/>
      <c r="AD1827" s="41"/>
      <c r="AE1827" s="41"/>
      <c r="AF1827" s="41"/>
      <c r="AG1827" s="41"/>
      <c r="AH1827" s="41"/>
      <c r="AI1827" s="41"/>
      <c r="AJ1827" s="41"/>
      <c r="AK1827" s="41"/>
      <c r="AL1827" s="41"/>
      <c r="AM1827" s="41"/>
      <c r="AN1827" s="41"/>
      <c r="AO1827" s="41"/>
      <c r="AP1827" s="41"/>
      <c r="AQ1827" s="41"/>
    </row>
    <row r="1828">
      <c r="A1828" s="41"/>
      <c r="B1828" s="41"/>
      <c r="C1828" s="41"/>
      <c r="D1828" s="41"/>
      <c r="E1828" s="41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41"/>
      <c r="X1828" s="41"/>
      <c r="Y1828" s="41"/>
      <c r="Z1828" s="41"/>
      <c r="AA1828" s="41"/>
      <c r="AB1828" s="41"/>
      <c r="AC1828" s="41"/>
      <c r="AD1828" s="41"/>
      <c r="AE1828" s="41"/>
      <c r="AF1828" s="41"/>
      <c r="AG1828" s="41"/>
      <c r="AH1828" s="41"/>
      <c r="AI1828" s="41"/>
      <c r="AJ1828" s="41"/>
      <c r="AK1828" s="41"/>
      <c r="AL1828" s="41"/>
      <c r="AM1828" s="41"/>
      <c r="AN1828" s="41"/>
      <c r="AO1828" s="41"/>
      <c r="AP1828" s="41"/>
      <c r="AQ1828" s="41"/>
    </row>
    <row r="1829">
      <c r="A1829" s="41"/>
      <c r="B1829" s="41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41"/>
      <c r="Q1829" s="41"/>
      <c r="R1829" s="41"/>
      <c r="S1829" s="41"/>
      <c r="T1829" s="41"/>
      <c r="U1829" s="41"/>
      <c r="V1829" s="41"/>
      <c r="W1829" s="41"/>
      <c r="X1829" s="41"/>
      <c r="Y1829" s="41"/>
      <c r="Z1829" s="41"/>
      <c r="AA1829" s="41"/>
      <c r="AB1829" s="41"/>
      <c r="AC1829" s="41"/>
      <c r="AD1829" s="41"/>
      <c r="AE1829" s="41"/>
      <c r="AF1829" s="41"/>
      <c r="AG1829" s="41"/>
      <c r="AH1829" s="41"/>
      <c r="AI1829" s="41"/>
      <c r="AJ1829" s="41"/>
      <c r="AK1829" s="41"/>
      <c r="AL1829" s="41"/>
      <c r="AM1829" s="41"/>
      <c r="AN1829" s="41"/>
      <c r="AO1829" s="41"/>
      <c r="AP1829" s="41"/>
      <c r="AQ1829" s="41"/>
    </row>
    <row r="1830">
      <c r="A1830" s="41"/>
      <c r="B1830" s="41"/>
      <c r="C1830" s="41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41"/>
      <c r="Q1830" s="41"/>
      <c r="R1830" s="41"/>
      <c r="S1830" s="41"/>
      <c r="T1830" s="41"/>
      <c r="U1830" s="41"/>
      <c r="V1830" s="41"/>
      <c r="W1830" s="41"/>
      <c r="X1830" s="41"/>
      <c r="Y1830" s="41"/>
      <c r="Z1830" s="41"/>
      <c r="AA1830" s="41"/>
      <c r="AB1830" s="41"/>
      <c r="AC1830" s="41"/>
      <c r="AD1830" s="41"/>
      <c r="AE1830" s="41"/>
      <c r="AF1830" s="41"/>
      <c r="AG1830" s="41"/>
      <c r="AH1830" s="41"/>
      <c r="AI1830" s="41"/>
      <c r="AJ1830" s="41"/>
      <c r="AK1830" s="41"/>
      <c r="AL1830" s="41"/>
      <c r="AM1830" s="41"/>
      <c r="AN1830" s="41"/>
      <c r="AO1830" s="41"/>
      <c r="AP1830" s="41"/>
      <c r="AQ1830" s="41"/>
    </row>
    <row r="1831">
      <c r="A1831" s="41"/>
      <c r="B1831" s="41"/>
      <c r="C1831" s="41"/>
      <c r="D1831" s="41"/>
      <c r="E1831" s="41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41"/>
      <c r="Q1831" s="41"/>
      <c r="R1831" s="41"/>
      <c r="S1831" s="41"/>
      <c r="T1831" s="41"/>
      <c r="U1831" s="41"/>
      <c r="V1831" s="41"/>
      <c r="W1831" s="41"/>
      <c r="X1831" s="41"/>
      <c r="Y1831" s="41"/>
      <c r="Z1831" s="41"/>
      <c r="AA1831" s="41"/>
      <c r="AB1831" s="41"/>
      <c r="AC1831" s="41"/>
      <c r="AD1831" s="41"/>
      <c r="AE1831" s="41"/>
      <c r="AF1831" s="41"/>
      <c r="AG1831" s="41"/>
      <c r="AH1831" s="41"/>
      <c r="AI1831" s="41"/>
      <c r="AJ1831" s="41"/>
      <c r="AK1831" s="41"/>
      <c r="AL1831" s="41"/>
      <c r="AM1831" s="41"/>
      <c r="AN1831" s="41"/>
      <c r="AO1831" s="41"/>
      <c r="AP1831" s="41"/>
      <c r="AQ1831" s="41"/>
    </row>
    <row r="1832">
      <c r="A1832" s="41"/>
      <c r="B1832" s="41"/>
      <c r="C1832" s="41"/>
      <c r="D1832" s="41"/>
      <c r="E1832" s="41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41"/>
      <c r="Q1832" s="41"/>
      <c r="R1832" s="41"/>
      <c r="S1832" s="41"/>
      <c r="T1832" s="41"/>
      <c r="U1832" s="41"/>
      <c r="V1832" s="41"/>
      <c r="W1832" s="41"/>
      <c r="X1832" s="41"/>
      <c r="Y1832" s="41"/>
      <c r="Z1832" s="41"/>
      <c r="AA1832" s="41"/>
      <c r="AB1832" s="41"/>
      <c r="AC1832" s="41"/>
      <c r="AD1832" s="41"/>
      <c r="AE1832" s="41"/>
      <c r="AF1832" s="41"/>
      <c r="AG1832" s="41"/>
      <c r="AH1832" s="41"/>
      <c r="AI1832" s="41"/>
      <c r="AJ1832" s="41"/>
      <c r="AK1832" s="41"/>
      <c r="AL1832" s="41"/>
      <c r="AM1832" s="41"/>
      <c r="AN1832" s="41"/>
      <c r="AO1832" s="41"/>
      <c r="AP1832" s="41"/>
      <c r="AQ1832" s="41"/>
    </row>
    <row r="1833">
      <c r="A1833" s="41"/>
      <c r="B1833" s="41"/>
      <c r="C1833" s="41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  <c r="AA1833" s="41"/>
      <c r="AB1833" s="41"/>
      <c r="AC1833" s="41"/>
      <c r="AD1833" s="41"/>
      <c r="AE1833" s="41"/>
      <c r="AF1833" s="41"/>
      <c r="AG1833" s="41"/>
      <c r="AH1833" s="41"/>
      <c r="AI1833" s="41"/>
      <c r="AJ1833" s="41"/>
      <c r="AK1833" s="41"/>
      <c r="AL1833" s="41"/>
      <c r="AM1833" s="41"/>
      <c r="AN1833" s="41"/>
      <c r="AO1833" s="41"/>
      <c r="AP1833" s="41"/>
      <c r="AQ1833" s="41"/>
    </row>
    <row r="1834">
      <c r="A1834" s="41"/>
      <c r="B1834" s="41"/>
      <c r="C1834" s="41"/>
      <c r="D1834" s="41"/>
      <c r="E1834" s="41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  <c r="AA1834" s="41"/>
      <c r="AB1834" s="41"/>
      <c r="AC1834" s="41"/>
      <c r="AD1834" s="41"/>
      <c r="AE1834" s="41"/>
      <c r="AF1834" s="41"/>
      <c r="AG1834" s="41"/>
      <c r="AH1834" s="41"/>
      <c r="AI1834" s="41"/>
      <c r="AJ1834" s="41"/>
      <c r="AK1834" s="41"/>
      <c r="AL1834" s="41"/>
      <c r="AM1834" s="41"/>
      <c r="AN1834" s="41"/>
      <c r="AO1834" s="41"/>
      <c r="AP1834" s="41"/>
      <c r="AQ1834" s="41"/>
    </row>
    <row r="1835">
      <c r="A1835" s="41"/>
      <c r="B1835" s="41"/>
      <c r="C1835" s="41"/>
      <c r="D1835" s="41"/>
      <c r="E1835" s="41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41"/>
      <c r="Q1835" s="41"/>
      <c r="R1835" s="41"/>
      <c r="S1835" s="41"/>
      <c r="T1835" s="41"/>
      <c r="U1835" s="41"/>
      <c r="V1835" s="41"/>
      <c r="W1835" s="41"/>
      <c r="X1835" s="41"/>
      <c r="Y1835" s="41"/>
      <c r="Z1835" s="41"/>
      <c r="AA1835" s="41"/>
      <c r="AB1835" s="41"/>
      <c r="AC1835" s="41"/>
      <c r="AD1835" s="41"/>
      <c r="AE1835" s="41"/>
      <c r="AF1835" s="41"/>
      <c r="AG1835" s="41"/>
      <c r="AH1835" s="41"/>
      <c r="AI1835" s="41"/>
      <c r="AJ1835" s="41"/>
      <c r="AK1835" s="41"/>
      <c r="AL1835" s="41"/>
      <c r="AM1835" s="41"/>
      <c r="AN1835" s="41"/>
      <c r="AO1835" s="41"/>
      <c r="AP1835" s="41"/>
      <c r="AQ1835" s="41"/>
    </row>
    <row r="1836">
      <c r="A1836" s="41"/>
      <c r="B1836" s="41"/>
      <c r="C1836" s="41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41"/>
      <c r="Q1836" s="41"/>
      <c r="R1836" s="41"/>
      <c r="S1836" s="41"/>
      <c r="T1836" s="41"/>
      <c r="U1836" s="41"/>
      <c r="V1836" s="41"/>
      <c r="W1836" s="41"/>
      <c r="X1836" s="41"/>
      <c r="Y1836" s="41"/>
      <c r="Z1836" s="41"/>
      <c r="AA1836" s="41"/>
      <c r="AB1836" s="41"/>
      <c r="AC1836" s="41"/>
      <c r="AD1836" s="41"/>
      <c r="AE1836" s="41"/>
      <c r="AF1836" s="41"/>
      <c r="AG1836" s="41"/>
      <c r="AH1836" s="41"/>
      <c r="AI1836" s="41"/>
      <c r="AJ1836" s="41"/>
      <c r="AK1836" s="41"/>
      <c r="AL1836" s="41"/>
      <c r="AM1836" s="41"/>
      <c r="AN1836" s="41"/>
      <c r="AO1836" s="41"/>
      <c r="AP1836" s="41"/>
      <c r="AQ1836" s="41"/>
    </row>
    <row r="1837">
      <c r="A1837" s="41"/>
      <c r="B1837" s="41"/>
      <c r="C1837" s="41"/>
      <c r="D1837" s="41"/>
      <c r="E1837" s="41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41"/>
      <c r="Q1837" s="41"/>
      <c r="R1837" s="41"/>
      <c r="S1837" s="41"/>
      <c r="T1837" s="41"/>
      <c r="U1837" s="41"/>
      <c r="V1837" s="41"/>
      <c r="W1837" s="41"/>
      <c r="X1837" s="41"/>
      <c r="Y1837" s="41"/>
      <c r="Z1837" s="41"/>
      <c r="AA1837" s="41"/>
      <c r="AB1837" s="41"/>
      <c r="AC1837" s="41"/>
      <c r="AD1837" s="41"/>
      <c r="AE1837" s="41"/>
      <c r="AF1837" s="41"/>
      <c r="AG1837" s="41"/>
      <c r="AH1837" s="41"/>
      <c r="AI1837" s="41"/>
      <c r="AJ1837" s="41"/>
      <c r="AK1837" s="41"/>
      <c r="AL1837" s="41"/>
      <c r="AM1837" s="41"/>
      <c r="AN1837" s="41"/>
      <c r="AO1837" s="41"/>
      <c r="AP1837" s="41"/>
      <c r="AQ1837" s="41"/>
    </row>
    <row r="1838">
      <c r="A1838" s="41"/>
      <c r="B1838" s="41"/>
      <c r="C1838" s="41"/>
      <c r="D1838" s="41"/>
      <c r="E1838" s="41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41"/>
      <c r="Q1838" s="41"/>
      <c r="R1838" s="41"/>
      <c r="S1838" s="41"/>
      <c r="T1838" s="41"/>
      <c r="U1838" s="41"/>
      <c r="V1838" s="41"/>
      <c r="W1838" s="41"/>
      <c r="X1838" s="41"/>
      <c r="Y1838" s="41"/>
      <c r="Z1838" s="41"/>
      <c r="AA1838" s="41"/>
      <c r="AB1838" s="41"/>
      <c r="AC1838" s="41"/>
      <c r="AD1838" s="41"/>
      <c r="AE1838" s="41"/>
      <c r="AF1838" s="41"/>
      <c r="AG1838" s="41"/>
      <c r="AH1838" s="41"/>
      <c r="AI1838" s="41"/>
      <c r="AJ1838" s="41"/>
      <c r="AK1838" s="41"/>
      <c r="AL1838" s="41"/>
      <c r="AM1838" s="41"/>
      <c r="AN1838" s="41"/>
      <c r="AO1838" s="41"/>
      <c r="AP1838" s="41"/>
      <c r="AQ1838" s="41"/>
    </row>
    <row r="1839">
      <c r="A1839" s="41"/>
      <c r="B1839" s="41"/>
      <c r="C1839" s="41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1"/>
      <c r="X1839" s="41"/>
      <c r="Y1839" s="41"/>
      <c r="Z1839" s="41"/>
      <c r="AA1839" s="41"/>
      <c r="AB1839" s="41"/>
      <c r="AC1839" s="41"/>
      <c r="AD1839" s="41"/>
      <c r="AE1839" s="41"/>
      <c r="AF1839" s="41"/>
      <c r="AG1839" s="41"/>
      <c r="AH1839" s="41"/>
      <c r="AI1839" s="41"/>
      <c r="AJ1839" s="41"/>
      <c r="AK1839" s="41"/>
      <c r="AL1839" s="41"/>
      <c r="AM1839" s="41"/>
      <c r="AN1839" s="41"/>
      <c r="AO1839" s="41"/>
      <c r="AP1839" s="41"/>
      <c r="AQ1839" s="41"/>
    </row>
    <row r="1840">
      <c r="A1840" s="41"/>
      <c r="B1840" s="41"/>
      <c r="C1840" s="41"/>
      <c r="D1840" s="41"/>
      <c r="E1840" s="41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41"/>
      <c r="Q1840" s="41"/>
      <c r="R1840" s="41"/>
      <c r="S1840" s="41"/>
      <c r="T1840" s="41"/>
      <c r="U1840" s="41"/>
      <c r="V1840" s="41"/>
      <c r="W1840" s="41"/>
      <c r="X1840" s="41"/>
      <c r="Y1840" s="41"/>
      <c r="Z1840" s="41"/>
      <c r="AA1840" s="41"/>
      <c r="AB1840" s="41"/>
      <c r="AC1840" s="41"/>
      <c r="AD1840" s="41"/>
      <c r="AE1840" s="41"/>
      <c r="AF1840" s="41"/>
      <c r="AG1840" s="41"/>
      <c r="AH1840" s="41"/>
      <c r="AI1840" s="41"/>
      <c r="AJ1840" s="41"/>
      <c r="AK1840" s="41"/>
      <c r="AL1840" s="41"/>
      <c r="AM1840" s="41"/>
      <c r="AN1840" s="41"/>
      <c r="AO1840" s="41"/>
      <c r="AP1840" s="41"/>
      <c r="AQ1840" s="41"/>
    </row>
    <row r="1841">
      <c r="A1841" s="41"/>
      <c r="B1841" s="41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1"/>
      <c r="Q1841" s="41"/>
      <c r="R1841" s="41"/>
      <c r="S1841" s="41"/>
      <c r="T1841" s="41"/>
      <c r="U1841" s="41"/>
      <c r="V1841" s="41"/>
      <c r="W1841" s="41"/>
      <c r="X1841" s="41"/>
      <c r="Y1841" s="41"/>
      <c r="Z1841" s="41"/>
      <c r="AA1841" s="41"/>
      <c r="AB1841" s="41"/>
      <c r="AC1841" s="41"/>
      <c r="AD1841" s="41"/>
      <c r="AE1841" s="41"/>
      <c r="AF1841" s="41"/>
      <c r="AG1841" s="41"/>
      <c r="AH1841" s="41"/>
      <c r="AI1841" s="41"/>
      <c r="AJ1841" s="41"/>
      <c r="AK1841" s="41"/>
      <c r="AL1841" s="41"/>
      <c r="AM1841" s="41"/>
      <c r="AN1841" s="41"/>
      <c r="AO1841" s="41"/>
      <c r="AP1841" s="41"/>
      <c r="AQ1841" s="41"/>
    </row>
    <row r="1842">
      <c r="A1842" s="41"/>
      <c r="B1842" s="41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1"/>
      <c r="Q1842" s="41"/>
      <c r="R1842" s="41"/>
      <c r="S1842" s="41"/>
      <c r="T1842" s="41"/>
      <c r="U1842" s="41"/>
      <c r="V1842" s="41"/>
      <c r="W1842" s="41"/>
      <c r="X1842" s="41"/>
      <c r="Y1842" s="41"/>
      <c r="Z1842" s="41"/>
      <c r="AA1842" s="41"/>
      <c r="AB1842" s="41"/>
      <c r="AC1842" s="41"/>
      <c r="AD1842" s="41"/>
      <c r="AE1842" s="41"/>
      <c r="AF1842" s="41"/>
      <c r="AG1842" s="41"/>
      <c r="AH1842" s="41"/>
      <c r="AI1842" s="41"/>
      <c r="AJ1842" s="41"/>
      <c r="AK1842" s="41"/>
      <c r="AL1842" s="41"/>
      <c r="AM1842" s="41"/>
      <c r="AN1842" s="41"/>
      <c r="AO1842" s="41"/>
      <c r="AP1842" s="41"/>
      <c r="AQ1842" s="41"/>
    </row>
    <row r="1843">
      <c r="A1843" s="41"/>
      <c r="B1843" s="41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1"/>
      <c r="Q1843" s="41"/>
      <c r="R1843" s="41"/>
      <c r="S1843" s="41"/>
      <c r="T1843" s="41"/>
      <c r="U1843" s="41"/>
      <c r="V1843" s="41"/>
      <c r="W1843" s="41"/>
      <c r="X1843" s="41"/>
      <c r="Y1843" s="41"/>
      <c r="Z1843" s="41"/>
      <c r="AA1843" s="41"/>
      <c r="AB1843" s="41"/>
      <c r="AC1843" s="41"/>
      <c r="AD1843" s="41"/>
      <c r="AE1843" s="41"/>
      <c r="AF1843" s="41"/>
      <c r="AG1843" s="41"/>
      <c r="AH1843" s="41"/>
      <c r="AI1843" s="41"/>
      <c r="AJ1843" s="41"/>
      <c r="AK1843" s="41"/>
      <c r="AL1843" s="41"/>
      <c r="AM1843" s="41"/>
      <c r="AN1843" s="41"/>
      <c r="AO1843" s="41"/>
      <c r="AP1843" s="41"/>
      <c r="AQ1843" s="41"/>
    </row>
    <row r="1844">
      <c r="A1844" s="41"/>
      <c r="B1844" s="41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1"/>
      <c r="Q1844" s="41"/>
      <c r="R1844" s="41"/>
      <c r="S1844" s="41"/>
      <c r="T1844" s="41"/>
      <c r="U1844" s="41"/>
      <c r="V1844" s="41"/>
      <c r="W1844" s="41"/>
      <c r="X1844" s="41"/>
      <c r="Y1844" s="41"/>
      <c r="Z1844" s="41"/>
      <c r="AA1844" s="41"/>
      <c r="AB1844" s="41"/>
      <c r="AC1844" s="41"/>
      <c r="AD1844" s="41"/>
      <c r="AE1844" s="41"/>
      <c r="AF1844" s="41"/>
      <c r="AG1844" s="41"/>
      <c r="AH1844" s="41"/>
      <c r="AI1844" s="41"/>
      <c r="AJ1844" s="41"/>
      <c r="AK1844" s="41"/>
      <c r="AL1844" s="41"/>
      <c r="AM1844" s="41"/>
      <c r="AN1844" s="41"/>
      <c r="AO1844" s="41"/>
      <c r="AP1844" s="41"/>
      <c r="AQ1844" s="41"/>
    </row>
    <row r="1845">
      <c r="A1845" s="41"/>
      <c r="B1845" s="41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1"/>
      <c r="Q1845" s="41"/>
      <c r="R1845" s="41"/>
      <c r="S1845" s="41"/>
      <c r="T1845" s="41"/>
      <c r="U1845" s="41"/>
      <c r="V1845" s="41"/>
      <c r="W1845" s="41"/>
      <c r="X1845" s="41"/>
      <c r="Y1845" s="41"/>
      <c r="Z1845" s="41"/>
      <c r="AA1845" s="41"/>
      <c r="AB1845" s="41"/>
      <c r="AC1845" s="41"/>
      <c r="AD1845" s="41"/>
      <c r="AE1845" s="41"/>
      <c r="AF1845" s="41"/>
      <c r="AG1845" s="41"/>
      <c r="AH1845" s="41"/>
      <c r="AI1845" s="41"/>
      <c r="AJ1845" s="41"/>
      <c r="AK1845" s="41"/>
      <c r="AL1845" s="41"/>
      <c r="AM1845" s="41"/>
      <c r="AN1845" s="41"/>
      <c r="AO1845" s="41"/>
      <c r="AP1845" s="41"/>
      <c r="AQ1845" s="41"/>
    </row>
    <row r="1846">
      <c r="A1846" s="41"/>
      <c r="B1846" s="41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1"/>
      <c r="Q1846" s="41"/>
      <c r="R1846" s="41"/>
      <c r="S1846" s="41"/>
      <c r="T1846" s="41"/>
      <c r="U1846" s="41"/>
      <c r="V1846" s="41"/>
      <c r="W1846" s="41"/>
      <c r="X1846" s="41"/>
      <c r="Y1846" s="41"/>
      <c r="Z1846" s="41"/>
      <c r="AA1846" s="41"/>
      <c r="AB1846" s="41"/>
      <c r="AC1846" s="41"/>
      <c r="AD1846" s="41"/>
      <c r="AE1846" s="41"/>
      <c r="AF1846" s="41"/>
      <c r="AG1846" s="41"/>
      <c r="AH1846" s="41"/>
      <c r="AI1846" s="41"/>
      <c r="AJ1846" s="41"/>
      <c r="AK1846" s="41"/>
      <c r="AL1846" s="41"/>
      <c r="AM1846" s="41"/>
      <c r="AN1846" s="41"/>
      <c r="AO1846" s="41"/>
      <c r="AP1846" s="41"/>
      <c r="AQ1846" s="41"/>
    </row>
    <row r="1847">
      <c r="A1847" s="41"/>
      <c r="B1847" s="41"/>
      <c r="C1847" s="41"/>
      <c r="D1847" s="41"/>
      <c r="E1847" s="41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41"/>
      <c r="Q1847" s="41"/>
      <c r="R1847" s="41"/>
      <c r="S1847" s="41"/>
      <c r="T1847" s="41"/>
      <c r="U1847" s="41"/>
      <c r="V1847" s="41"/>
      <c r="W1847" s="41"/>
      <c r="X1847" s="41"/>
      <c r="Y1847" s="41"/>
      <c r="Z1847" s="41"/>
      <c r="AA1847" s="41"/>
      <c r="AB1847" s="41"/>
      <c r="AC1847" s="41"/>
      <c r="AD1847" s="41"/>
      <c r="AE1847" s="41"/>
      <c r="AF1847" s="41"/>
      <c r="AG1847" s="41"/>
      <c r="AH1847" s="41"/>
      <c r="AI1847" s="41"/>
      <c r="AJ1847" s="41"/>
      <c r="AK1847" s="41"/>
      <c r="AL1847" s="41"/>
      <c r="AM1847" s="41"/>
      <c r="AN1847" s="41"/>
      <c r="AO1847" s="41"/>
      <c r="AP1847" s="41"/>
      <c r="AQ1847" s="41"/>
    </row>
    <row r="1848">
      <c r="A1848" s="41"/>
      <c r="B1848" s="41"/>
      <c r="C1848" s="41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41"/>
      <c r="Q1848" s="41"/>
      <c r="R1848" s="41"/>
      <c r="S1848" s="41"/>
      <c r="T1848" s="41"/>
      <c r="U1848" s="41"/>
      <c r="V1848" s="41"/>
      <c r="W1848" s="41"/>
      <c r="X1848" s="41"/>
      <c r="Y1848" s="41"/>
      <c r="Z1848" s="41"/>
      <c r="AA1848" s="41"/>
      <c r="AB1848" s="41"/>
      <c r="AC1848" s="41"/>
      <c r="AD1848" s="41"/>
      <c r="AE1848" s="41"/>
      <c r="AF1848" s="41"/>
      <c r="AG1848" s="41"/>
      <c r="AH1848" s="41"/>
      <c r="AI1848" s="41"/>
      <c r="AJ1848" s="41"/>
      <c r="AK1848" s="41"/>
      <c r="AL1848" s="41"/>
      <c r="AM1848" s="41"/>
      <c r="AN1848" s="41"/>
      <c r="AO1848" s="41"/>
      <c r="AP1848" s="41"/>
      <c r="AQ1848" s="41"/>
    </row>
    <row r="1849">
      <c r="A1849" s="41"/>
      <c r="B1849" s="41"/>
      <c r="C1849" s="41"/>
      <c r="D1849" s="41"/>
      <c r="E1849" s="41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41"/>
      <c r="Q1849" s="41"/>
      <c r="R1849" s="41"/>
      <c r="S1849" s="41"/>
      <c r="T1849" s="41"/>
      <c r="U1849" s="41"/>
      <c r="V1849" s="41"/>
      <c r="W1849" s="41"/>
      <c r="X1849" s="41"/>
      <c r="Y1849" s="41"/>
      <c r="Z1849" s="41"/>
      <c r="AA1849" s="41"/>
      <c r="AB1849" s="41"/>
      <c r="AC1849" s="41"/>
      <c r="AD1849" s="41"/>
      <c r="AE1849" s="41"/>
      <c r="AF1849" s="41"/>
      <c r="AG1849" s="41"/>
      <c r="AH1849" s="41"/>
      <c r="AI1849" s="41"/>
      <c r="AJ1849" s="41"/>
      <c r="AK1849" s="41"/>
      <c r="AL1849" s="41"/>
      <c r="AM1849" s="41"/>
      <c r="AN1849" s="41"/>
      <c r="AO1849" s="41"/>
      <c r="AP1849" s="41"/>
      <c r="AQ1849" s="41"/>
    </row>
    <row r="1850">
      <c r="A1850" s="41"/>
      <c r="B1850" s="41"/>
      <c r="C1850" s="41"/>
      <c r="D1850" s="41"/>
      <c r="E1850" s="41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41"/>
      <c r="Q1850" s="41"/>
      <c r="R1850" s="41"/>
      <c r="S1850" s="41"/>
      <c r="T1850" s="41"/>
      <c r="U1850" s="41"/>
      <c r="V1850" s="41"/>
      <c r="W1850" s="41"/>
      <c r="X1850" s="41"/>
      <c r="Y1850" s="41"/>
      <c r="Z1850" s="41"/>
      <c r="AA1850" s="41"/>
      <c r="AB1850" s="41"/>
      <c r="AC1850" s="41"/>
      <c r="AD1850" s="41"/>
      <c r="AE1850" s="41"/>
      <c r="AF1850" s="41"/>
      <c r="AG1850" s="41"/>
      <c r="AH1850" s="41"/>
      <c r="AI1850" s="41"/>
      <c r="AJ1850" s="41"/>
      <c r="AK1850" s="41"/>
      <c r="AL1850" s="41"/>
      <c r="AM1850" s="41"/>
      <c r="AN1850" s="41"/>
      <c r="AO1850" s="41"/>
      <c r="AP1850" s="41"/>
      <c r="AQ1850" s="41"/>
    </row>
    <row r="1851">
      <c r="A1851" s="41"/>
      <c r="B1851" s="41"/>
      <c r="C1851" s="41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  <c r="AA1851" s="41"/>
      <c r="AB1851" s="41"/>
      <c r="AC1851" s="41"/>
      <c r="AD1851" s="41"/>
      <c r="AE1851" s="41"/>
      <c r="AF1851" s="41"/>
      <c r="AG1851" s="41"/>
      <c r="AH1851" s="41"/>
      <c r="AI1851" s="41"/>
      <c r="AJ1851" s="41"/>
      <c r="AK1851" s="41"/>
      <c r="AL1851" s="41"/>
      <c r="AM1851" s="41"/>
      <c r="AN1851" s="41"/>
      <c r="AO1851" s="41"/>
      <c r="AP1851" s="41"/>
      <c r="AQ1851" s="41"/>
    </row>
    <row r="1852">
      <c r="A1852" s="41"/>
      <c r="B1852" s="41"/>
      <c r="C1852" s="41"/>
      <c r="D1852" s="41"/>
      <c r="E1852" s="41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  <c r="AA1852" s="41"/>
      <c r="AB1852" s="41"/>
      <c r="AC1852" s="41"/>
      <c r="AD1852" s="41"/>
      <c r="AE1852" s="41"/>
      <c r="AF1852" s="41"/>
      <c r="AG1852" s="41"/>
      <c r="AH1852" s="41"/>
      <c r="AI1852" s="41"/>
      <c r="AJ1852" s="41"/>
      <c r="AK1852" s="41"/>
      <c r="AL1852" s="41"/>
      <c r="AM1852" s="41"/>
      <c r="AN1852" s="41"/>
      <c r="AO1852" s="41"/>
      <c r="AP1852" s="41"/>
      <c r="AQ1852" s="41"/>
    </row>
    <row r="1853">
      <c r="A1853" s="41"/>
      <c r="B1853" s="41"/>
      <c r="C1853" s="41"/>
      <c r="D1853" s="41"/>
      <c r="E1853" s="41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41"/>
      <c r="Q1853" s="41"/>
      <c r="R1853" s="41"/>
      <c r="S1853" s="41"/>
      <c r="T1853" s="41"/>
      <c r="U1853" s="41"/>
      <c r="V1853" s="41"/>
      <c r="W1853" s="41"/>
      <c r="X1853" s="41"/>
      <c r="Y1853" s="41"/>
      <c r="Z1853" s="41"/>
      <c r="AA1853" s="41"/>
      <c r="AB1853" s="41"/>
      <c r="AC1853" s="41"/>
      <c r="AD1853" s="41"/>
      <c r="AE1853" s="41"/>
      <c r="AF1853" s="41"/>
      <c r="AG1853" s="41"/>
      <c r="AH1853" s="41"/>
      <c r="AI1853" s="41"/>
      <c r="AJ1853" s="41"/>
      <c r="AK1853" s="41"/>
      <c r="AL1853" s="41"/>
      <c r="AM1853" s="41"/>
      <c r="AN1853" s="41"/>
      <c r="AO1853" s="41"/>
      <c r="AP1853" s="41"/>
      <c r="AQ1853" s="41"/>
    </row>
    <row r="1854">
      <c r="A1854" s="41"/>
      <c r="B1854" s="41"/>
      <c r="C1854" s="41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41"/>
      <c r="Q1854" s="41"/>
      <c r="R1854" s="41"/>
      <c r="S1854" s="41"/>
      <c r="T1854" s="41"/>
      <c r="U1854" s="41"/>
      <c r="V1854" s="41"/>
      <c r="W1854" s="41"/>
      <c r="X1854" s="41"/>
      <c r="Y1854" s="41"/>
      <c r="Z1854" s="41"/>
      <c r="AA1854" s="41"/>
      <c r="AB1854" s="41"/>
      <c r="AC1854" s="41"/>
      <c r="AD1854" s="41"/>
      <c r="AE1854" s="41"/>
      <c r="AF1854" s="41"/>
      <c r="AG1854" s="41"/>
      <c r="AH1854" s="41"/>
      <c r="AI1854" s="41"/>
      <c r="AJ1854" s="41"/>
      <c r="AK1854" s="41"/>
      <c r="AL1854" s="41"/>
      <c r="AM1854" s="41"/>
      <c r="AN1854" s="41"/>
      <c r="AO1854" s="41"/>
      <c r="AP1854" s="41"/>
      <c r="AQ1854" s="41"/>
    </row>
    <row r="1855">
      <c r="A1855" s="41"/>
      <c r="B1855" s="41"/>
      <c r="C1855" s="41"/>
      <c r="D1855" s="41"/>
      <c r="E1855" s="41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41"/>
      <c r="Q1855" s="41"/>
      <c r="R1855" s="41"/>
      <c r="S1855" s="41"/>
      <c r="T1855" s="41"/>
      <c r="U1855" s="41"/>
      <c r="V1855" s="41"/>
      <c r="W1855" s="41"/>
      <c r="X1855" s="41"/>
      <c r="Y1855" s="41"/>
      <c r="Z1855" s="41"/>
      <c r="AA1855" s="41"/>
      <c r="AB1855" s="41"/>
      <c r="AC1855" s="41"/>
      <c r="AD1855" s="41"/>
      <c r="AE1855" s="41"/>
      <c r="AF1855" s="41"/>
      <c r="AG1855" s="41"/>
      <c r="AH1855" s="41"/>
      <c r="AI1855" s="41"/>
      <c r="AJ1855" s="41"/>
      <c r="AK1855" s="41"/>
      <c r="AL1855" s="41"/>
      <c r="AM1855" s="41"/>
      <c r="AN1855" s="41"/>
      <c r="AO1855" s="41"/>
      <c r="AP1855" s="41"/>
      <c r="AQ1855" s="41"/>
    </row>
    <row r="1856">
      <c r="A1856" s="41"/>
      <c r="B1856" s="41"/>
      <c r="C1856" s="41"/>
      <c r="D1856" s="41"/>
      <c r="E1856" s="41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41"/>
      <c r="Q1856" s="41"/>
      <c r="R1856" s="41"/>
      <c r="S1856" s="41"/>
      <c r="T1856" s="41"/>
      <c r="U1856" s="41"/>
      <c r="V1856" s="41"/>
      <c r="W1856" s="41"/>
      <c r="X1856" s="41"/>
      <c r="Y1856" s="41"/>
      <c r="Z1856" s="41"/>
      <c r="AA1856" s="41"/>
      <c r="AB1856" s="41"/>
      <c r="AC1856" s="41"/>
      <c r="AD1856" s="41"/>
      <c r="AE1856" s="41"/>
      <c r="AF1856" s="41"/>
      <c r="AG1856" s="41"/>
      <c r="AH1856" s="41"/>
      <c r="AI1856" s="41"/>
      <c r="AJ1856" s="41"/>
      <c r="AK1856" s="41"/>
      <c r="AL1856" s="41"/>
      <c r="AM1856" s="41"/>
      <c r="AN1856" s="41"/>
      <c r="AO1856" s="41"/>
      <c r="AP1856" s="41"/>
      <c r="AQ1856" s="41"/>
    </row>
    <row r="1857">
      <c r="A1857" s="41"/>
      <c r="B1857" s="41"/>
      <c r="C1857" s="41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1"/>
      <c r="X1857" s="41"/>
      <c r="Y1857" s="41"/>
      <c r="Z1857" s="41"/>
      <c r="AA1857" s="41"/>
      <c r="AB1857" s="41"/>
      <c r="AC1857" s="41"/>
      <c r="AD1857" s="41"/>
      <c r="AE1857" s="41"/>
      <c r="AF1857" s="41"/>
      <c r="AG1857" s="41"/>
      <c r="AH1857" s="41"/>
      <c r="AI1857" s="41"/>
      <c r="AJ1857" s="41"/>
      <c r="AK1857" s="41"/>
      <c r="AL1857" s="41"/>
      <c r="AM1857" s="41"/>
      <c r="AN1857" s="41"/>
      <c r="AO1857" s="41"/>
      <c r="AP1857" s="41"/>
      <c r="AQ1857" s="41"/>
    </row>
    <row r="1858">
      <c r="A1858" s="41"/>
      <c r="B1858" s="41"/>
      <c r="C1858" s="41"/>
      <c r="D1858" s="41"/>
      <c r="E1858" s="41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41"/>
      <c r="Q1858" s="41"/>
      <c r="R1858" s="41"/>
      <c r="S1858" s="41"/>
      <c r="T1858" s="41"/>
      <c r="U1858" s="41"/>
      <c r="V1858" s="41"/>
      <c r="W1858" s="41"/>
      <c r="X1858" s="41"/>
      <c r="Y1858" s="41"/>
      <c r="Z1858" s="41"/>
      <c r="AA1858" s="41"/>
      <c r="AB1858" s="41"/>
      <c r="AC1858" s="41"/>
      <c r="AD1858" s="41"/>
      <c r="AE1858" s="41"/>
      <c r="AF1858" s="41"/>
      <c r="AG1858" s="41"/>
      <c r="AH1858" s="41"/>
      <c r="AI1858" s="41"/>
      <c r="AJ1858" s="41"/>
      <c r="AK1858" s="41"/>
      <c r="AL1858" s="41"/>
      <c r="AM1858" s="41"/>
      <c r="AN1858" s="41"/>
      <c r="AO1858" s="41"/>
      <c r="AP1858" s="41"/>
      <c r="AQ1858" s="41"/>
    </row>
    <row r="1859">
      <c r="A1859" s="41"/>
      <c r="B1859" s="41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41"/>
      <c r="Q1859" s="41"/>
      <c r="R1859" s="41"/>
      <c r="S1859" s="41"/>
      <c r="T1859" s="41"/>
      <c r="U1859" s="41"/>
      <c r="V1859" s="41"/>
      <c r="W1859" s="41"/>
      <c r="X1859" s="41"/>
      <c r="Y1859" s="41"/>
      <c r="Z1859" s="41"/>
      <c r="AA1859" s="41"/>
      <c r="AB1859" s="41"/>
      <c r="AC1859" s="41"/>
      <c r="AD1859" s="41"/>
      <c r="AE1859" s="41"/>
      <c r="AF1859" s="41"/>
      <c r="AG1859" s="41"/>
      <c r="AH1859" s="41"/>
      <c r="AI1859" s="41"/>
      <c r="AJ1859" s="41"/>
      <c r="AK1859" s="41"/>
      <c r="AL1859" s="41"/>
      <c r="AM1859" s="41"/>
      <c r="AN1859" s="41"/>
      <c r="AO1859" s="41"/>
      <c r="AP1859" s="41"/>
      <c r="AQ1859" s="41"/>
    </row>
    <row r="1860">
      <c r="A1860" s="41"/>
      <c r="B1860" s="41"/>
      <c r="C1860" s="41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41"/>
      <c r="Q1860" s="41"/>
      <c r="R1860" s="41"/>
      <c r="S1860" s="41"/>
      <c r="T1860" s="41"/>
      <c r="U1860" s="41"/>
      <c r="V1860" s="41"/>
      <c r="W1860" s="41"/>
      <c r="X1860" s="41"/>
      <c r="Y1860" s="41"/>
      <c r="Z1860" s="41"/>
      <c r="AA1860" s="41"/>
      <c r="AB1860" s="41"/>
      <c r="AC1860" s="41"/>
      <c r="AD1860" s="41"/>
      <c r="AE1860" s="41"/>
      <c r="AF1860" s="41"/>
      <c r="AG1860" s="41"/>
      <c r="AH1860" s="41"/>
      <c r="AI1860" s="41"/>
      <c r="AJ1860" s="41"/>
      <c r="AK1860" s="41"/>
      <c r="AL1860" s="41"/>
      <c r="AM1860" s="41"/>
      <c r="AN1860" s="41"/>
      <c r="AO1860" s="41"/>
      <c r="AP1860" s="41"/>
      <c r="AQ1860" s="41"/>
    </row>
    <row r="1861">
      <c r="A1861" s="41"/>
      <c r="B1861" s="41"/>
      <c r="C1861" s="41"/>
      <c r="D1861" s="41"/>
      <c r="E1861" s="41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41"/>
      <c r="Q1861" s="41"/>
      <c r="R1861" s="41"/>
      <c r="S1861" s="41"/>
      <c r="T1861" s="41"/>
      <c r="U1861" s="41"/>
      <c r="V1861" s="41"/>
      <c r="W1861" s="41"/>
      <c r="X1861" s="41"/>
      <c r="Y1861" s="41"/>
      <c r="Z1861" s="41"/>
      <c r="AA1861" s="41"/>
      <c r="AB1861" s="41"/>
      <c r="AC1861" s="41"/>
      <c r="AD1861" s="41"/>
      <c r="AE1861" s="41"/>
      <c r="AF1861" s="41"/>
      <c r="AG1861" s="41"/>
      <c r="AH1861" s="41"/>
      <c r="AI1861" s="41"/>
      <c r="AJ1861" s="41"/>
      <c r="AK1861" s="41"/>
      <c r="AL1861" s="41"/>
      <c r="AM1861" s="41"/>
      <c r="AN1861" s="41"/>
      <c r="AO1861" s="41"/>
      <c r="AP1861" s="41"/>
      <c r="AQ1861" s="41"/>
    </row>
    <row r="1862">
      <c r="A1862" s="41"/>
      <c r="B1862" s="41"/>
      <c r="C1862" s="41"/>
      <c r="D1862" s="41"/>
      <c r="E1862" s="41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41"/>
      <c r="Q1862" s="41"/>
      <c r="R1862" s="41"/>
      <c r="S1862" s="41"/>
      <c r="T1862" s="41"/>
      <c r="U1862" s="41"/>
      <c r="V1862" s="41"/>
      <c r="W1862" s="41"/>
      <c r="X1862" s="41"/>
      <c r="Y1862" s="41"/>
      <c r="Z1862" s="41"/>
      <c r="AA1862" s="41"/>
      <c r="AB1862" s="41"/>
      <c r="AC1862" s="41"/>
      <c r="AD1862" s="41"/>
      <c r="AE1862" s="41"/>
      <c r="AF1862" s="41"/>
      <c r="AG1862" s="41"/>
      <c r="AH1862" s="41"/>
      <c r="AI1862" s="41"/>
      <c r="AJ1862" s="41"/>
      <c r="AK1862" s="41"/>
      <c r="AL1862" s="41"/>
      <c r="AM1862" s="41"/>
      <c r="AN1862" s="41"/>
      <c r="AO1862" s="41"/>
      <c r="AP1862" s="41"/>
      <c r="AQ1862" s="41"/>
    </row>
    <row r="1863">
      <c r="A1863" s="41"/>
      <c r="B1863" s="41"/>
      <c r="C1863" s="41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41"/>
      <c r="Q1863" s="41"/>
      <c r="R1863" s="41"/>
      <c r="S1863" s="41"/>
      <c r="T1863" s="41"/>
      <c r="U1863" s="41"/>
      <c r="V1863" s="41"/>
      <c r="W1863" s="41"/>
      <c r="X1863" s="41"/>
      <c r="Y1863" s="41"/>
      <c r="Z1863" s="41"/>
      <c r="AA1863" s="41"/>
      <c r="AB1863" s="41"/>
      <c r="AC1863" s="41"/>
      <c r="AD1863" s="41"/>
      <c r="AE1863" s="41"/>
      <c r="AF1863" s="41"/>
      <c r="AG1863" s="41"/>
      <c r="AH1863" s="41"/>
      <c r="AI1863" s="41"/>
      <c r="AJ1863" s="41"/>
      <c r="AK1863" s="41"/>
      <c r="AL1863" s="41"/>
      <c r="AM1863" s="41"/>
      <c r="AN1863" s="41"/>
      <c r="AO1863" s="41"/>
      <c r="AP1863" s="41"/>
      <c r="AQ1863" s="41"/>
    </row>
    <row r="1864">
      <c r="A1864" s="41"/>
      <c r="B1864" s="41"/>
      <c r="C1864" s="41"/>
      <c r="D1864" s="41"/>
      <c r="E1864" s="41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41"/>
      <c r="Q1864" s="41"/>
      <c r="R1864" s="41"/>
      <c r="S1864" s="41"/>
      <c r="T1864" s="41"/>
      <c r="U1864" s="41"/>
      <c r="V1864" s="41"/>
      <c r="W1864" s="41"/>
      <c r="X1864" s="41"/>
      <c r="Y1864" s="41"/>
      <c r="Z1864" s="41"/>
      <c r="AA1864" s="41"/>
      <c r="AB1864" s="41"/>
      <c r="AC1864" s="41"/>
      <c r="AD1864" s="41"/>
      <c r="AE1864" s="41"/>
      <c r="AF1864" s="41"/>
      <c r="AG1864" s="41"/>
      <c r="AH1864" s="41"/>
      <c r="AI1864" s="41"/>
      <c r="AJ1864" s="41"/>
      <c r="AK1864" s="41"/>
      <c r="AL1864" s="41"/>
      <c r="AM1864" s="41"/>
      <c r="AN1864" s="41"/>
      <c r="AO1864" s="41"/>
      <c r="AP1864" s="41"/>
      <c r="AQ1864" s="41"/>
    </row>
    <row r="1865">
      <c r="A1865" s="41"/>
      <c r="B1865" s="41"/>
      <c r="C1865" s="41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  <c r="AA1865" s="41"/>
      <c r="AB1865" s="41"/>
      <c r="AC1865" s="41"/>
      <c r="AD1865" s="41"/>
      <c r="AE1865" s="41"/>
      <c r="AF1865" s="41"/>
      <c r="AG1865" s="41"/>
      <c r="AH1865" s="41"/>
      <c r="AI1865" s="41"/>
      <c r="AJ1865" s="41"/>
      <c r="AK1865" s="41"/>
      <c r="AL1865" s="41"/>
      <c r="AM1865" s="41"/>
      <c r="AN1865" s="41"/>
      <c r="AO1865" s="41"/>
      <c r="AP1865" s="41"/>
      <c r="AQ1865" s="41"/>
    </row>
    <row r="1866">
      <c r="A1866" s="41"/>
      <c r="B1866" s="41"/>
      <c r="C1866" s="41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  <c r="Q1866" s="41"/>
      <c r="R1866" s="41"/>
      <c r="S1866" s="41"/>
      <c r="T1866" s="41"/>
      <c r="U1866" s="41"/>
      <c r="V1866" s="41"/>
      <c r="W1866" s="41"/>
      <c r="X1866" s="41"/>
      <c r="Y1866" s="41"/>
      <c r="Z1866" s="41"/>
      <c r="AA1866" s="41"/>
      <c r="AB1866" s="41"/>
      <c r="AC1866" s="41"/>
      <c r="AD1866" s="41"/>
      <c r="AE1866" s="41"/>
      <c r="AF1866" s="41"/>
      <c r="AG1866" s="41"/>
      <c r="AH1866" s="41"/>
      <c r="AI1866" s="41"/>
      <c r="AJ1866" s="41"/>
      <c r="AK1866" s="41"/>
      <c r="AL1866" s="41"/>
      <c r="AM1866" s="41"/>
      <c r="AN1866" s="41"/>
      <c r="AO1866" s="41"/>
      <c r="AP1866" s="41"/>
      <c r="AQ1866" s="41"/>
    </row>
    <row r="1867">
      <c r="A1867" s="41"/>
      <c r="B1867" s="41"/>
      <c r="C1867" s="41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  <c r="Q1867" s="41"/>
      <c r="R1867" s="41"/>
      <c r="S1867" s="41"/>
      <c r="T1867" s="41"/>
      <c r="U1867" s="41"/>
      <c r="V1867" s="41"/>
      <c r="W1867" s="41"/>
      <c r="X1867" s="41"/>
      <c r="Y1867" s="41"/>
      <c r="Z1867" s="41"/>
      <c r="AA1867" s="41"/>
      <c r="AB1867" s="41"/>
      <c r="AC1867" s="41"/>
      <c r="AD1867" s="41"/>
      <c r="AE1867" s="41"/>
      <c r="AF1867" s="41"/>
      <c r="AG1867" s="41"/>
      <c r="AH1867" s="41"/>
      <c r="AI1867" s="41"/>
      <c r="AJ1867" s="41"/>
      <c r="AK1867" s="41"/>
      <c r="AL1867" s="41"/>
      <c r="AM1867" s="41"/>
      <c r="AN1867" s="41"/>
      <c r="AO1867" s="41"/>
      <c r="AP1867" s="41"/>
      <c r="AQ1867" s="41"/>
    </row>
    <row r="1868">
      <c r="A1868" s="41"/>
      <c r="B1868" s="41"/>
      <c r="C1868" s="41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  <c r="Q1868" s="41"/>
      <c r="R1868" s="41"/>
      <c r="S1868" s="41"/>
      <c r="T1868" s="41"/>
      <c r="U1868" s="41"/>
      <c r="V1868" s="41"/>
      <c r="W1868" s="41"/>
      <c r="X1868" s="41"/>
      <c r="Y1868" s="41"/>
      <c r="Z1868" s="41"/>
      <c r="AA1868" s="41"/>
      <c r="AB1868" s="41"/>
      <c r="AC1868" s="41"/>
      <c r="AD1868" s="41"/>
      <c r="AE1868" s="41"/>
      <c r="AF1868" s="41"/>
      <c r="AG1868" s="41"/>
      <c r="AH1868" s="41"/>
      <c r="AI1868" s="41"/>
      <c r="AJ1868" s="41"/>
      <c r="AK1868" s="41"/>
      <c r="AL1868" s="41"/>
      <c r="AM1868" s="41"/>
      <c r="AN1868" s="41"/>
      <c r="AO1868" s="41"/>
      <c r="AP1868" s="41"/>
      <c r="AQ1868" s="41"/>
    </row>
    <row r="1869">
      <c r="A1869" s="41"/>
      <c r="B1869" s="41"/>
      <c r="C1869" s="41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  <c r="AA1869" s="41"/>
      <c r="AB1869" s="41"/>
      <c r="AC1869" s="41"/>
      <c r="AD1869" s="41"/>
      <c r="AE1869" s="41"/>
      <c r="AF1869" s="41"/>
      <c r="AG1869" s="41"/>
      <c r="AH1869" s="41"/>
      <c r="AI1869" s="41"/>
      <c r="AJ1869" s="41"/>
      <c r="AK1869" s="41"/>
      <c r="AL1869" s="41"/>
      <c r="AM1869" s="41"/>
      <c r="AN1869" s="41"/>
      <c r="AO1869" s="41"/>
      <c r="AP1869" s="41"/>
      <c r="AQ1869" s="41"/>
    </row>
    <row r="1870">
      <c r="A1870" s="41"/>
      <c r="B1870" s="41"/>
      <c r="C1870" s="41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  <c r="AA1870" s="41"/>
      <c r="AB1870" s="41"/>
      <c r="AC1870" s="41"/>
      <c r="AD1870" s="41"/>
      <c r="AE1870" s="41"/>
      <c r="AF1870" s="41"/>
      <c r="AG1870" s="41"/>
      <c r="AH1870" s="41"/>
      <c r="AI1870" s="41"/>
      <c r="AJ1870" s="41"/>
      <c r="AK1870" s="41"/>
      <c r="AL1870" s="41"/>
      <c r="AM1870" s="41"/>
      <c r="AN1870" s="41"/>
      <c r="AO1870" s="41"/>
      <c r="AP1870" s="41"/>
      <c r="AQ1870" s="41"/>
    </row>
    <row r="1871">
      <c r="A1871" s="41"/>
      <c r="B1871" s="41"/>
      <c r="C1871" s="41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  <c r="Q1871" s="41"/>
      <c r="R1871" s="41"/>
      <c r="S1871" s="41"/>
      <c r="T1871" s="41"/>
      <c r="U1871" s="41"/>
      <c r="V1871" s="41"/>
      <c r="W1871" s="41"/>
      <c r="X1871" s="41"/>
      <c r="Y1871" s="41"/>
      <c r="Z1871" s="41"/>
      <c r="AA1871" s="41"/>
      <c r="AB1871" s="41"/>
      <c r="AC1871" s="41"/>
      <c r="AD1871" s="41"/>
      <c r="AE1871" s="41"/>
      <c r="AF1871" s="41"/>
      <c r="AG1871" s="41"/>
      <c r="AH1871" s="41"/>
      <c r="AI1871" s="41"/>
      <c r="AJ1871" s="41"/>
      <c r="AK1871" s="41"/>
      <c r="AL1871" s="41"/>
      <c r="AM1871" s="41"/>
      <c r="AN1871" s="41"/>
      <c r="AO1871" s="41"/>
      <c r="AP1871" s="41"/>
      <c r="AQ1871" s="41"/>
    </row>
    <row r="1872">
      <c r="A1872" s="41"/>
      <c r="B1872" s="41"/>
      <c r="C1872" s="41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  <c r="Q1872" s="41"/>
      <c r="R1872" s="41"/>
      <c r="S1872" s="41"/>
      <c r="T1872" s="41"/>
      <c r="U1872" s="41"/>
      <c r="V1872" s="41"/>
      <c r="W1872" s="41"/>
      <c r="X1872" s="41"/>
      <c r="Y1872" s="41"/>
      <c r="Z1872" s="41"/>
      <c r="AA1872" s="41"/>
      <c r="AB1872" s="41"/>
      <c r="AC1872" s="41"/>
      <c r="AD1872" s="41"/>
      <c r="AE1872" s="41"/>
      <c r="AF1872" s="41"/>
      <c r="AG1872" s="41"/>
      <c r="AH1872" s="41"/>
      <c r="AI1872" s="41"/>
      <c r="AJ1872" s="41"/>
      <c r="AK1872" s="41"/>
      <c r="AL1872" s="41"/>
      <c r="AM1872" s="41"/>
      <c r="AN1872" s="41"/>
      <c r="AO1872" s="41"/>
      <c r="AP1872" s="41"/>
      <c r="AQ1872" s="41"/>
    </row>
    <row r="1873">
      <c r="A1873" s="41"/>
      <c r="B1873" s="41"/>
      <c r="C1873" s="41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  <c r="AA1873" s="41"/>
      <c r="AB1873" s="41"/>
      <c r="AC1873" s="41"/>
      <c r="AD1873" s="41"/>
      <c r="AE1873" s="41"/>
      <c r="AF1873" s="41"/>
      <c r="AG1873" s="41"/>
      <c r="AH1873" s="41"/>
      <c r="AI1873" s="41"/>
      <c r="AJ1873" s="41"/>
      <c r="AK1873" s="41"/>
      <c r="AL1873" s="41"/>
      <c r="AM1873" s="41"/>
      <c r="AN1873" s="41"/>
      <c r="AO1873" s="41"/>
      <c r="AP1873" s="41"/>
      <c r="AQ1873" s="41"/>
    </row>
    <row r="1874">
      <c r="A1874" s="41"/>
      <c r="B1874" s="41"/>
      <c r="C1874" s="41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  <c r="Q1874" s="41"/>
      <c r="R1874" s="41"/>
      <c r="S1874" s="41"/>
      <c r="T1874" s="41"/>
      <c r="U1874" s="41"/>
      <c r="V1874" s="41"/>
      <c r="W1874" s="41"/>
      <c r="X1874" s="41"/>
      <c r="Y1874" s="41"/>
      <c r="Z1874" s="41"/>
      <c r="AA1874" s="41"/>
      <c r="AB1874" s="41"/>
      <c r="AC1874" s="41"/>
      <c r="AD1874" s="41"/>
      <c r="AE1874" s="41"/>
      <c r="AF1874" s="41"/>
      <c r="AG1874" s="41"/>
      <c r="AH1874" s="41"/>
      <c r="AI1874" s="41"/>
      <c r="AJ1874" s="41"/>
      <c r="AK1874" s="41"/>
      <c r="AL1874" s="41"/>
      <c r="AM1874" s="41"/>
      <c r="AN1874" s="41"/>
      <c r="AO1874" s="41"/>
      <c r="AP1874" s="41"/>
      <c r="AQ1874" s="41"/>
    </row>
    <row r="1875">
      <c r="A1875" s="41"/>
      <c r="B1875" s="41"/>
      <c r="C1875" s="41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  <c r="AA1875" s="41"/>
      <c r="AB1875" s="41"/>
      <c r="AC1875" s="41"/>
      <c r="AD1875" s="41"/>
      <c r="AE1875" s="41"/>
      <c r="AF1875" s="41"/>
      <c r="AG1875" s="41"/>
      <c r="AH1875" s="41"/>
      <c r="AI1875" s="41"/>
      <c r="AJ1875" s="41"/>
      <c r="AK1875" s="41"/>
      <c r="AL1875" s="41"/>
      <c r="AM1875" s="41"/>
      <c r="AN1875" s="41"/>
      <c r="AO1875" s="41"/>
      <c r="AP1875" s="41"/>
      <c r="AQ1875" s="41"/>
    </row>
    <row r="1876">
      <c r="A1876" s="41"/>
      <c r="B1876" s="41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  <c r="AA1876" s="41"/>
      <c r="AB1876" s="41"/>
      <c r="AC1876" s="41"/>
      <c r="AD1876" s="41"/>
      <c r="AE1876" s="41"/>
      <c r="AF1876" s="41"/>
      <c r="AG1876" s="41"/>
      <c r="AH1876" s="41"/>
      <c r="AI1876" s="41"/>
      <c r="AJ1876" s="41"/>
      <c r="AK1876" s="41"/>
      <c r="AL1876" s="41"/>
      <c r="AM1876" s="41"/>
      <c r="AN1876" s="41"/>
      <c r="AO1876" s="41"/>
      <c r="AP1876" s="41"/>
      <c r="AQ1876" s="41"/>
    </row>
    <row r="1877">
      <c r="A1877" s="41"/>
      <c r="B1877" s="41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  <c r="AA1877" s="41"/>
      <c r="AB1877" s="41"/>
      <c r="AC1877" s="41"/>
      <c r="AD1877" s="41"/>
      <c r="AE1877" s="41"/>
      <c r="AF1877" s="41"/>
      <c r="AG1877" s="41"/>
      <c r="AH1877" s="41"/>
      <c r="AI1877" s="41"/>
      <c r="AJ1877" s="41"/>
      <c r="AK1877" s="41"/>
      <c r="AL1877" s="41"/>
      <c r="AM1877" s="41"/>
      <c r="AN1877" s="41"/>
      <c r="AO1877" s="41"/>
      <c r="AP1877" s="41"/>
      <c r="AQ1877" s="41"/>
    </row>
    <row r="1878">
      <c r="A1878" s="41"/>
      <c r="B1878" s="41"/>
      <c r="C1878" s="41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  <c r="Q1878" s="41"/>
      <c r="R1878" s="41"/>
      <c r="S1878" s="41"/>
      <c r="T1878" s="41"/>
      <c r="U1878" s="41"/>
      <c r="V1878" s="41"/>
      <c r="W1878" s="41"/>
      <c r="X1878" s="41"/>
      <c r="Y1878" s="41"/>
      <c r="Z1878" s="41"/>
      <c r="AA1878" s="41"/>
      <c r="AB1878" s="41"/>
      <c r="AC1878" s="41"/>
      <c r="AD1878" s="41"/>
      <c r="AE1878" s="41"/>
      <c r="AF1878" s="41"/>
      <c r="AG1878" s="41"/>
      <c r="AH1878" s="41"/>
      <c r="AI1878" s="41"/>
      <c r="AJ1878" s="41"/>
      <c r="AK1878" s="41"/>
      <c r="AL1878" s="41"/>
      <c r="AM1878" s="41"/>
      <c r="AN1878" s="41"/>
      <c r="AO1878" s="41"/>
      <c r="AP1878" s="41"/>
      <c r="AQ1878" s="41"/>
    </row>
    <row r="1879">
      <c r="A1879" s="41"/>
      <c r="B1879" s="41"/>
      <c r="C1879" s="41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  <c r="Q1879" s="41"/>
      <c r="R1879" s="41"/>
      <c r="S1879" s="41"/>
      <c r="T1879" s="41"/>
      <c r="U1879" s="41"/>
      <c r="V1879" s="41"/>
      <c r="W1879" s="41"/>
      <c r="X1879" s="41"/>
      <c r="Y1879" s="41"/>
      <c r="Z1879" s="41"/>
      <c r="AA1879" s="41"/>
      <c r="AB1879" s="41"/>
      <c r="AC1879" s="41"/>
      <c r="AD1879" s="41"/>
      <c r="AE1879" s="41"/>
      <c r="AF1879" s="41"/>
      <c r="AG1879" s="41"/>
      <c r="AH1879" s="41"/>
      <c r="AI1879" s="41"/>
      <c r="AJ1879" s="41"/>
      <c r="AK1879" s="41"/>
      <c r="AL1879" s="41"/>
      <c r="AM1879" s="41"/>
      <c r="AN1879" s="41"/>
      <c r="AO1879" s="41"/>
      <c r="AP1879" s="41"/>
      <c r="AQ1879" s="41"/>
    </row>
    <row r="1880">
      <c r="A1880" s="41"/>
      <c r="B1880" s="41"/>
      <c r="C1880" s="41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  <c r="Q1880" s="41"/>
      <c r="R1880" s="41"/>
      <c r="S1880" s="41"/>
      <c r="T1880" s="41"/>
      <c r="U1880" s="41"/>
      <c r="V1880" s="41"/>
      <c r="W1880" s="41"/>
      <c r="X1880" s="41"/>
      <c r="Y1880" s="41"/>
      <c r="Z1880" s="41"/>
      <c r="AA1880" s="41"/>
      <c r="AB1880" s="41"/>
      <c r="AC1880" s="41"/>
      <c r="AD1880" s="41"/>
      <c r="AE1880" s="41"/>
      <c r="AF1880" s="41"/>
      <c r="AG1880" s="41"/>
      <c r="AH1880" s="41"/>
      <c r="AI1880" s="41"/>
      <c r="AJ1880" s="41"/>
      <c r="AK1880" s="41"/>
      <c r="AL1880" s="41"/>
      <c r="AM1880" s="41"/>
      <c r="AN1880" s="41"/>
      <c r="AO1880" s="41"/>
      <c r="AP1880" s="41"/>
      <c r="AQ1880" s="41"/>
    </row>
    <row r="1881">
      <c r="A1881" s="41"/>
      <c r="B1881" s="41"/>
      <c r="C1881" s="41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  <c r="Q1881" s="41"/>
      <c r="R1881" s="41"/>
      <c r="S1881" s="41"/>
      <c r="T1881" s="41"/>
      <c r="U1881" s="41"/>
      <c r="V1881" s="41"/>
      <c r="W1881" s="41"/>
      <c r="X1881" s="41"/>
      <c r="Y1881" s="41"/>
      <c r="Z1881" s="41"/>
      <c r="AA1881" s="41"/>
      <c r="AB1881" s="41"/>
      <c r="AC1881" s="41"/>
      <c r="AD1881" s="41"/>
      <c r="AE1881" s="41"/>
      <c r="AF1881" s="41"/>
      <c r="AG1881" s="41"/>
      <c r="AH1881" s="41"/>
      <c r="AI1881" s="41"/>
      <c r="AJ1881" s="41"/>
      <c r="AK1881" s="41"/>
      <c r="AL1881" s="41"/>
      <c r="AM1881" s="41"/>
      <c r="AN1881" s="41"/>
      <c r="AO1881" s="41"/>
      <c r="AP1881" s="41"/>
      <c r="AQ1881" s="41"/>
    </row>
    <row r="1882">
      <c r="A1882" s="41"/>
      <c r="B1882" s="41"/>
      <c r="C1882" s="41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  <c r="Q1882" s="41"/>
      <c r="R1882" s="41"/>
      <c r="S1882" s="41"/>
      <c r="T1882" s="41"/>
      <c r="U1882" s="41"/>
      <c r="V1882" s="41"/>
      <c r="W1882" s="41"/>
      <c r="X1882" s="41"/>
      <c r="Y1882" s="41"/>
      <c r="Z1882" s="41"/>
      <c r="AA1882" s="41"/>
      <c r="AB1882" s="41"/>
      <c r="AC1882" s="41"/>
      <c r="AD1882" s="41"/>
      <c r="AE1882" s="41"/>
      <c r="AF1882" s="41"/>
      <c r="AG1882" s="41"/>
      <c r="AH1882" s="41"/>
      <c r="AI1882" s="41"/>
      <c r="AJ1882" s="41"/>
      <c r="AK1882" s="41"/>
      <c r="AL1882" s="41"/>
      <c r="AM1882" s="41"/>
      <c r="AN1882" s="41"/>
      <c r="AO1882" s="41"/>
      <c r="AP1882" s="41"/>
      <c r="AQ1882" s="41"/>
    </row>
    <row r="1883">
      <c r="A1883" s="41"/>
      <c r="B1883" s="41"/>
      <c r="C1883" s="41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  <c r="Q1883" s="41"/>
      <c r="R1883" s="41"/>
      <c r="S1883" s="41"/>
      <c r="T1883" s="41"/>
      <c r="U1883" s="41"/>
      <c r="V1883" s="41"/>
      <c r="W1883" s="41"/>
      <c r="X1883" s="41"/>
      <c r="Y1883" s="41"/>
      <c r="Z1883" s="41"/>
      <c r="AA1883" s="41"/>
      <c r="AB1883" s="41"/>
      <c r="AC1883" s="41"/>
      <c r="AD1883" s="41"/>
      <c r="AE1883" s="41"/>
      <c r="AF1883" s="41"/>
      <c r="AG1883" s="41"/>
      <c r="AH1883" s="41"/>
      <c r="AI1883" s="41"/>
      <c r="AJ1883" s="41"/>
      <c r="AK1883" s="41"/>
      <c r="AL1883" s="41"/>
      <c r="AM1883" s="41"/>
      <c r="AN1883" s="41"/>
      <c r="AO1883" s="41"/>
      <c r="AP1883" s="41"/>
      <c r="AQ1883" s="41"/>
    </row>
    <row r="1884">
      <c r="A1884" s="41"/>
      <c r="B1884" s="41"/>
      <c r="C1884" s="41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  <c r="Q1884" s="41"/>
      <c r="R1884" s="41"/>
      <c r="S1884" s="41"/>
      <c r="T1884" s="41"/>
      <c r="U1884" s="41"/>
      <c r="V1884" s="41"/>
      <c r="W1884" s="41"/>
      <c r="X1884" s="41"/>
      <c r="Y1884" s="41"/>
      <c r="Z1884" s="41"/>
      <c r="AA1884" s="41"/>
      <c r="AB1884" s="41"/>
      <c r="AC1884" s="41"/>
      <c r="AD1884" s="41"/>
      <c r="AE1884" s="41"/>
      <c r="AF1884" s="41"/>
      <c r="AG1884" s="41"/>
      <c r="AH1884" s="41"/>
      <c r="AI1884" s="41"/>
      <c r="AJ1884" s="41"/>
      <c r="AK1884" s="41"/>
      <c r="AL1884" s="41"/>
      <c r="AM1884" s="41"/>
      <c r="AN1884" s="41"/>
      <c r="AO1884" s="41"/>
      <c r="AP1884" s="41"/>
      <c r="AQ1884" s="41"/>
    </row>
    <row r="1885">
      <c r="A1885" s="41"/>
      <c r="B1885" s="41"/>
      <c r="C1885" s="41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  <c r="Q1885" s="41"/>
      <c r="R1885" s="41"/>
      <c r="S1885" s="41"/>
      <c r="T1885" s="41"/>
      <c r="U1885" s="41"/>
      <c r="V1885" s="41"/>
      <c r="W1885" s="41"/>
      <c r="X1885" s="41"/>
      <c r="Y1885" s="41"/>
      <c r="Z1885" s="41"/>
      <c r="AA1885" s="41"/>
      <c r="AB1885" s="41"/>
      <c r="AC1885" s="41"/>
      <c r="AD1885" s="41"/>
      <c r="AE1885" s="41"/>
      <c r="AF1885" s="41"/>
      <c r="AG1885" s="41"/>
      <c r="AH1885" s="41"/>
      <c r="AI1885" s="41"/>
      <c r="AJ1885" s="41"/>
      <c r="AK1885" s="41"/>
      <c r="AL1885" s="41"/>
      <c r="AM1885" s="41"/>
      <c r="AN1885" s="41"/>
      <c r="AO1885" s="41"/>
      <c r="AP1885" s="41"/>
      <c r="AQ1885" s="41"/>
    </row>
    <row r="1886">
      <c r="A1886" s="41"/>
      <c r="B1886" s="41"/>
      <c r="C1886" s="41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  <c r="Q1886" s="41"/>
      <c r="R1886" s="41"/>
      <c r="S1886" s="41"/>
      <c r="T1886" s="41"/>
      <c r="U1886" s="41"/>
      <c r="V1886" s="41"/>
      <c r="W1886" s="41"/>
      <c r="X1886" s="41"/>
      <c r="Y1886" s="41"/>
      <c r="Z1886" s="41"/>
      <c r="AA1886" s="41"/>
      <c r="AB1886" s="41"/>
      <c r="AC1886" s="41"/>
      <c r="AD1886" s="41"/>
      <c r="AE1886" s="41"/>
      <c r="AF1886" s="41"/>
      <c r="AG1886" s="41"/>
      <c r="AH1886" s="41"/>
      <c r="AI1886" s="41"/>
      <c r="AJ1886" s="41"/>
      <c r="AK1886" s="41"/>
      <c r="AL1886" s="41"/>
      <c r="AM1886" s="41"/>
      <c r="AN1886" s="41"/>
      <c r="AO1886" s="41"/>
      <c r="AP1886" s="41"/>
      <c r="AQ1886" s="41"/>
    </row>
    <row r="1887">
      <c r="A1887" s="41"/>
      <c r="B1887" s="41"/>
      <c r="C1887" s="41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  <c r="AA1887" s="41"/>
      <c r="AB1887" s="41"/>
      <c r="AC1887" s="41"/>
      <c r="AD1887" s="41"/>
      <c r="AE1887" s="41"/>
      <c r="AF1887" s="41"/>
      <c r="AG1887" s="41"/>
      <c r="AH1887" s="41"/>
      <c r="AI1887" s="41"/>
      <c r="AJ1887" s="41"/>
      <c r="AK1887" s="41"/>
      <c r="AL1887" s="41"/>
      <c r="AM1887" s="41"/>
      <c r="AN1887" s="41"/>
      <c r="AO1887" s="41"/>
      <c r="AP1887" s="41"/>
      <c r="AQ1887" s="41"/>
    </row>
    <row r="1888">
      <c r="A1888" s="41"/>
      <c r="B1888" s="41"/>
      <c r="C1888" s="41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  <c r="AA1888" s="41"/>
      <c r="AB1888" s="41"/>
      <c r="AC1888" s="41"/>
      <c r="AD1888" s="41"/>
      <c r="AE1888" s="41"/>
      <c r="AF1888" s="41"/>
      <c r="AG1888" s="41"/>
      <c r="AH1888" s="41"/>
      <c r="AI1888" s="41"/>
      <c r="AJ1888" s="41"/>
      <c r="AK1888" s="41"/>
      <c r="AL1888" s="41"/>
      <c r="AM1888" s="41"/>
      <c r="AN1888" s="41"/>
      <c r="AO1888" s="41"/>
      <c r="AP1888" s="41"/>
      <c r="AQ1888" s="41"/>
    </row>
    <row r="1889">
      <c r="A1889" s="41"/>
      <c r="B1889" s="41"/>
      <c r="C1889" s="41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  <c r="Q1889" s="41"/>
      <c r="R1889" s="41"/>
      <c r="S1889" s="41"/>
      <c r="T1889" s="41"/>
      <c r="U1889" s="41"/>
      <c r="V1889" s="41"/>
      <c r="W1889" s="41"/>
      <c r="X1889" s="41"/>
      <c r="Y1889" s="41"/>
      <c r="Z1889" s="41"/>
      <c r="AA1889" s="41"/>
      <c r="AB1889" s="41"/>
      <c r="AC1889" s="41"/>
      <c r="AD1889" s="41"/>
      <c r="AE1889" s="41"/>
      <c r="AF1889" s="41"/>
      <c r="AG1889" s="41"/>
      <c r="AH1889" s="41"/>
      <c r="AI1889" s="41"/>
      <c r="AJ1889" s="41"/>
      <c r="AK1889" s="41"/>
      <c r="AL1889" s="41"/>
      <c r="AM1889" s="41"/>
      <c r="AN1889" s="41"/>
      <c r="AO1889" s="41"/>
      <c r="AP1889" s="41"/>
      <c r="AQ1889" s="41"/>
    </row>
    <row r="1890">
      <c r="A1890" s="41"/>
      <c r="B1890" s="41"/>
      <c r="C1890" s="41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  <c r="Q1890" s="41"/>
      <c r="R1890" s="41"/>
      <c r="S1890" s="41"/>
      <c r="T1890" s="41"/>
      <c r="U1890" s="41"/>
      <c r="V1890" s="41"/>
      <c r="W1890" s="41"/>
      <c r="X1890" s="41"/>
      <c r="Y1890" s="41"/>
      <c r="Z1890" s="41"/>
      <c r="AA1890" s="41"/>
      <c r="AB1890" s="41"/>
      <c r="AC1890" s="41"/>
      <c r="AD1890" s="41"/>
      <c r="AE1890" s="41"/>
      <c r="AF1890" s="41"/>
      <c r="AG1890" s="41"/>
      <c r="AH1890" s="41"/>
      <c r="AI1890" s="41"/>
      <c r="AJ1890" s="41"/>
      <c r="AK1890" s="41"/>
      <c r="AL1890" s="41"/>
      <c r="AM1890" s="41"/>
      <c r="AN1890" s="41"/>
      <c r="AO1890" s="41"/>
      <c r="AP1890" s="41"/>
      <c r="AQ1890" s="41"/>
    </row>
    <row r="1891">
      <c r="A1891" s="41"/>
      <c r="B1891" s="41"/>
      <c r="C1891" s="41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  <c r="Q1891" s="41"/>
      <c r="R1891" s="41"/>
      <c r="S1891" s="41"/>
      <c r="T1891" s="41"/>
      <c r="U1891" s="41"/>
      <c r="V1891" s="41"/>
      <c r="W1891" s="41"/>
      <c r="X1891" s="41"/>
      <c r="Y1891" s="41"/>
      <c r="Z1891" s="41"/>
      <c r="AA1891" s="41"/>
      <c r="AB1891" s="41"/>
      <c r="AC1891" s="41"/>
      <c r="AD1891" s="41"/>
      <c r="AE1891" s="41"/>
      <c r="AF1891" s="41"/>
      <c r="AG1891" s="41"/>
      <c r="AH1891" s="41"/>
      <c r="AI1891" s="41"/>
      <c r="AJ1891" s="41"/>
      <c r="AK1891" s="41"/>
      <c r="AL1891" s="41"/>
      <c r="AM1891" s="41"/>
      <c r="AN1891" s="41"/>
      <c r="AO1891" s="41"/>
      <c r="AP1891" s="41"/>
      <c r="AQ1891" s="41"/>
    </row>
    <row r="1892">
      <c r="A1892" s="41"/>
      <c r="B1892" s="41"/>
      <c r="C1892" s="41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  <c r="Q1892" s="41"/>
      <c r="R1892" s="41"/>
      <c r="S1892" s="41"/>
      <c r="T1892" s="41"/>
      <c r="U1892" s="41"/>
      <c r="V1892" s="41"/>
      <c r="W1892" s="41"/>
      <c r="X1892" s="41"/>
      <c r="Y1892" s="41"/>
      <c r="Z1892" s="41"/>
      <c r="AA1892" s="41"/>
      <c r="AB1892" s="41"/>
      <c r="AC1892" s="41"/>
      <c r="AD1892" s="41"/>
      <c r="AE1892" s="41"/>
      <c r="AF1892" s="41"/>
      <c r="AG1892" s="41"/>
      <c r="AH1892" s="41"/>
      <c r="AI1892" s="41"/>
      <c r="AJ1892" s="41"/>
      <c r="AK1892" s="41"/>
      <c r="AL1892" s="41"/>
      <c r="AM1892" s="41"/>
      <c r="AN1892" s="41"/>
      <c r="AO1892" s="41"/>
      <c r="AP1892" s="41"/>
      <c r="AQ1892" s="41"/>
    </row>
    <row r="1893">
      <c r="A1893" s="41"/>
      <c r="B1893" s="41"/>
      <c r="C1893" s="41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1"/>
      <c r="X1893" s="41"/>
      <c r="Y1893" s="41"/>
      <c r="Z1893" s="41"/>
      <c r="AA1893" s="41"/>
      <c r="AB1893" s="41"/>
      <c r="AC1893" s="41"/>
      <c r="AD1893" s="41"/>
      <c r="AE1893" s="41"/>
      <c r="AF1893" s="41"/>
      <c r="AG1893" s="41"/>
      <c r="AH1893" s="41"/>
      <c r="AI1893" s="41"/>
      <c r="AJ1893" s="41"/>
      <c r="AK1893" s="41"/>
      <c r="AL1893" s="41"/>
      <c r="AM1893" s="41"/>
      <c r="AN1893" s="41"/>
      <c r="AO1893" s="41"/>
      <c r="AP1893" s="41"/>
      <c r="AQ1893" s="41"/>
    </row>
    <row r="1894">
      <c r="A1894" s="41"/>
      <c r="B1894" s="41"/>
      <c r="C1894" s="41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  <c r="Q1894" s="41"/>
      <c r="R1894" s="41"/>
      <c r="S1894" s="41"/>
      <c r="T1894" s="41"/>
      <c r="U1894" s="41"/>
      <c r="V1894" s="41"/>
      <c r="W1894" s="41"/>
      <c r="X1894" s="41"/>
      <c r="Y1894" s="41"/>
      <c r="Z1894" s="41"/>
      <c r="AA1894" s="41"/>
      <c r="AB1894" s="41"/>
      <c r="AC1894" s="41"/>
      <c r="AD1894" s="41"/>
      <c r="AE1894" s="41"/>
      <c r="AF1894" s="41"/>
      <c r="AG1894" s="41"/>
      <c r="AH1894" s="41"/>
      <c r="AI1894" s="41"/>
      <c r="AJ1894" s="41"/>
      <c r="AK1894" s="41"/>
      <c r="AL1894" s="41"/>
      <c r="AM1894" s="41"/>
      <c r="AN1894" s="41"/>
      <c r="AO1894" s="41"/>
      <c r="AP1894" s="41"/>
      <c r="AQ1894" s="41"/>
    </row>
    <row r="1895">
      <c r="A1895" s="41"/>
      <c r="B1895" s="41"/>
      <c r="C1895" s="41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  <c r="Q1895" s="41"/>
      <c r="R1895" s="41"/>
      <c r="S1895" s="41"/>
      <c r="T1895" s="41"/>
      <c r="U1895" s="41"/>
      <c r="V1895" s="41"/>
      <c r="W1895" s="41"/>
      <c r="X1895" s="41"/>
      <c r="Y1895" s="41"/>
      <c r="Z1895" s="41"/>
      <c r="AA1895" s="41"/>
      <c r="AB1895" s="41"/>
      <c r="AC1895" s="41"/>
      <c r="AD1895" s="41"/>
      <c r="AE1895" s="41"/>
      <c r="AF1895" s="41"/>
      <c r="AG1895" s="41"/>
      <c r="AH1895" s="41"/>
      <c r="AI1895" s="41"/>
      <c r="AJ1895" s="41"/>
      <c r="AK1895" s="41"/>
      <c r="AL1895" s="41"/>
      <c r="AM1895" s="41"/>
      <c r="AN1895" s="41"/>
      <c r="AO1895" s="41"/>
      <c r="AP1895" s="41"/>
      <c r="AQ1895" s="41"/>
    </row>
    <row r="1896">
      <c r="A1896" s="41"/>
      <c r="B1896" s="41"/>
      <c r="C1896" s="41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  <c r="Q1896" s="41"/>
      <c r="R1896" s="41"/>
      <c r="S1896" s="41"/>
      <c r="T1896" s="41"/>
      <c r="U1896" s="41"/>
      <c r="V1896" s="41"/>
      <c r="W1896" s="41"/>
      <c r="X1896" s="41"/>
      <c r="Y1896" s="41"/>
      <c r="Z1896" s="41"/>
      <c r="AA1896" s="41"/>
      <c r="AB1896" s="41"/>
      <c r="AC1896" s="41"/>
      <c r="AD1896" s="41"/>
      <c r="AE1896" s="41"/>
      <c r="AF1896" s="41"/>
      <c r="AG1896" s="41"/>
      <c r="AH1896" s="41"/>
      <c r="AI1896" s="41"/>
      <c r="AJ1896" s="41"/>
      <c r="AK1896" s="41"/>
      <c r="AL1896" s="41"/>
      <c r="AM1896" s="41"/>
      <c r="AN1896" s="41"/>
      <c r="AO1896" s="41"/>
      <c r="AP1896" s="41"/>
      <c r="AQ1896" s="41"/>
    </row>
    <row r="1897">
      <c r="A1897" s="41"/>
      <c r="B1897" s="41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  <c r="Q1897" s="41"/>
      <c r="R1897" s="41"/>
      <c r="S1897" s="41"/>
      <c r="T1897" s="41"/>
      <c r="U1897" s="41"/>
      <c r="V1897" s="41"/>
      <c r="W1897" s="41"/>
      <c r="X1897" s="41"/>
      <c r="Y1897" s="41"/>
      <c r="Z1897" s="41"/>
      <c r="AA1897" s="41"/>
      <c r="AB1897" s="41"/>
      <c r="AC1897" s="41"/>
      <c r="AD1897" s="41"/>
      <c r="AE1897" s="41"/>
      <c r="AF1897" s="41"/>
      <c r="AG1897" s="41"/>
      <c r="AH1897" s="41"/>
      <c r="AI1897" s="41"/>
      <c r="AJ1897" s="41"/>
      <c r="AK1897" s="41"/>
      <c r="AL1897" s="41"/>
      <c r="AM1897" s="41"/>
      <c r="AN1897" s="41"/>
      <c r="AO1897" s="41"/>
      <c r="AP1897" s="41"/>
      <c r="AQ1897" s="41"/>
    </row>
    <row r="1898">
      <c r="A1898" s="41"/>
      <c r="B1898" s="41"/>
      <c r="C1898" s="41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  <c r="Q1898" s="41"/>
      <c r="R1898" s="41"/>
      <c r="S1898" s="41"/>
      <c r="T1898" s="41"/>
      <c r="U1898" s="41"/>
      <c r="V1898" s="41"/>
      <c r="W1898" s="41"/>
      <c r="X1898" s="41"/>
      <c r="Y1898" s="41"/>
      <c r="Z1898" s="41"/>
      <c r="AA1898" s="41"/>
      <c r="AB1898" s="41"/>
      <c r="AC1898" s="41"/>
      <c r="AD1898" s="41"/>
      <c r="AE1898" s="41"/>
      <c r="AF1898" s="41"/>
      <c r="AG1898" s="41"/>
      <c r="AH1898" s="41"/>
      <c r="AI1898" s="41"/>
      <c r="AJ1898" s="41"/>
      <c r="AK1898" s="41"/>
      <c r="AL1898" s="41"/>
      <c r="AM1898" s="41"/>
      <c r="AN1898" s="41"/>
      <c r="AO1898" s="41"/>
      <c r="AP1898" s="41"/>
      <c r="AQ1898" s="41"/>
    </row>
    <row r="1899">
      <c r="A1899" s="41"/>
      <c r="B1899" s="41"/>
      <c r="C1899" s="41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  <c r="Q1899" s="41"/>
      <c r="R1899" s="41"/>
      <c r="S1899" s="41"/>
      <c r="T1899" s="41"/>
      <c r="U1899" s="41"/>
      <c r="V1899" s="41"/>
      <c r="W1899" s="41"/>
      <c r="X1899" s="41"/>
      <c r="Y1899" s="41"/>
      <c r="Z1899" s="41"/>
      <c r="AA1899" s="41"/>
      <c r="AB1899" s="41"/>
      <c r="AC1899" s="41"/>
      <c r="AD1899" s="41"/>
      <c r="AE1899" s="41"/>
      <c r="AF1899" s="41"/>
      <c r="AG1899" s="41"/>
      <c r="AH1899" s="41"/>
      <c r="AI1899" s="41"/>
      <c r="AJ1899" s="41"/>
      <c r="AK1899" s="41"/>
      <c r="AL1899" s="41"/>
      <c r="AM1899" s="41"/>
      <c r="AN1899" s="41"/>
      <c r="AO1899" s="41"/>
      <c r="AP1899" s="41"/>
      <c r="AQ1899" s="41"/>
    </row>
    <row r="1900">
      <c r="A1900" s="41"/>
      <c r="B1900" s="41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  <c r="Q1900" s="41"/>
      <c r="R1900" s="41"/>
      <c r="S1900" s="41"/>
      <c r="T1900" s="41"/>
      <c r="U1900" s="41"/>
      <c r="V1900" s="41"/>
      <c r="W1900" s="41"/>
      <c r="X1900" s="41"/>
      <c r="Y1900" s="41"/>
      <c r="Z1900" s="41"/>
      <c r="AA1900" s="41"/>
      <c r="AB1900" s="41"/>
      <c r="AC1900" s="41"/>
      <c r="AD1900" s="41"/>
      <c r="AE1900" s="41"/>
      <c r="AF1900" s="41"/>
      <c r="AG1900" s="41"/>
      <c r="AH1900" s="41"/>
      <c r="AI1900" s="41"/>
      <c r="AJ1900" s="41"/>
      <c r="AK1900" s="41"/>
      <c r="AL1900" s="41"/>
      <c r="AM1900" s="41"/>
      <c r="AN1900" s="41"/>
      <c r="AO1900" s="41"/>
      <c r="AP1900" s="41"/>
      <c r="AQ1900" s="41"/>
    </row>
    <row r="1901">
      <c r="A1901" s="41"/>
      <c r="B1901" s="41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  <c r="V1901" s="41"/>
      <c r="W1901" s="41"/>
      <c r="X1901" s="41"/>
      <c r="Y1901" s="41"/>
      <c r="Z1901" s="41"/>
      <c r="AA1901" s="41"/>
      <c r="AB1901" s="41"/>
      <c r="AC1901" s="41"/>
      <c r="AD1901" s="41"/>
      <c r="AE1901" s="41"/>
      <c r="AF1901" s="41"/>
      <c r="AG1901" s="41"/>
      <c r="AH1901" s="41"/>
      <c r="AI1901" s="41"/>
      <c r="AJ1901" s="41"/>
      <c r="AK1901" s="41"/>
      <c r="AL1901" s="41"/>
      <c r="AM1901" s="41"/>
      <c r="AN1901" s="41"/>
      <c r="AO1901" s="41"/>
      <c r="AP1901" s="41"/>
      <c r="AQ1901" s="41"/>
    </row>
    <row r="1902">
      <c r="A1902" s="41"/>
      <c r="B1902" s="41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1"/>
      <c r="Q1902" s="41"/>
      <c r="R1902" s="41"/>
      <c r="S1902" s="41"/>
      <c r="T1902" s="41"/>
      <c r="U1902" s="41"/>
      <c r="V1902" s="41"/>
      <c r="W1902" s="41"/>
      <c r="X1902" s="41"/>
      <c r="Y1902" s="41"/>
      <c r="Z1902" s="41"/>
      <c r="AA1902" s="41"/>
      <c r="AB1902" s="41"/>
      <c r="AC1902" s="41"/>
      <c r="AD1902" s="41"/>
      <c r="AE1902" s="41"/>
      <c r="AF1902" s="41"/>
      <c r="AG1902" s="41"/>
      <c r="AH1902" s="41"/>
      <c r="AI1902" s="41"/>
      <c r="AJ1902" s="41"/>
      <c r="AK1902" s="41"/>
      <c r="AL1902" s="41"/>
      <c r="AM1902" s="41"/>
      <c r="AN1902" s="41"/>
      <c r="AO1902" s="41"/>
      <c r="AP1902" s="41"/>
      <c r="AQ1902" s="41"/>
    </row>
    <row r="1903">
      <c r="A1903" s="41"/>
      <c r="B1903" s="41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1"/>
      <c r="Q1903" s="41"/>
      <c r="R1903" s="41"/>
      <c r="S1903" s="41"/>
      <c r="T1903" s="41"/>
      <c r="U1903" s="41"/>
      <c r="V1903" s="41"/>
      <c r="W1903" s="41"/>
      <c r="X1903" s="41"/>
      <c r="Y1903" s="41"/>
      <c r="Z1903" s="41"/>
      <c r="AA1903" s="41"/>
      <c r="AB1903" s="41"/>
      <c r="AC1903" s="41"/>
      <c r="AD1903" s="41"/>
      <c r="AE1903" s="41"/>
      <c r="AF1903" s="41"/>
      <c r="AG1903" s="41"/>
      <c r="AH1903" s="41"/>
      <c r="AI1903" s="41"/>
      <c r="AJ1903" s="41"/>
      <c r="AK1903" s="41"/>
      <c r="AL1903" s="41"/>
      <c r="AM1903" s="41"/>
      <c r="AN1903" s="41"/>
      <c r="AO1903" s="41"/>
      <c r="AP1903" s="41"/>
      <c r="AQ1903" s="41"/>
    </row>
    <row r="1904">
      <c r="A1904" s="41"/>
      <c r="B1904" s="41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1"/>
      <c r="Q1904" s="41"/>
      <c r="R1904" s="41"/>
      <c r="S1904" s="41"/>
      <c r="T1904" s="41"/>
      <c r="U1904" s="41"/>
      <c r="V1904" s="41"/>
      <c r="W1904" s="41"/>
      <c r="X1904" s="41"/>
      <c r="Y1904" s="41"/>
      <c r="Z1904" s="41"/>
      <c r="AA1904" s="41"/>
      <c r="AB1904" s="41"/>
      <c r="AC1904" s="41"/>
      <c r="AD1904" s="41"/>
      <c r="AE1904" s="41"/>
      <c r="AF1904" s="41"/>
      <c r="AG1904" s="41"/>
      <c r="AH1904" s="41"/>
      <c r="AI1904" s="41"/>
      <c r="AJ1904" s="41"/>
      <c r="AK1904" s="41"/>
      <c r="AL1904" s="41"/>
      <c r="AM1904" s="41"/>
      <c r="AN1904" s="41"/>
      <c r="AO1904" s="41"/>
      <c r="AP1904" s="41"/>
      <c r="AQ1904" s="41"/>
    </row>
    <row r="1905">
      <c r="A1905" s="41"/>
      <c r="B1905" s="41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  <c r="Q1905" s="41"/>
      <c r="R1905" s="41"/>
      <c r="S1905" s="41"/>
      <c r="T1905" s="41"/>
      <c r="U1905" s="41"/>
      <c r="V1905" s="41"/>
      <c r="W1905" s="41"/>
      <c r="X1905" s="41"/>
      <c r="Y1905" s="41"/>
      <c r="Z1905" s="41"/>
      <c r="AA1905" s="41"/>
      <c r="AB1905" s="41"/>
      <c r="AC1905" s="41"/>
      <c r="AD1905" s="41"/>
      <c r="AE1905" s="41"/>
      <c r="AF1905" s="41"/>
      <c r="AG1905" s="41"/>
      <c r="AH1905" s="41"/>
      <c r="AI1905" s="41"/>
      <c r="AJ1905" s="41"/>
      <c r="AK1905" s="41"/>
      <c r="AL1905" s="41"/>
      <c r="AM1905" s="41"/>
      <c r="AN1905" s="41"/>
      <c r="AO1905" s="41"/>
      <c r="AP1905" s="41"/>
      <c r="AQ1905" s="41"/>
    </row>
    <row r="1906">
      <c r="A1906" s="41"/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  <c r="AH1906" s="41"/>
      <c r="AI1906" s="41"/>
      <c r="AJ1906" s="41"/>
      <c r="AK1906" s="41"/>
      <c r="AL1906" s="41"/>
      <c r="AM1906" s="41"/>
      <c r="AN1906" s="41"/>
      <c r="AO1906" s="41"/>
      <c r="AP1906" s="41"/>
      <c r="AQ1906" s="41"/>
    </row>
    <row r="1907">
      <c r="A1907" s="41"/>
      <c r="B1907" s="41"/>
      <c r="C1907" s="41"/>
      <c r="D1907" s="41"/>
      <c r="E1907" s="41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41"/>
      <c r="Q1907" s="41"/>
      <c r="R1907" s="41"/>
      <c r="S1907" s="41"/>
      <c r="T1907" s="41"/>
      <c r="U1907" s="41"/>
      <c r="V1907" s="41"/>
      <c r="W1907" s="41"/>
      <c r="X1907" s="41"/>
      <c r="Y1907" s="41"/>
      <c r="Z1907" s="41"/>
      <c r="AA1907" s="41"/>
      <c r="AB1907" s="41"/>
      <c r="AC1907" s="41"/>
      <c r="AD1907" s="41"/>
      <c r="AE1907" s="41"/>
      <c r="AF1907" s="41"/>
      <c r="AG1907" s="41"/>
      <c r="AH1907" s="41"/>
      <c r="AI1907" s="41"/>
      <c r="AJ1907" s="41"/>
      <c r="AK1907" s="41"/>
      <c r="AL1907" s="41"/>
      <c r="AM1907" s="41"/>
      <c r="AN1907" s="41"/>
      <c r="AO1907" s="41"/>
      <c r="AP1907" s="41"/>
      <c r="AQ1907" s="41"/>
    </row>
    <row r="1908">
      <c r="A1908" s="41"/>
      <c r="B1908" s="41"/>
      <c r="C1908" s="41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41"/>
      <c r="Q1908" s="41"/>
      <c r="R1908" s="41"/>
      <c r="S1908" s="41"/>
      <c r="T1908" s="41"/>
      <c r="U1908" s="41"/>
      <c r="V1908" s="41"/>
      <c r="W1908" s="41"/>
      <c r="X1908" s="41"/>
      <c r="Y1908" s="41"/>
      <c r="Z1908" s="41"/>
      <c r="AA1908" s="41"/>
      <c r="AB1908" s="41"/>
      <c r="AC1908" s="41"/>
      <c r="AD1908" s="41"/>
      <c r="AE1908" s="41"/>
      <c r="AF1908" s="41"/>
      <c r="AG1908" s="41"/>
      <c r="AH1908" s="41"/>
      <c r="AI1908" s="41"/>
      <c r="AJ1908" s="41"/>
      <c r="AK1908" s="41"/>
      <c r="AL1908" s="41"/>
      <c r="AM1908" s="41"/>
      <c r="AN1908" s="41"/>
      <c r="AO1908" s="41"/>
      <c r="AP1908" s="41"/>
      <c r="AQ1908" s="41"/>
    </row>
    <row r="1909">
      <c r="A1909" s="41"/>
      <c r="B1909" s="41"/>
      <c r="C1909" s="41"/>
      <c r="D1909" s="41"/>
      <c r="E1909" s="41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41"/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  <c r="AA1909" s="41"/>
      <c r="AB1909" s="41"/>
      <c r="AC1909" s="41"/>
      <c r="AD1909" s="41"/>
      <c r="AE1909" s="41"/>
      <c r="AF1909" s="41"/>
      <c r="AG1909" s="41"/>
      <c r="AH1909" s="41"/>
      <c r="AI1909" s="41"/>
      <c r="AJ1909" s="41"/>
      <c r="AK1909" s="41"/>
      <c r="AL1909" s="41"/>
      <c r="AM1909" s="41"/>
      <c r="AN1909" s="41"/>
      <c r="AO1909" s="41"/>
      <c r="AP1909" s="41"/>
      <c r="AQ1909" s="41"/>
    </row>
    <row r="1910">
      <c r="A1910" s="41"/>
      <c r="B1910" s="41"/>
      <c r="C1910" s="41"/>
      <c r="D1910" s="41"/>
      <c r="E1910" s="41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41"/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  <c r="AA1910" s="41"/>
      <c r="AB1910" s="41"/>
      <c r="AC1910" s="41"/>
      <c r="AD1910" s="41"/>
      <c r="AE1910" s="41"/>
      <c r="AF1910" s="41"/>
      <c r="AG1910" s="41"/>
      <c r="AH1910" s="41"/>
      <c r="AI1910" s="41"/>
      <c r="AJ1910" s="41"/>
      <c r="AK1910" s="41"/>
      <c r="AL1910" s="41"/>
      <c r="AM1910" s="41"/>
      <c r="AN1910" s="41"/>
      <c r="AO1910" s="41"/>
      <c r="AP1910" s="41"/>
      <c r="AQ1910" s="41"/>
    </row>
    <row r="1911">
      <c r="A1911" s="41"/>
      <c r="B1911" s="41"/>
      <c r="C1911" s="41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  <c r="AA1911" s="41"/>
      <c r="AB1911" s="41"/>
      <c r="AC1911" s="41"/>
      <c r="AD1911" s="41"/>
      <c r="AE1911" s="41"/>
      <c r="AF1911" s="41"/>
      <c r="AG1911" s="41"/>
      <c r="AH1911" s="41"/>
      <c r="AI1911" s="41"/>
      <c r="AJ1911" s="41"/>
      <c r="AK1911" s="41"/>
      <c r="AL1911" s="41"/>
      <c r="AM1911" s="41"/>
      <c r="AN1911" s="41"/>
      <c r="AO1911" s="41"/>
      <c r="AP1911" s="41"/>
      <c r="AQ1911" s="41"/>
    </row>
    <row r="1912">
      <c r="A1912" s="41"/>
      <c r="B1912" s="41"/>
      <c r="C1912" s="41"/>
      <c r="D1912" s="41"/>
      <c r="E1912" s="41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41"/>
      <c r="Q1912" s="41"/>
      <c r="R1912" s="41"/>
      <c r="S1912" s="41"/>
      <c r="T1912" s="41"/>
      <c r="U1912" s="41"/>
      <c r="V1912" s="41"/>
      <c r="W1912" s="41"/>
      <c r="X1912" s="41"/>
      <c r="Y1912" s="41"/>
      <c r="Z1912" s="41"/>
      <c r="AA1912" s="41"/>
      <c r="AB1912" s="41"/>
      <c r="AC1912" s="41"/>
      <c r="AD1912" s="41"/>
      <c r="AE1912" s="41"/>
      <c r="AF1912" s="41"/>
      <c r="AG1912" s="41"/>
      <c r="AH1912" s="41"/>
      <c r="AI1912" s="41"/>
      <c r="AJ1912" s="41"/>
      <c r="AK1912" s="41"/>
      <c r="AL1912" s="41"/>
      <c r="AM1912" s="41"/>
      <c r="AN1912" s="41"/>
      <c r="AO1912" s="41"/>
      <c r="AP1912" s="41"/>
      <c r="AQ1912" s="41"/>
    </row>
    <row r="1913">
      <c r="A1913" s="41"/>
      <c r="B1913" s="41"/>
      <c r="C1913" s="41"/>
      <c r="D1913" s="41"/>
      <c r="E1913" s="41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41"/>
      <c r="Q1913" s="41"/>
      <c r="R1913" s="41"/>
      <c r="S1913" s="41"/>
      <c r="T1913" s="41"/>
      <c r="U1913" s="41"/>
      <c r="V1913" s="41"/>
      <c r="W1913" s="41"/>
      <c r="X1913" s="41"/>
      <c r="Y1913" s="41"/>
      <c r="Z1913" s="41"/>
      <c r="AA1913" s="41"/>
      <c r="AB1913" s="41"/>
      <c r="AC1913" s="41"/>
      <c r="AD1913" s="41"/>
      <c r="AE1913" s="41"/>
      <c r="AF1913" s="41"/>
      <c r="AG1913" s="41"/>
      <c r="AH1913" s="41"/>
      <c r="AI1913" s="41"/>
      <c r="AJ1913" s="41"/>
      <c r="AK1913" s="41"/>
      <c r="AL1913" s="41"/>
      <c r="AM1913" s="41"/>
      <c r="AN1913" s="41"/>
      <c r="AO1913" s="41"/>
      <c r="AP1913" s="41"/>
      <c r="AQ1913" s="41"/>
    </row>
    <row r="1914">
      <c r="A1914" s="41"/>
      <c r="B1914" s="41"/>
      <c r="C1914" s="41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41"/>
      <c r="Q1914" s="41"/>
      <c r="R1914" s="41"/>
      <c r="S1914" s="41"/>
      <c r="T1914" s="41"/>
      <c r="U1914" s="41"/>
      <c r="V1914" s="41"/>
      <c r="W1914" s="41"/>
      <c r="X1914" s="41"/>
      <c r="Y1914" s="41"/>
      <c r="Z1914" s="41"/>
      <c r="AA1914" s="41"/>
      <c r="AB1914" s="41"/>
      <c r="AC1914" s="41"/>
      <c r="AD1914" s="41"/>
      <c r="AE1914" s="41"/>
      <c r="AF1914" s="41"/>
      <c r="AG1914" s="41"/>
      <c r="AH1914" s="41"/>
      <c r="AI1914" s="41"/>
      <c r="AJ1914" s="41"/>
      <c r="AK1914" s="41"/>
      <c r="AL1914" s="41"/>
      <c r="AM1914" s="41"/>
      <c r="AN1914" s="41"/>
      <c r="AO1914" s="41"/>
      <c r="AP1914" s="41"/>
      <c r="AQ1914" s="41"/>
    </row>
    <row r="1915">
      <c r="A1915" s="41"/>
      <c r="B1915" s="41"/>
      <c r="C1915" s="41"/>
      <c r="D1915" s="41"/>
      <c r="E1915" s="41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41"/>
      <c r="Q1915" s="41"/>
      <c r="R1915" s="41"/>
      <c r="S1915" s="41"/>
      <c r="T1915" s="41"/>
      <c r="U1915" s="41"/>
      <c r="V1915" s="41"/>
      <c r="W1915" s="41"/>
      <c r="X1915" s="41"/>
      <c r="Y1915" s="41"/>
      <c r="Z1915" s="41"/>
      <c r="AA1915" s="41"/>
      <c r="AB1915" s="41"/>
      <c r="AC1915" s="41"/>
      <c r="AD1915" s="41"/>
      <c r="AE1915" s="41"/>
      <c r="AF1915" s="41"/>
      <c r="AG1915" s="41"/>
      <c r="AH1915" s="41"/>
      <c r="AI1915" s="41"/>
      <c r="AJ1915" s="41"/>
      <c r="AK1915" s="41"/>
      <c r="AL1915" s="41"/>
      <c r="AM1915" s="41"/>
      <c r="AN1915" s="41"/>
      <c r="AO1915" s="41"/>
      <c r="AP1915" s="41"/>
      <c r="AQ1915" s="41"/>
    </row>
    <row r="1916">
      <c r="A1916" s="41"/>
      <c r="B1916" s="41"/>
      <c r="C1916" s="41"/>
      <c r="D1916" s="41"/>
      <c r="E1916" s="41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41"/>
      <c r="Q1916" s="41"/>
      <c r="R1916" s="41"/>
      <c r="S1916" s="41"/>
      <c r="T1916" s="41"/>
      <c r="U1916" s="41"/>
      <c r="V1916" s="41"/>
      <c r="W1916" s="41"/>
      <c r="X1916" s="41"/>
      <c r="Y1916" s="41"/>
      <c r="Z1916" s="41"/>
      <c r="AA1916" s="41"/>
      <c r="AB1916" s="41"/>
      <c r="AC1916" s="41"/>
      <c r="AD1916" s="41"/>
      <c r="AE1916" s="41"/>
      <c r="AF1916" s="41"/>
      <c r="AG1916" s="41"/>
      <c r="AH1916" s="41"/>
      <c r="AI1916" s="41"/>
      <c r="AJ1916" s="41"/>
      <c r="AK1916" s="41"/>
      <c r="AL1916" s="41"/>
      <c r="AM1916" s="41"/>
      <c r="AN1916" s="41"/>
      <c r="AO1916" s="41"/>
      <c r="AP1916" s="41"/>
      <c r="AQ1916" s="41"/>
    </row>
    <row r="1917">
      <c r="A1917" s="41"/>
      <c r="B1917" s="41"/>
      <c r="C1917" s="41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41"/>
      <c r="Q1917" s="41"/>
      <c r="R1917" s="41"/>
      <c r="S1917" s="41"/>
      <c r="T1917" s="41"/>
      <c r="U1917" s="41"/>
      <c r="V1917" s="41"/>
      <c r="W1917" s="41"/>
      <c r="X1917" s="41"/>
      <c r="Y1917" s="41"/>
      <c r="Z1917" s="41"/>
      <c r="AA1917" s="41"/>
      <c r="AB1917" s="41"/>
      <c r="AC1917" s="41"/>
      <c r="AD1917" s="41"/>
      <c r="AE1917" s="41"/>
      <c r="AF1917" s="41"/>
      <c r="AG1917" s="41"/>
      <c r="AH1917" s="41"/>
      <c r="AI1917" s="41"/>
      <c r="AJ1917" s="41"/>
      <c r="AK1917" s="41"/>
      <c r="AL1917" s="41"/>
      <c r="AM1917" s="41"/>
      <c r="AN1917" s="41"/>
      <c r="AO1917" s="41"/>
      <c r="AP1917" s="41"/>
      <c r="AQ1917" s="41"/>
    </row>
    <row r="1918">
      <c r="A1918" s="41"/>
      <c r="B1918" s="41"/>
      <c r="C1918" s="41"/>
      <c r="D1918" s="41"/>
      <c r="E1918" s="41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41"/>
      <c r="Q1918" s="41"/>
      <c r="R1918" s="41"/>
      <c r="S1918" s="41"/>
      <c r="T1918" s="41"/>
      <c r="U1918" s="41"/>
      <c r="V1918" s="41"/>
      <c r="W1918" s="41"/>
      <c r="X1918" s="41"/>
      <c r="Y1918" s="41"/>
      <c r="Z1918" s="41"/>
      <c r="AA1918" s="41"/>
      <c r="AB1918" s="41"/>
      <c r="AC1918" s="41"/>
      <c r="AD1918" s="41"/>
      <c r="AE1918" s="41"/>
      <c r="AF1918" s="41"/>
      <c r="AG1918" s="41"/>
      <c r="AH1918" s="41"/>
      <c r="AI1918" s="41"/>
      <c r="AJ1918" s="41"/>
      <c r="AK1918" s="41"/>
      <c r="AL1918" s="41"/>
      <c r="AM1918" s="41"/>
      <c r="AN1918" s="41"/>
      <c r="AO1918" s="41"/>
      <c r="AP1918" s="41"/>
      <c r="AQ1918" s="41"/>
    </row>
    <row r="1919">
      <c r="A1919" s="41"/>
      <c r="B1919" s="41"/>
      <c r="C1919" s="41"/>
      <c r="D1919" s="41"/>
      <c r="E1919" s="41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41"/>
      <c r="Q1919" s="41"/>
      <c r="R1919" s="41"/>
      <c r="S1919" s="41"/>
      <c r="T1919" s="41"/>
      <c r="U1919" s="41"/>
      <c r="V1919" s="41"/>
      <c r="W1919" s="41"/>
      <c r="X1919" s="41"/>
      <c r="Y1919" s="41"/>
      <c r="Z1919" s="41"/>
      <c r="AA1919" s="41"/>
      <c r="AB1919" s="41"/>
      <c r="AC1919" s="41"/>
      <c r="AD1919" s="41"/>
      <c r="AE1919" s="41"/>
      <c r="AF1919" s="41"/>
      <c r="AG1919" s="41"/>
      <c r="AH1919" s="41"/>
      <c r="AI1919" s="41"/>
      <c r="AJ1919" s="41"/>
      <c r="AK1919" s="41"/>
      <c r="AL1919" s="41"/>
      <c r="AM1919" s="41"/>
      <c r="AN1919" s="41"/>
      <c r="AO1919" s="41"/>
      <c r="AP1919" s="41"/>
      <c r="AQ1919" s="41"/>
    </row>
    <row r="1920">
      <c r="A1920" s="41"/>
      <c r="B1920" s="41"/>
      <c r="C1920" s="41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41"/>
      <c r="Q1920" s="41"/>
      <c r="R1920" s="41"/>
      <c r="S1920" s="41"/>
      <c r="T1920" s="41"/>
      <c r="U1920" s="41"/>
      <c r="V1920" s="41"/>
      <c r="W1920" s="41"/>
      <c r="X1920" s="41"/>
      <c r="Y1920" s="41"/>
      <c r="Z1920" s="41"/>
      <c r="AA1920" s="41"/>
      <c r="AB1920" s="41"/>
      <c r="AC1920" s="41"/>
      <c r="AD1920" s="41"/>
      <c r="AE1920" s="41"/>
      <c r="AF1920" s="41"/>
      <c r="AG1920" s="41"/>
      <c r="AH1920" s="41"/>
      <c r="AI1920" s="41"/>
      <c r="AJ1920" s="41"/>
      <c r="AK1920" s="41"/>
      <c r="AL1920" s="41"/>
      <c r="AM1920" s="41"/>
      <c r="AN1920" s="41"/>
      <c r="AO1920" s="41"/>
      <c r="AP1920" s="41"/>
      <c r="AQ1920" s="41"/>
    </row>
    <row r="1921">
      <c r="A1921" s="41"/>
      <c r="B1921" s="41"/>
      <c r="C1921" s="41"/>
      <c r="D1921" s="41"/>
      <c r="E1921" s="41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41"/>
      <c r="Q1921" s="41"/>
      <c r="R1921" s="41"/>
      <c r="S1921" s="41"/>
      <c r="T1921" s="41"/>
      <c r="U1921" s="41"/>
      <c r="V1921" s="41"/>
      <c r="W1921" s="41"/>
      <c r="X1921" s="41"/>
      <c r="Y1921" s="41"/>
      <c r="Z1921" s="41"/>
      <c r="AA1921" s="41"/>
      <c r="AB1921" s="41"/>
      <c r="AC1921" s="41"/>
      <c r="AD1921" s="41"/>
      <c r="AE1921" s="41"/>
      <c r="AF1921" s="41"/>
      <c r="AG1921" s="41"/>
      <c r="AH1921" s="41"/>
      <c r="AI1921" s="41"/>
      <c r="AJ1921" s="41"/>
      <c r="AK1921" s="41"/>
      <c r="AL1921" s="41"/>
      <c r="AM1921" s="41"/>
      <c r="AN1921" s="41"/>
      <c r="AO1921" s="41"/>
      <c r="AP1921" s="41"/>
      <c r="AQ1921" s="41"/>
    </row>
    <row r="1922">
      <c r="A1922" s="41"/>
      <c r="B1922" s="41"/>
      <c r="C1922" s="41"/>
      <c r="D1922" s="41"/>
      <c r="E1922" s="41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41"/>
      <c r="Q1922" s="41"/>
      <c r="R1922" s="41"/>
      <c r="S1922" s="41"/>
      <c r="T1922" s="41"/>
      <c r="U1922" s="41"/>
      <c r="V1922" s="41"/>
      <c r="W1922" s="41"/>
      <c r="X1922" s="41"/>
      <c r="Y1922" s="41"/>
      <c r="Z1922" s="41"/>
      <c r="AA1922" s="41"/>
      <c r="AB1922" s="41"/>
      <c r="AC1922" s="41"/>
      <c r="AD1922" s="41"/>
      <c r="AE1922" s="41"/>
      <c r="AF1922" s="41"/>
      <c r="AG1922" s="41"/>
      <c r="AH1922" s="41"/>
      <c r="AI1922" s="41"/>
      <c r="AJ1922" s="41"/>
      <c r="AK1922" s="41"/>
      <c r="AL1922" s="41"/>
      <c r="AM1922" s="41"/>
      <c r="AN1922" s="41"/>
      <c r="AO1922" s="41"/>
      <c r="AP1922" s="41"/>
      <c r="AQ1922" s="41"/>
    </row>
    <row r="1923">
      <c r="A1923" s="41"/>
      <c r="B1923" s="41"/>
      <c r="C1923" s="41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  <c r="AA1923" s="41"/>
      <c r="AB1923" s="41"/>
      <c r="AC1923" s="41"/>
      <c r="AD1923" s="41"/>
      <c r="AE1923" s="41"/>
      <c r="AF1923" s="41"/>
      <c r="AG1923" s="41"/>
      <c r="AH1923" s="41"/>
      <c r="AI1923" s="41"/>
      <c r="AJ1923" s="41"/>
      <c r="AK1923" s="41"/>
      <c r="AL1923" s="41"/>
      <c r="AM1923" s="41"/>
      <c r="AN1923" s="41"/>
      <c r="AO1923" s="41"/>
      <c r="AP1923" s="41"/>
      <c r="AQ1923" s="41"/>
    </row>
    <row r="1924">
      <c r="A1924" s="41"/>
      <c r="B1924" s="41"/>
      <c r="C1924" s="41"/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  <c r="AA1924" s="41"/>
      <c r="AB1924" s="41"/>
      <c r="AC1924" s="41"/>
      <c r="AD1924" s="41"/>
      <c r="AE1924" s="41"/>
      <c r="AF1924" s="41"/>
      <c r="AG1924" s="41"/>
      <c r="AH1924" s="41"/>
      <c r="AI1924" s="41"/>
      <c r="AJ1924" s="41"/>
      <c r="AK1924" s="41"/>
      <c r="AL1924" s="41"/>
      <c r="AM1924" s="41"/>
      <c r="AN1924" s="41"/>
      <c r="AO1924" s="41"/>
      <c r="AP1924" s="41"/>
      <c r="AQ1924" s="41"/>
    </row>
    <row r="1925">
      <c r="A1925" s="41"/>
      <c r="B1925" s="41"/>
      <c r="C1925" s="41"/>
      <c r="D1925" s="41"/>
      <c r="E1925" s="41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41"/>
      <c r="Q1925" s="41"/>
      <c r="R1925" s="41"/>
      <c r="S1925" s="41"/>
      <c r="T1925" s="41"/>
      <c r="U1925" s="41"/>
      <c r="V1925" s="41"/>
      <c r="W1925" s="41"/>
      <c r="X1925" s="41"/>
      <c r="Y1925" s="41"/>
      <c r="Z1925" s="41"/>
      <c r="AA1925" s="41"/>
      <c r="AB1925" s="41"/>
      <c r="AC1925" s="41"/>
      <c r="AD1925" s="41"/>
      <c r="AE1925" s="41"/>
      <c r="AF1925" s="41"/>
      <c r="AG1925" s="41"/>
      <c r="AH1925" s="41"/>
      <c r="AI1925" s="41"/>
      <c r="AJ1925" s="41"/>
      <c r="AK1925" s="41"/>
      <c r="AL1925" s="41"/>
      <c r="AM1925" s="41"/>
      <c r="AN1925" s="41"/>
      <c r="AO1925" s="41"/>
      <c r="AP1925" s="41"/>
      <c r="AQ1925" s="41"/>
    </row>
    <row r="1926">
      <c r="A1926" s="41"/>
      <c r="B1926" s="41"/>
      <c r="C1926" s="41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41"/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  <c r="AA1926" s="41"/>
      <c r="AB1926" s="41"/>
      <c r="AC1926" s="41"/>
      <c r="AD1926" s="41"/>
      <c r="AE1926" s="41"/>
      <c r="AF1926" s="41"/>
      <c r="AG1926" s="41"/>
      <c r="AH1926" s="41"/>
      <c r="AI1926" s="41"/>
      <c r="AJ1926" s="41"/>
      <c r="AK1926" s="41"/>
      <c r="AL1926" s="41"/>
      <c r="AM1926" s="41"/>
      <c r="AN1926" s="41"/>
      <c r="AO1926" s="41"/>
      <c r="AP1926" s="41"/>
      <c r="AQ1926" s="41"/>
    </row>
    <row r="1927">
      <c r="A1927" s="41"/>
      <c r="B1927" s="41"/>
      <c r="C1927" s="41"/>
      <c r="D1927" s="41"/>
      <c r="E1927" s="41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41"/>
      <c r="Q1927" s="41"/>
      <c r="R1927" s="41"/>
      <c r="S1927" s="41"/>
      <c r="T1927" s="41"/>
      <c r="U1927" s="41"/>
      <c r="V1927" s="41"/>
      <c r="W1927" s="41"/>
      <c r="X1927" s="41"/>
      <c r="Y1927" s="41"/>
      <c r="Z1927" s="41"/>
      <c r="AA1927" s="41"/>
      <c r="AB1927" s="41"/>
      <c r="AC1927" s="41"/>
      <c r="AD1927" s="41"/>
      <c r="AE1927" s="41"/>
      <c r="AF1927" s="41"/>
      <c r="AG1927" s="41"/>
      <c r="AH1927" s="41"/>
      <c r="AI1927" s="41"/>
      <c r="AJ1927" s="41"/>
      <c r="AK1927" s="41"/>
      <c r="AL1927" s="41"/>
      <c r="AM1927" s="41"/>
      <c r="AN1927" s="41"/>
      <c r="AO1927" s="41"/>
      <c r="AP1927" s="41"/>
      <c r="AQ1927" s="41"/>
    </row>
    <row r="1928">
      <c r="A1928" s="41"/>
      <c r="B1928" s="41"/>
      <c r="C1928" s="41"/>
      <c r="D1928" s="41"/>
      <c r="E1928" s="41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41"/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  <c r="AA1928" s="41"/>
      <c r="AB1928" s="41"/>
      <c r="AC1928" s="41"/>
      <c r="AD1928" s="41"/>
      <c r="AE1928" s="41"/>
      <c r="AF1928" s="41"/>
      <c r="AG1928" s="41"/>
      <c r="AH1928" s="41"/>
      <c r="AI1928" s="41"/>
      <c r="AJ1928" s="41"/>
      <c r="AK1928" s="41"/>
      <c r="AL1928" s="41"/>
      <c r="AM1928" s="41"/>
      <c r="AN1928" s="41"/>
      <c r="AO1928" s="41"/>
      <c r="AP1928" s="41"/>
      <c r="AQ1928" s="41"/>
    </row>
    <row r="1929">
      <c r="A1929" s="41"/>
      <c r="B1929" s="41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  <c r="AA1929" s="41"/>
      <c r="AB1929" s="41"/>
      <c r="AC1929" s="41"/>
      <c r="AD1929" s="41"/>
      <c r="AE1929" s="41"/>
      <c r="AF1929" s="41"/>
      <c r="AG1929" s="41"/>
      <c r="AH1929" s="41"/>
      <c r="AI1929" s="41"/>
      <c r="AJ1929" s="41"/>
      <c r="AK1929" s="41"/>
      <c r="AL1929" s="41"/>
      <c r="AM1929" s="41"/>
      <c r="AN1929" s="41"/>
      <c r="AO1929" s="41"/>
      <c r="AP1929" s="41"/>
      <c r="AQ1929" s="41"/>
    </row>
    <row r="1930">
      <c r="A1930" s="41"/>
      <c r="B1930" s="41"/>
      <c r="C1930" s="41"/>
      <c r="D1930" s="41"/>
      <c r="E1930" s="41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41"/>
      <c r="Q1930" s="41"/>
      <c r="R1930" s="41"/>
      <c r="S1930" s="41"/>
      <c r="T1930" s="41"/>
      <c r="U1930" s="41"/>
      <c r="V1930" s="41"/>
      <c r="W1930" s="41"/>
      <c r="X1930" s="41"/>
      <c r="Y1930" s="41"/>
      <c r="Z1930" s="41"/>
      <c r="AA1930" s="41"/>
      <c r="AB1930" s="41"/>
      <c r="AC1930" s="41"/>
      <c r="AD1930" s="41"/>
      <c r="AE1930" s="41"/>
      <c r="AF1930" s="41"/>
      <c r="AG1930" s="41"/>
      <c r="AH1930" s="41"/>
      <c r="AI1930" s="41"/>
      <c r="AJ1930" s="41"/>
      <c r="AK1930" s="41"/>
      <c r="AL1930" s="41"/>
      <c r="AM1930" s="41"/>
      <c r="AN1930" s="41"/>
      <c r="AO1930" s="41"/>
      <c r="AP1930" s="41"/>
      <c r="AQ1930" s="41"/>
    </row>
    <row r="1931">
      <c r="A1931" s="41"/>
      <c r="B1931" s="41"/>
      <c r="C1931" s="41"/>
      <c r="D1931" s="41"/>
      <c r="E1931" s="41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41"/>
      <c r="Q1931" s="41"/>
      <c r="R1931" s="41"/>
      <c r="S1931" s="41"/>
      <c r="T1931" s="41"/>
      <c r="U1931" s="41"/>
      <c r="V1931" s="41"/>
      <c r="W1931" s="41"/>
      <c r="X1931" s="41"/>
      <c r="Y1931" s="41"/>
      <c r="Z1931" s="41"/>
      <c r="AA1931" s="41"/>
      <c r="AB1931" s="41"/>
      <c r="AC1931" s="41"/>
      <c r="AD1931" s="41"/>
      <c r="AE1931" s="41"/>
      <c r="AF1931" s="41"/>
      <c r="AG1931" s="41"/>
      <c r="AH1931" s="41"/>
      <c r="AI1931" s="41"/>
      <c r="AJ1931" s="41"/>
      <c r="AK1931" s="41"/>
      <c r="AL1931" s="41"/>
      <c r="AM1931" s="41"/>
      <c r="AN1931" s="41"/>
      <c r="AO1931" s="41"/>
      <c r="AP1931" s="41"/>
      <c r="AQ1931" s="41"/>
    </row>
    <row r="1932">
      <c r="A1932" s="41"/>
      <c r="B1932" s="41"/>
      <c r="C1932" s="41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41"/>
      <c r="Q1932" s="41"/>
      <c r="R1932" s="41"/>
      <c r="S1932" s="41"/>
      <c r="T1932" s="41"/>
      <c r="U1932" s="41"/>
      <c r="V1932" s="41"/>
      <c r="W1932" s="41"/>
      <c r="X1932" s="41"/>
      <c r="Y1932" s="41"/>
      <c r="Z1932" s="41"/>
      <c r="AA1932" s="41"/>
      <c r="AB1932" s="41"/>
      <c r="AC1932" s="41"/>
      <c r="AD1932" s="41"/>
      <c r="AE1932" s="41"/>
      <c r="AF1932" s="41"/>
      <c r="AG1932" s="41"/>
      <c r="AH1932" s="41"/>
      <c r="AI1932" s="41"/>
      <c r="AJ1932" s="41"/>
      <c r="AK1932" s="41"/>
      <c r="AL1932" s="41"/>
      <c r="AM1932" s="41"/>
      <c r="AN1932" s="41"/>
      <c r="AO1932" s="41"/>
      <c r="AP1932" s="41"/>
      <c r="AQ1932" s="41"/>
    </row>
    <row r="1933">
      <c r="A1933" s="41"/>
      <c r="B1933" s="41"/>
      <c r="C1933" s="41"/>
      <c r="D1933" s="41"/>
      <c r="E1933" s="41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41"/>
      <c r="Q1933" s="41"/>
      <c r="R1933" s="41"/>
      <c r="S1933" s="41"/>
      <c r="T1933" s="41"/>
      <c r="U1933" s="41"/>
      <c r="V1933" s="41"/>
      <c r="W1933" s="41"/>
      <c r="X1933" s="41"/>
      <c r="Y1933" s="41"/>
      <c r="Z1933" s="41"/>
      <c r="AA1933" s="41"/>
      <c r="AB1933" s="41"/>
      <c r="AC1933" s="41"/>
      <c r="AD1933" s="41"/>
      <c r="AE1933" s="41"/>
      <c r="AF1933" s="41"/>
      <c r="AG1933" s="41"/>
      <c r="AH1933" s="41"/>
      <c r="AI1933" s="41"/>
      <c r="AJ1933" s="41"/>
      <c r="AK1933" s="41"/>
      <c r="AL1933" s="41"/>
      <c r="AM1933" s="41"/>
      <c r="AN1933" s="41"/>
      <c r="AO1933" s="41"/>
      <c r="AP1933" s="41"/>
      <c r="AQ1933" s="41"/>
    </row>
    <row r="1934">
      <c r="A1934" s="41"/>
      <c r="B1934" s="41"/>
      <c r="C1934" s="41"/>
      <c r="D1934" s="41"/>
      <c r="E1934" s="41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41"/>
      <c r="Q1934" s="41"/>
      <c r="R1934" s="41"/>
      <c r="S1934" s="41"/>
      <c r="T1934" s="41"/>
      <c r="U1934" s="41"/>
      <c r="V1934" s="41"/>
      <c r="W1934" s="41"/>
      <c r="X1934" s="41"/>
      <c r="Y1934" s="41"/>
      <c r="Z1934" s="41"/>
      <c r="AA1934" s="41"/>
      <c r="AB1934" s="41"/>
      <c r="AC1934" s="41"/>
      <c r="AD1934" s="41"/>
      <c r="AE1934" s="41"/>
      <c r="AF1934" s="41"/>
      <c r="AG1934" s="41"/>
      <c r="AH1934" s="41"/>
      <c r="AI1934" s="41"/>
      <c r="AJ1934" s="41"/>
      <c r="AK1934" s="41"/>
      <c r="AL1934" s="41"/>
      <c r="AM1934" s="41"/>
      <c r="AN1934" s="41"/>
      <c r="AO1934" s="41"/>
      <c r="AP1934" s="41"/>
      <c r="AQ1934" s="41"/>
    </row>
    <row r="1935">
      <c r="A1935" s="41"/>
      <c r="B1935" s="41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41"/>
      <c r="Q1935" s="41"/>
      <c r="R1935" s="41"/>
      <c r="S1935" s="41"/>
      <c r="T1935" s="41"/>
      <c r="U1935" s="41"/>
      <c r="V1935" s="41"/>
      <c r="W1935" s="41"/>
      <c r="X1935" s="41"/>
      <c r="Y1935" s="41"/>
      <c r="Z1935" s="41"/>
      <c r="AA1935" s="41"/>
      <c r="AB1935" s="41"/>
      <c r="AC1935" s="41"/>
      <c r="AD1935" s="41"/>
      <c r="AE1935" s="41"/>
      <c r="AF1935" s="41"/>
      <c r="AG1935" s="41"/>
      <c r="AH1935" s="41"/>
      <c r="AI1935" s="41"/>
      <c r="AJ1935" s="41"/>
      <c r="AK1935" s="41"/>
      <c r="AL1935" s="41"/>
      <c r="AM1935" s="41"/>
      <c r="AN1935" s="41"/>
      <c r="AO1935" s="41"/>
      <c r="AP1935" s="41"/>
      <c r="AQ1935" s="41"/>
    </row>
    <row r="1936">
      <c r="A1936" s="41"/>
      <c r="B1936" s="41"/>
      <c r="C1936" s="41"/>
      <c r="D1936" s="41"/>
      <c r="E1936" s="41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41"/>
      <c r="Q1936" s="41"/>
      <c r="R1936" s="41"/>
      <c r="S1936" s="41"/>
      <c r="T1936" s="41"/>
      <c r="U1936" s="41"/>
      <c r="V1936" s="41"/>
      <c r="W1936" s="41"/>
      <c r="X1936" s="41"/>
      <c r="Y1936" s="41"/>
      <c r="Z1936" s="41"/>
      <c r="AA1936" s="41"/>
      <c r="AB1936" s="41"/>
      <c r="AC1936" s="41"/>
      <c r="AD1936" s="41"/>
      <c r="AE1936" s="41"/>
      <c r="AF1936" s="41"/>
      <c r="AG1936" s="41"/>
      <c r="AH1936" s="41"/>
      <c r="AI1936" s="41"/>
      <c r="AJ1936" s="41"/>
      <c r="AK1936" s="41"/>
      <c r="AL1936" s="41"/>
      <c r="AM1936" s="41"/>
      <c r="AN1936" s="41"/>
      <c r="AO1936" s="41"/>
      <c r="AP1936" s="41"/>
      <c r="AQ1936" s="41"/>
    </row>
    <row r="1937">
      <c r="A1937" s="41"/>
      <c r="B1937" s="41"/>
      <c r="C1937" s="41"/>
      <c r="D1937" s="41"/>
      <c r="E1937" s="41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41"/>
      <c r="Q1937" s="41"/>
      <c r="R1937" s="41"/>
      <c r="S1937" s="41"/>
      <c r="T1937" s="41"/>
      <c r="U1937" s="41"/>
      <c r="V1937" s="41"/>
      <c r="W1937" s="41"/>
      <c r="X1937" s="41"/>
      <c r="Y1937" s="41"/>
      <c r="Z1937" s="41"/>
      <c r="AA1937" s="41"/>
      <c r="AB1937" s="41"/>
      <c r="AC1937" s="41"/>
      <c r="AD1937" s="41"/>
      <c r="AE1937" s="41"/>
      <c r="AF1937" s="41"/>
      <c r="AG1937" s="41"/>
      <c r="AH1937" s="41"/>
      <c r="AI1937" s="41"/>
      <c r="AJ1937" s="41"/>
      <c r="AK1937" s="41"/>
      <c r="AL1937" s="41"/>
      <c r="AM1937" s="41"/>
      <c r="AN1937" s="41"/>
      <c r="AO1937" s="41"/>
      <c r="AP1937" s="41"/>
      <c r="AQ1937" s="41"/>
    </row>
    <row r="1938">
      <c r="A1938" s="41"/>
      <c r="B1938" s="41"/>
      <c r="C1938" s="41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41"/>
      <c r="Q1938" s="41"/>
      <c r="R1938" s="41"/>
      <c r="S1938" s="41"/>
      <c r="T1938" s="41"/>
      <c r="U1938" s="41"/>
      <c r="V1938" s="41"/>
      <c r="W1938" s="41"/>
      <c r="X1938" s="41"/>
      <c r="Y1938" s="41"/>
      <c r="Z1938" s="41"/>
      <c r="AA1938" s="41"/>
      <c r="AB1938" s="41"/>
      <c r="AC1938" s="41"/>
      <c r="AD1938" s="41"/>
      <c r="AE1938" s="41"/>
      <c r="AF1938" s="41"/>
      <c r="AG1938" s="41"/>
      <c r="AH1938" s="41"/>
      <c r="AI1938" s="41"/>
      <c r="AJ1938" s="41"/>
      <c r="AK1938" s="41"/>
      <c r="AL1938" s="41"/>
      <c r="AM1938" s="41"/>
      <c r="AN1938" s="41"/>
      <c r="AO1938" s="41"/>
      <c r="AP1938" s="41"/>
      <c r="AQ1938" s="41"/>
    </row>
    <row r="1939">
      <c r="A1939" s="41"/>
      <c r="B1939" s="41"/>
      <c r="C1939" s="41"/>
      <c r="D1939" s="41"/>
      <c r="E1939" s="41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41"/>
      <c r="Q1939" s="41"/>
      <c r="R1939" s="41"/>
      <c r="S1939" s="41"/>
      <c r="T1939" s="41"/>
      <c r="U1939" s="41"/>
      <c r="V1939" s="41"/>
      <c r="W1939" s="41"/>
      <c r="X1939" s="41"/>
      <c r="Y1939" s="41"/>
      <c r="Z1939" s="41"/>
      <c r="AA1939" s="41"/>
      <c r="AB1939" s="41"/>
      <c r="AC1939" s="41"/>
      <c r="AD1939" s="41"/>
      <c r="AE1939" s="41"/>
      <c r="AF1939" s="41"/>
      <c r="AG1939" s="41"/>
      <c r="AH1939" s="41"/>
      <c r="AI1939" s="41"/>
      <c r="AJ1939" s="41"/>
      <c r="AK1939" s="41"/>
      <c r="AL1939" s="41"/>
      <c r="AM1939" s="41"/>
      <c r="AN1939" s="41"/>
      <c r="AO1939" s="41"/>
      <c r="AP1939" s="41"/>
      <c r="AQ1939" s="41"/>
    </row>
    <row r="1940">
      <c r="A1940" s="41"/>
      <c r="B1940" s="41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1"/>
      <c r="V1940" s="41"/>
      <c r="W1940" s="41"/>
      <c r="X1940" s="41"/>
      <c r="Y1940" s="41"/>
      <c r="Z1940" s="41"/>
      <c r="AA1940" s="41"/>
      <c r="AB1940" s="41"/>
      <c r="AC1940" s="41"/>
      <c r="AD1940" s="41"/>
      <c r="AE1940" s="41"/>
      <c r="AF1940" s="41"/>
      <c r="AG1940" s="41"/>
      <c r="AH1940" s="41"/>
      <c r="AI1940" s="41"/>
      <c r="AJ1940" s="41"/>
      <c r="AK1940" s="41"/>
      <c r="AL1940" s="41"/>
      <c r="AM1940" s="41"/>
      <c r="AN1940" s="41"/>
      <c r="AO1940" s="41"/>
      <c r="AP1940" s="41"/>
      <c r="AQ1940" s="41"/>
    </row>
    <row r="1941">
      <c r="A1941" s="41"/>
      <c r="B1941" s="41"/>
      <c r="C1941" s="41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  <c r="AA1941" s="41"/>
      <c r="AB1941" s="41"/>
      <c r="AC1941" s="41"/>
      <c r="AD1941" s="41"/>
      <c r="AE1941" s="41"/>
      <c r="AF1941" s="41"/>
      <c r="AG1941" s="41"/>
      <c r="AH1941" s="41"/>
      <c r="AI1941" s="41"/>
      <c r="AJ1941" s="41"/>
      <c r="AK1941" s="41"/>
      <c r="AL1941" s="41"/>
      <c r="AM1941" s="41"/>
      <c r="AN1941" s="41"/>
      <c r="AO1941" s="41"/>
      <c r="AP1941" s="41"/>
      <c r="AQ1941" s="41"/>
    </row>
    <row r="1942">
      <c r="A1942" s="41"/>
      <c r="B1942" s="41"/>
      <c r="C1942" s="41"/>
      <c r="D1942" s="41"/>
      <c r="E1942" s="41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  <c r="AA1942" s="41"/>
      <c r="AB1942" s="41"/>
      <c r="AC1942" s="41"/>
      <c r="AD1942" s="41"/>
      <c r="AE1942" s="41"/>
      <c r="AF1942" s="41"/>
      <c r="AG1942" s="41"/>
      <c r="AH1942" s="41"/>
      <c r="AI1942" s="41"/>
      <c r="AJ1942" s="41"/>
      <c r="AK1942" s="41"/>
      <c r="AL1942" s="41"/>
      <c r="AM1942" s="41"/>
      <c r="AN1942" s="41"/>
      <c r="AO1942" s="41"/>
      <c r="AP1942" s="41"/>
      <c r="AQ1942" s="41"/>
    </row>
    <row r="1943">
      <c r="A1943" s="41"/>
      <c r="B1943" s="41"/>
      <c r="C1943" s="41"/>
      <c r="D1943" s="41"/>
      <c r="E1943" s="41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41"/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  <c r="AA1943" s="41"/>
      <c r="AB1943" s="41"/>
      <c r="AC1943" s="41"/>
      <c r="AD1943" s="41"/>
      <c r="AE1943" s="41"/>
      <c r="AF1943" s="41"/>
      <c r="AG1943" s="41"/>
      <c r="AH1943" s="41"/>
      <c r="AI1943" s="41"/>
      <c r="AJ1943" s="41"/>
      <c r="AK1943" s="41"/>
      <c r="AL1943" s="41"/>
      <c r="AM1943" s="41"/>
      <c r="AN1943" s="41"/>
      <c r="AO1943" s="41"/>
      <c r="AP1943" s="41"/>
      <c r="AQ1943" s="41"/>
    </row>
    <row r="1944">
      <c r="A1944" s="41"/>
      <c r="B1944" s="41"/>
      <c r="C1944" s="41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41"/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  <c r="AA1944" s="41"/>
      <c r="AB1944" s="41"/>
      <c r="AC1944" s="41"/>
      <c r="AD1944" s="41"/>
      <c r="AE1944" s="41"/>
      <c r="AF1944" s="41"/>
      <c r="AG1944" s="41"/>
      <c r="AH1944" s="41"/>
      <c r="AI1944" s="41"/>
      <c r="AJ1944" s="41"/>
      <c r="AK1944" s="41"/>
      <c r="AL1944" s="41"/>
      <c r="AM1944" s="41"/>
      <c r="AN1944" s="41"/>
      <c r="AO1944" s="41"/>
      <c r="AP1944" s="41"/>
      <c r="AQ1944" s="41"/>
    </row>
    <row r="1945">
      <c r="A1945" s="41"/>
      <c r="B1945" s="41"/>
      <c r="C1945" s="41"/>
      <c r="D1945" s="41"/>
      <c r="E1945" s="41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41"/>
      <c r="Q1945" s="41"/>
      <c r="R1945" s="41"/>
      <c r="S1945" s="41"/>
      <c r="T1945" s="41"/>
      <c r="U1945" s="41"/>
      <c r="V1945" s="41"/>
      <c r="W1945" s="41"/>
      <c r="X1945" s="41"/>
      <c r="Y1945" s="41"/>
      <c r="Z1945" s="41"/>
      <c r="AA1945" s="41"/>
      <c r="AB1945" s="41"/>
      <c r="AC1945" s="41"/>
      <c r="AD1945" s="41"/>
      <c r="AE1945" s="41"/>
      <c r="AF1945" s="41"/>
      <c r="AG1945" s="41"/>
      <c r="AH1945" s="41"/>
      <c r="AI1945" s="41"/>
      <c r="AJ1945" s="41"/>
      <c r="AK1945" s="41"/>
      <c r="AL1945" s="41"/>
      <c r="AM1945" s="41"/>
      <c r="AN1945" s="41"/>
      <c r="AO1945" s="41"/>
      <c r="AP1945" s="41"/>
      <c r="AQ1945" s="41"/>
    </row>
    <row r="1946">
      <c r="A1946" s="41"/>
      <c r="B1946" s="41"/>
      <c r="C1946" s="41"/>
      <c r="D1946" s="41"/>
      <c r="E1946" s="41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41"/>
      <c r="Q1946" s="41"/>
      <c r="R1946" s="41"/>
      <c r="S1946" s="41"/>
      <c r="T1946" s="41"/>
      <c r="U1946" s="41"/>
      <c r="V1946" s="41"/>
      <c r="W1946" s="41"/>
      <c r="X1946" s="41"/>
      <c r="Y1946" s="41"/>
      <c r="Z1946" s="41"/>
      <c r="AA1946" s="41"/>
      <c r="AB1946" s="41"/>
      <c r="AC1946" s="41"/>
      <c r="AD1946" s="41"/>
      <c r="AE1946" s="41"/>
      <c r="AF1946" s="41"/>
      <c r="AG1946" s="41"/>
      <c r="AH1946" s="41"/>
      <c r="AI1946" s="41"/>
      <c r="AJ1946" s="41"/>
      <c r="AK1946" s="41"/>
      <c r="AL1946" s="41"/>
      <c r="AM1946" s="41"/>
      <c r="AN1946" s="41"/>
      <c r="AO1946" s="41"/>
      <c r="AP1946" s="41"/>
      <c r="AQ1946" s="41"/>
    </row>
    <row r="1947">
      <c r="A1947" s="41"/>
      <c r="B1947" s="41"/>
      <c r="C1947" s="41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1"/>
      <c r="X1947" s="41"/>
      <c r="Y1947" s="41"/>
      <c r="Z1947" s="41"/>
      <c r="AA1947" s="41"/>
      <c r="AB1947" s="41"/>
      <c r="AC1947" s="41"/>
      <c r="AD1947" s="41"/>
      <c r="AE1947" s="41"/>
      <c r="AF1947" s="41"/>
      <c r="AG1947" s="41"/>
      <c r="AH1947" s="41"/>
      <c r="AI1947" s="41"/>
      <c r="AJ1947" s="41"/>
      <c r="AK1947" s="41"/>
      <c r="AL1947" s="41"/>
      <c r="AM1947" s="41"/>
      <c r="AN1947" s="41"/>
      <c r="AO1947" s="41"/>
      <c r="AP1947" s="41"/>
      <c r="AQ1947" s="41"/>
    </row>
    <row r="1948">
      <c r="A1948" s="41"/>
      <c r="B1948" s="41"/>
      <c r="C1948" s="41"/>
      <c r="D1948" s="41"/>
      <c r="E1948" s="41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  <c r="AA1948" s="41"/>
      <c r="AB1948" s="41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  <c r="AM1948" s="41"/>
      <c r="AN1948" s="41"/>
      <c r="AO1948" s="41"/>
      <c r="AP1948" s="41"/>
      <c r="AQ1948" s="41"/>
    </row>
    <row r="1949">
      <c r="A1949" s="41"/>
      <c r="B1949" s="41"/>
      <c r="C1949" s="41"/>
      <c r="D1949" s="41"/>
      <c r="E1949" s="41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  <c r="Q1949" s="41"/>
      <c r="R1949" s="41"/>
      <c r="S1949" s="41"/>
      <c r="T1949" s="41"/>
      <c r="U1949" s="41"/>
      <c r="V1949" s="41"/>
      <c r="W1949" s="41"/>
      <c r="X1949" s="41"/>
      <c r="Y1949" s="41"/>
      <c r="Z1949" s="41"/>
      <c r="AA1949" s="41"/>
      <c r="AB1949" s="41"/>
      <c r="AC1949" s="41"/>
      <c r="AD1949" s="41"/>
      <c r="AE1949" s="41"/>
      <c r="AF1949" s="41"/>
      <c r="AG1949" s="41"/>
      <c r="AH1949" s="41"/>
      <c r="AI1949" s="41"/>
      <c r="AJ1949" s="41"/>
      <c r="AK1949" s="41"/>
      <c r="AL1949" s="41"/>
      <c r="AM1949" s="41"/>
      <c r="AN1949" s="41"/>
      <c r="AO1949" s="41"/>
      <c r="AP1949" s="41"/>
      <c r="AQ1949" s="41"/>
    </row>
    <row r="1950">
      <c r="A1950" s="41"/>
      <c r="B1950" s="41"/>
      <c r="C1950" s="41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  <c r="Q1950" s="41"/>
      <c r="R1950" s="41"/>
      <c r="S1950" s="41"/>
      <c r="T1950" s="41"/>
      <c r="U1950" s="41"/>
      <c r="V1950" s="41"/>
      <c r="W1950" s="41"/>
      <c r="X1950" s="41"/>
      <c r="Y1950" s="41"/>
      <c r="Z1950" s="41"/>
      <c r="AA1950" s="41"/>
      <c r="AB1950" s="41"/>
      <c r="AC1950" s="41"/>
      <c r="AD1950" s="41"/>
      <c r="AE1950" s="41"/>
      <c r="AF1950" s="41"/>
      <c r="AG1950" s="41"/>
      <c r="AH1950" s="41"/>
      <c r="AI1950" s="41"/>
      <c r="AJ1950" s="41"/>
      <c r="AK1950" s="41"/>
      <c r="AL1950" s="41"/>
      <c r="AM1950" s="41"/>
      <c r="AN1950" s="41"/>
      <c r="AO1950" s="41"/>
      <c r="AP1950" s="41"/>
      <c r="AQ1950" s="41"/>
    </row>
    <row r="1951">
      <c r="A1951" s="41"/>
      <c r="B1951" s="41"/>
      <c r="C1951" s="41"/>
      <c r="D1951" s="41"/>
      <c r="E1951" s="41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41"/>
      <c r="Q1951" s="41"/>
      <c r="R1951" s="41"/>
      <c r="S1951" s="41"/>
      <c r="T1951" s="41"/>
      <c r="U1951" s="41"/>
      <c r="V1951" s="41"/>
      <c r="W1951" s="41"/>
      <c r="X1951" s="41"/>
      <c r="Y1951" s="41"/>
      <c r="Z1951" s="41"/>
      <c r="AA1951" s="41"/>
      <c r="AB1951" s="41"/>
      <c r="AC1951" s="41"/>
      <c r="AD1951" s="41"/>
      <c r="AE1951" s="41"/>
      <c r="AF1951" s="41"/>
      <c r="AG1951" s="41"/>
      <c r="AH1951" s="41"/>
      <c r="AI1951" s="41"/>
      <c r="AJ1951" s="41"/>
      <c r="AK1951" s="41"/>
      <c r="AL1951" s="41"/>
      <c r="AM1951" s="41"/>
      <c r="AN1951" s="41"/>
      <c r="AO1951" s="41"/>
      <c r="AP1951" s="41"/>
      <c r="AQ1951" s="41"/>
    </row>
    <row r="1952">
      <c r="A1952" s="41"/>
      <c r="B1952" s="41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  <c r="Q1952" s="41"/>
      <c r="R1952" s="41"/>
      <c r="S1952" s="41"/>
      <c r="T1952" s="41"/>
      <c r="U1952" s="41"/>
      <c r="V1952" s="41"/>
      <c r="W1952" s="41"/>
      <c r="X1952" s="41"/>
      <c r="Y1952" s="41"/>
      <c r="Z1952" s="41"/>
      <c r="AA1952" s="41"/>
      <c r="AB1952" s="41"/>
      <c r="AC1952" s="41"/>
      <c r="AD1952" s="41"/>
      <c r="AE1952" s="41"/>
      <c r="AF1952" s="41"/>
      <c r="AG1952" s="41"/>
      <c r="AH1952" s="41"/>
      <c r="AI1952" s="41"/>
      <c r="AJ1952" s="41"/>
      <c r="AK1952" s="41"/>
      <c r="AL1952" s="41"/>
      <c r="AM1952" s="41"/>
      <c r="AN1952" s="41"/>
      <c r="AO1952" s="41"/>
      <c r="AP1952" s="41"/>
      <c r="AQ1952" s="41"/>
    </row>
    <row r="1953">
      <c r="A1953" s="41"/>
      <c r="B1953" s="41"/>
      <c r="C1953" s="41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41"/>
      <c r="Q1953" s="41"/>
      <c r="R1953" s="41"/>
      <c r="S1953" s="41"/>
      <c r="T1953" s="41"/>
      <c r="U1953" s="41"/>
      <c r="V1953" s="41"/>
      <c r="W1953" s="41"/>
      <c r="X1953" s="41"/>
      <c r="Y1953" s="41"/>
      <c r="Z1953" s="41"/>
      <c r="AA1953" s="41"/>
      <c r="AB1953" s="41"/>
      <c r="AC1953" s="41"/>
      <c r="AD1953" s="41"/>
      <c r="AE1953" s="41"/>
      <c r="AF1953" s="41"/>
      <c r="AG1953" s="41"/>
      <c r="AH1953" s="41"/>
      <c r="AI1953" s="41"/>
      <c r="AJ1953" s="41"/>
      <c r="AK1953" s="41"/>
      <c r="AL1953" s="41"/>
      <c r="AM1953" s="41"/>
      <c r="AN1953" s="41"/>
      <c r="AO1953" s="41"/>
      <c r="AP1953" s="41"/>
      <c r="AQ1953" s="41"/>
    </row>
    <row r="1954">
      <c r="A1954" s="41"/>
      <c r="B1954" s="41"/>
      <c r="C1954" s="41"/>
      <c r="D1954" s="41"/>
      <c r="E1954" s="41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1"/>
      <c r="AC1954" s="41"/>
      <c r="AD1954" s="41"/>
      <c r="AE1954" s="41"/>
      <c r="AF1954" s="41"/>
      <c r="AG1954" s="41"/>
      <c r="AH1954" s="41"/>
      <c r="AI1954" s="41"/>
      <c r="AJ1954" s="41"/>
      <c r="AK1954" s="41"/>
      <c r="AL1954" s="41"/>
      <c r="AM1954" s="41"/>
      <c r="AN1954" s="41"/>
      <c r="AO1954" s="41"/>
      <c r="AP1954" s="41"/>
      <c r="AQ1954" s="41"/>
    </row>
    <row r="1955">
      <c r="A1955" s="41"/>
      <c r="B1955" s="41"/>
      <c r="C1955" s="41"/>
      <c r="D1955" s="41"/>
      <c r="E1955" s="41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41"/>
      <c r="Q1955" s="41"/>
      <c r="R1955" s="41"/>
      <c r="S1955" s="41"/>
      <c r="T1955" s="41"/>
      <c r="U1955" s="41"/>
      <c r="V1955" s="41"/>
      <c r="W1955" s="41"/>
      <c r="X1955" s="41"/>
      <c r="Y1955" s="41"/>
      <c r="Z1955" s="41"/>
      <c r="AA1955" s="41"/>
      <c r="AB1955" s="41"/>
      <c r="AC1955" s="41"/>
      <c r="AD1955" s="41"/>
      <c r="AE1955" s="41"/>
      <c r="AF1955" s="41"/>
      <c r="AG1955" s="41"/>
      <c r="AH1955" s="41"/>
      <c r="AI1955" s="41"/>
      <c r="AJ1955" s="41"/>
      <c r="AK1955" s="41"/>
      <c r="AL1955" s="41"/>
      <c r="AM1955" s="41"/>
      <c r="AN1955" s="41"/>
      <c r="AO1955" s="41"/>
      <c r="AP1955" s="41"/>
      <c r="AQ1955" s="41"/>
    </row>
    <row r="1956">
      <c r="A1956" s="41"/>
      <c r="B1956" s="41"/>
      <c r="C1956" s="41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41"/>
      <c r="Q1956" s="41"/>
      <c r="R1956" s="41"/>
      <c r="S1956" s="41"/>
      <c r="T1956" s="41"/>
      <c r="U1956" s="41"/>
      <c r="V1956" s="41"/>
      <c r="W1956" s="41"/>
      <c r="X1956" s="41"/>
      <c r="Y1956" s="41"/>
      <c r="Z1956" s="41"/>
      <c r="AA1956" s="41"/>
      <c r="AB1956" s="41"/>
      <c r="AC1956" s="41"/>
      <c r="AD1956" s="41"/>
      <c r="AE1956" s="41"/>
      <c r="AF1956" s="41"/>
      <c r="AG1956" s="41"/>
      <c r="AH1956" s="41"/>
      <c r="AI1956" s="41"/>
      <c r="AJ1956" s="41"/>
      <c r="AK1956" s="41"/>
      <c r="AL1956" s="41"/>
      <c r="AM1956" s="41"/>
      <c r="AN1956" s="41"/>
      <c r="AO1956" s="41"/>
      <c r="AP1956" s="41"/>
      <c r="AQ1956" s="41"/>
    </row>
    <row r="1957">
      <c r="A1957" s="41"/>
      <c r="B1957" s="41"/>
      <c r="C1957" s="41"/>
      <c r="D1957" s="41"/>
      <c r="E1957" s="41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  <c r="Q1957" s="41"/>
      <c r="R1957" s="41"/>
      <c r="S1957" s="41"/>
      <c r="T1957" s="41"/>
      <c r="U1957" s="41"/>
      <c r="V1957" s="41"/>
      <c r="W1957" s="41"/>
      <c r="X1957" s="41"/>
      <c r="Y1957" s="41"/>
      <c r="Z1957" s="41"/>
      <c r="AA1957" s="41"/>
      <c r="AB1957" s="41"/>
      <c r="AC1957" s="41"/>
      <c r="AD1957" s="41"/>
      <c r="AE1957" s="41"/>
      <c r="AF1957" s="41"/>
      <c r="AG1957" s="41"/>
      <c r="AH1957" s="41"/>
      <c r="AI1957" s="41"/>
      <c r="AJ1957" s="41"/>
      <c r="AK1957" s="41"/>
      <c r="AL1957" s="41"/>
      <c r="AM1957" s="41"/>
      <c r="AN1957" s="41"/>
      <c r="AO1957" s="41"/>
      <c r="AP1957" s="41"/>
      <c r="AQ1957" s="41"/>
    </row>
    <row r="1958">
      <c r="A1958" s="41"/>
      <c r="B1958" s="41"/>
      <c r="C1958" s="41"/>
      <c r="D1958" s="41"/>
      <c r="E1958" s="41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41"/>
      <c r="Q1958" s="41"/>
      <c r="R1958" s="41"/>
      <c r="S1958" s="41"/>
      <c r="T1958" s="41"/>
      <c r="U1958" s="41"/>
      <c r="V1958" s="41"/>
      <c r="W1958" s="41"/>
      <c r="X1958" s="41"/>
      <c r="Y1958" s="41"/>
      <c r="Z1958" s="41"/>
      <c r="AA1958" s="41"/>
      <c r="AB1958" s="41"/>
      <c r="AC1958" s="41"/>
      <c r="AD1958" s="41"/>
      <c r="AE1958" s="41"/>
      <c r="AF1958" s="41"/>
      <c r="AG1958" s="41"/>
      <c r="AH1958" s="41"/>
      <c r="AI1958" s="41"/>
      <c r="AJ1958" s="41"/>
      <c r="AK1958" s="41"/>
      <c r="AL1958" s="41"/>
      <c r="AM1958" s="41"/>
      <c r="AN1958" s="41"/>
      <c r="AO1958" s="41"/>
      <c r="AP1958" s="41"/>
      <c r="AQ1958" s="41"/>
    </row>
    <row r="1959">
      <c r="A1959" s="41"/>
      <c r="B1959" s="41"/>
      <c r="C1959" s="41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41"/>
      <c r="Q1959" s="41"/>
      <c r="R1959" s="41"/>
      <c r="S1959" s="41"/>
      <c r="T1959" s="41"/>
      <c r="U1959" s="41"/>
      <c r="V1959" s="41"/>
      <c r="W1959" s="41"/>
      <c r="X1959" s="41"/>
      <c r="Y1959" s="41"/>
      <c r="Z1959" s="41"/>
      <c r="AA1959" s="41"/>
      <c r="AB1959" s="41"/>
      <c r="AC1959" s="41"/>
      <c r="AD1959" s="41"/>
      <c r="AE1959" s="41"/>
      <c r="AF1959" s="41"/>
      <c r="AG1959" s="41"/>
      <c r="AH1959" s="41"/>
      <c r="AI1959" s="41"/>
      <c r="AJ1959" s="41"/>
      <c r="AK1959" s="41"/>
      <c r="AL1959" s="41"/>
      <c r="AM1959" s="41"/>
      <c r="AN1959" s="41"/>
      <c r="AO1959" s="41"/>
      <c r="AP1959" s="41"/>
      <c r="AQ1959" s="41"/>
    </row>
    <row r="1960">
      <c r="A1960" s="41"/>
      <c r="B1960" s="41"/>
      <c r="C1960" s="41"/>
      <c r="D1960" s="41"/>
      <c r="E1960" s="41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  <c r="AA1960" s="41"/>
      <c r="AB1960" s="41"/>
      <c r="AC1960" s="41"/>
      <c r="AD1960" s="41"/>
      <c r="AE1960" s="41"/>
      <c r="AF1960" s="41"/>
      <c r="AG1960" s="41"/>
      <c r="AH1960" s="41"/>
      <c r="AI1960" s="41"/>
      <c r="AJ1960" s="41"/>
      <c r="AK1960" s="41"/>
      <c r="AL1960" s="41"/>
      <c r="AM1960" s="41"/>
      <c r="AN1960" s="41"/>
      <c r="AO1960" s="41"/>
      <c r="AP1960" s="41"/>
      <c r="AQ1960" s="41"/>
    </row>
    <row r="1961">
      <c r="A1961" s="41"/>
      <c r="B1961" s="41"/>
      <c r="C1961" s="41"/>
      <c r="D1961" s="41"/>
      <c r="E1961" s="41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41"/>
      <c r="Q1961" s="41"/>
      <c r="R1961" s="41"/>
      <c r="S1961" s="41"/>
      <c r="T1961" s="41"/>
      <c r="U1961" s="41"/>
      <c r="V1961" s="41"/>
      <c r="W1961" s="41"/>
      <c r="X1961" s="41"/>
      <c r="Y1961" s="41"/>
      <c r="Z1961" s="41"/>
      <c r="AA1961" s="41"/>
      <c r="AB1961" s="41"/>
      <c r="AC1961" s="41"/>
      <c r="AD1961" s="41"/>
      <c r="AE1961" s="41"/>
      <c r="AF1961" s="41"/>
      <c r="AG1961" s="41"/>
      <c r="AH1961" s="41"/>
      <c r="AI1961" s="41"/>
      <c r="AJ1961" s="41"/>
      <c r="AK1961" s="41"/>
      <c r="AL1961" s="41"/>
      <c r="AM1961" s="41"/>
      <c r="AN1961" s="41"/>
      <c r="AO1961" s="41"/>
      <c r="AP1961" s="41"/>
      <c r="AQ1961" s="41"/>
    </row>
    <row r="1962">
      <c r="A1962" s="41"/>
      <c r="B1962" s="41"/>
      <c r="C1962" s="41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41"/>
      <c r="Q1962" s="41"/>
      <c r="R1962" s="41"/>
      <c r="S1962" s="41"/>
      <c r="T1962" s="41"/>
      <c r="U1962" s="41"/>
      <c r="V1962" s="41"/>
      <c r="W1962" s="41"/>
      <c r="X1962" s="41"/>
      <c r="Y1962" s="41"/>
      <c r="Z1962" s="41"/>
      <c r="AA1962" s="41"/>
      <c r="AB1962" s="41"/>
      <c r="AC1962" s="41"/>
      <c r="AD1962" s="41"/>
      <c r="AE1962" s="41"/>
      <c r="AF1962" s="41"/>
      <c r="AG1962" s="41"/>
      <c r="AH1962" s="41"/>
      <c r="AI1962" s="41"/>
      <c r="AJ1962" s="41"/>
      <c r="AK1962" s="41"/>
      <c r="AL1962" s="41"/>
      <c r="AM1962" s="41"/>
      <c r="AN1962" s="41"/>
      <c r="AO1962" s="41"/>
      <c r="AP1962" s="41"/>
      <c r="AQ1962" s="41"/>
    </row>
    <row r="1963">
      <c r="A1963" s="41"/>
      <c r="B1963" s="41"/>
      <c r="C1963" s="41"/>
      <c r="D1963" s="41"/>
      <c r="E1963" s="41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41"/>
      <c r="Q1963" s="41"/>
      <c r="R1963" s="41"/>
      <c r="S1963" s="41"/>
      <c r="T1963" s="41"/>
      <c r="U1963" s="41"/>
      <c r="V1963" s="41"/>
      <c r="W1963" s="41"/>
      <c r="X1963" s="41"/>
      <c r="Y1963" s="41"/>
      <c r="Z1963" s="41"/>
      <c r="AA1963" s="41"/>
      <c r="AB1963" s="41"/>
      <c r="AC1963" s="41"/>
      <c r="AD1963" s="41"/>
      <c r="AE1963" s="41"/>
      <c r="AF1963" s="41"/>
      <c r="AG1963" s="41"/>
      <c r="AH1963" s="41"/>
      <c r="AI1963" s="41"/>
      <c r="AJ1963" s="41"/>
      <c r="AK1963" s="41"/>
      <c r="AL1963" s="41"/>
      <c r="AM1963" s="41"/>
      <c r="AN1963" s="41"/>
      <c r="AO1963" s="41"/>
      <c r="AP1963" s="41"/>
      <c r="AQ1963" s="41"/>
    </row>
    <row r="1964">
      <c r="A1964" s="41"/>
      <c r="B1964" s="41"/>
      <c r="C1964" s="41"/>
      <c r="D1964" s="41"/>
      <c r="E1964" s="41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41"/>
      <c r="Q1964" s="41"/>
      <c r="R1964" s="41"/>
      <c r="S1964" s="41"/>
      <c r="T1964" s="41"/>
      <c r="U1964" s="41"/>
      <c r="V1964" s="41"/>
      <c r="W1964" s="41"/>
      <c r="X1964" s="41"/>
      <c r="Y1964" s="41"/>
      <c r="Z1964" s="41"/>
      <c r="AA1964" s="41"/>
      <c r="AB1964" s="41"/>
      <c r="AC1964" s="41"/>
      <c r="AD1964" s="41"/>
      <c r="AE1964" s="41"/>
      <c r="AF1964" s="41"/>
      <c r="AG1964" s="41"/>
      <c r="AH1964" s="41"/>
      <c r="AI1964" s="41"/>
      <c r="AJ1964" s="41"/>
      <c r="AK1964" s="41"/>
      <c r="AL1964" s="41"/>
      <c r="AM1964" s="41"/>
      <c r="AN1964" s="41"/>
      <c r="AO1964" s="41"/>
      <c r="AP1964" s="41"/>
      <c r="AQ1964" s="41"/>
    </row>
    <row r="1965">
      <c r="A1965" s="41"/>
      <c r="B1965" s="41"/>
      <c r="C1965" s="41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1"/>
      <c r="X1965" s="41"/>
      <c r="Y1965" s="41"/>
      <c r="Z1965" s="41"/>
      <c r="AA1965" s="41"/>
      <c r="AB1965" s="41"/>
      <c r="AC1965" s="41"/>
      <c r="AD1965" s="41"/>
      <c r="AE1965" s="41"/>
      <c r="AF1965" s="41"/>
      <c r="AG1965" s="41"/>
      <c r="AH1965" s="41"/>
      <c r="AI1965" s="41"/>
      <c r="AJ1965" s="41"/>
      <c r="AK1965" s="41"/>
      <c r="AL1965" s="41"/>
      <c r="AM1965" s="41"/>
      <c r="AN1965" s="41"/>
      <c r="AO1965" s="41"/>
      <c r="AP1965" s="41"/>
      <c r="AQ1965" s="41"/>
    </row>
    <row r="1966">
      <c r="A1966" s="41"/>
      <c r="B1966" s="41"/>
      <c r="C1966" s="41"/>
      <c r="D1966" s="41"/>
      <c r="E1966" s="41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41"/>
      <c r="Q1966" s="41"/>
      <c r="R1966" s="41"/>
      <c r="S1966" s="41"/>
      <c r="T1966" s="41"/>
      <c r="U1966" s="41"/>
      <c r="V1966" s="41"/>
      <c r="W1966" s="41"/>
      <c r="X1966" s="41"/>
      <c r="Y1966" s="41"/>
      <c r="Z1966" s="41"/>
      <c r="AA1966" s="41"/>
      <c r="AB1966" s="41"/>
      <c r="AC1966" s="41"/>
      <c r="AD1966" s="41"/>
      <c r="AE1966" s="41"/>
      <c r="AF1966" s="41"/>
      <c r="AG1966" s="41"/>
      <c r="AH1966" s="41"/>
      <c r="AI1966" s="41"/>
      <c r="AJ1966" s="41"/>
      <c r="AK1966" s="41"/>
      <c r="AL1966" s="41"/>
      <c r="AM1966" s="41"/>
      <c r="AN1966" s="41"/>
      <c r="AO1966" s="41"/>
      <c r="AP1966" s="41"/>
      <c r="AQ1966" s="41"/>
    </row>
    <row r="1967">
      <c r="A1967" s="41"/>
      <c r="B1967" s="41"/>
      <c r="C1967" s="41"/>
      <c r="D1967" s="41"/>
      <c r="E1967" s="41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41"/>
      <c r="Q1967" s="41"/>
      <c r="R1967" s="41"/>
      <c r="S1967" s="41"/>
      <c r="T1967" s="41"/>
      <c r="U1967" s="41"/>
      <c r="V1967" s="41"/>
      <c r="W1967" s="41"/>
      <c r="X1967" s="41"/>
      <c r="Y1967" s="41"/>
      <c r="Z1967" s="41"/>
      <c r="AA1967" s="41"/>
      <c r="AB1967" s="41"/>
      <c r="AC1967" s="41"/>
      <c r="AD1967" s="41"/>
      <c r="AE1967" s="41"/>
      <c r="AF1967" s="41"/>
      <c r="AG1967" s="41"/>
      <c r="AH1967" s="41"/>
      <c r="AI1967" s="41"/>
      <c r="AJ1967" s="41"/>
      <c r="AK1967" s="41"/>
      <c r="AL1967" s="41"/>
      <c r="AM1967" s="41"/>
      <c r="AN1967" s="41"/>
      <c r="AO1967" s="41"/>
      <c r="AP1967" s="41"/>
      <c r="AQ1967" s="41"/>
    </row>
    <row r="1968">
      <c r="A1968" s="41"/>
      <c r="B1968" s="41"/>
      <c r="C1968" s="41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41"/>
      <c r="Q1968" s="41"/>
      <c r="R1968" s="41"/>
      <c r="S1968" s="41"/>
      <c r="T1968" s="41"/>
      <c r="U1968" s="41"/>
      <c r="V1968" s="41"/>
      <c r="W1968" s="41"/>
      <c r="X1968" s="41"/>
      <c r="Y1968" s="41"/>
      <c r="Z1968" s="41"/>
      <c r="AA1968" s="41"/>
      <c r="AB1968" s="41"/>
      <c r="AC1968" s="41"/>
      <c r="AD1968" s="41"/>
      <c r="AE1968" s="41"/>
      <c r="AF1968" s="41"/>
      <c r="AG1968" s="41"/>
      <c r="AH1968" s="41"/>
      <c r="AI1968" s="41"/>
      <c r="AJ1968" s="41"/>
      <c r="AK1968" s="41"/>
      <c r="AL1968" s="41"/>
      <c r="AM1968" s="41"/>
      <c r="AN1968" s="41"/>
      <c r="AO1968" s="41"/>
      <c r="AP1968" s="41"/>
      <c r="AQ1968" s="41"/>
    </row>
    <row r="1969">
      <c r="A1969" s="41"/>
      <c r="B1969" s="41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1"/>
      <c r="Q1969" s="41"/>
      <c r="R1969" s="41"/>
      <c r="S1969" s="41"/>
      <c r="T1969" s="41"/>
      <c r="U1969" s="41"/>
      <c r="V1969" s="41"/>
      <c r="W1969" s="41"/>
      <c r="X1969" s="41"/>
      <c r="Y1969" s="41"/>
      <c r="Z1969" s="41"/>
      <c r="AA1969" s="41"/>
      <c r="AB1969" s="41"/>
      <c r="AC1969" s="41"/>
      <c r="AD1969" s="41"/>
      <c r="AE1969" s="41"/>
      <c r="AF1969" s="41"/>
      <c r="AG1969" s="41"/>
      <c r="AH1969" s="41"/>
      <c r="AI1969" s="41"/>
      <c r="AJ1969" s="41"/>
      <c r="AK1969" s="41"/>
      <c r="AL1969" s="41"/>
      <c r="AM1969" s="41"/>
      <c r="AN1969" s="41"/>
      <c r="AO1969" s="41"/>
      <c r="AP1969" s="41"/>
      <c r="AQ1969" s="41"/>
    </row>
    <row r="1970">
      <c r="A1970" s="41"/>
      <c r="B1970" s="41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1"/>
      <c r="Q1970" s="41"/>
      <c r="R1970" s="41"/>
      <c r="S1970" s="41"/>
      <c r="T1970" s="41"/>
      <c r="U1970" s="41"/>
      <c r="V1970" s="41"/>
      <c r="W1970" s="41"/>
      <c r="X1970" s="41"/>
      <c r="Y1970" s="41"/>
      <c r="Z1970" s="41"/>
      <c r="AA1970" s="41"/>
      <c r="AB1970" s="41"/>
      <c r="AC1970" s="41"/>
      <c r="AD1970" s="41"/>
      <c r="AE1970" s="41"/>
      <c r="AF1970" s="41"/>
      <c r="AG1970" s="41"/>
      <c r="AH1970" s="41"/>
      <c r="AI1970" s="41"/>
      <c r="AJ1970" s="41"/>
      <c r="AK1970" s="41"/>
      <c r="AL1970" s="41"/>
      <c r="AM1970" s="41"/>
      <c r="AN1970" s="41"/>
      <c r="AO1970" s="41"/>
      <c r="AP1970" s="41"/>
      <c r="AQ1970" s="41"/>
    </row>
    <row r="1971">
      <c r="A1971" s="41"/>
      <c r="B1971" s="41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1"/>
      <c r="Q1971" s="41"/>
      <c r="R1971" s="41"/>
      <c r="S1971" s="41"/>
      <c r="T1971" s="41"/>
      <c r="U1971" s="41"/>
      <c r="V1971" s="41"/>
      <c r="W1971" s="41"/>
      <c r="X1971" s="41"/>
      <c r="Y1971" s="41"/>
      <c r="Z1971" s="41"/>
      <c r="AA1971" s="41"/>
      <c r="AB1971" s="41"/>
      <c r="AC1971" s="41"/>
      <c r="AD1971" s="41"/>
      <c r="AE1971" s="41"/>
      <c r="AF1971" s="41"/>
      <c r="AG1971" s="41"/>
      <c r="AH1971" s="41"/>
      <c r="AI1971" s="41"/>
      <c r="AJ1971" s="41"/>
      <c r="AK1971" s="41"/>
      <c r="AL1971" s="41"/>
      <c r="AM1971" s="41"/>
      <c r="AN1971" s="41"/>
      <c r="AO1971" s="41"/>
      <c r="AP1971" s="41"/>
      <c r="AQ1971" s="41"/>
    </row>
    <row r="1972">
      <c r="A1972" s="41"/>
      <c r="B1972" s="41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1"/>
      <c r="Q1972" s="41"/>
      <c r="R1972" s="41"/>
      <c r="S1972" s="41"/>
      <c r="T1972" s="41"/>
      <c r="U1972" s="41"/>
      <c r="V1972" s="41"/>
      <c r="W1972" s="41"/>
      <c r="X1972" s="41"/>
      <c r="Y1972" s="41"/>
      <c r="Z1972" s="41"/>
      <c r="AA1972" s="41"/>
      <c r="AB1972" s="41"/>
      <c r="AC1972" s="41"/>
      <c r="AD1972" s="41"/>
      <c r="AE1972" s="41"/>
      <c r="AF1972" s="41"/>
      <c r="AG1972" s="41"/>
      <c r="AH1972" s="41"/>
      <c r="AI1972" s="41"/>
      <c r="AJ1972" s="41"/>
      <c r="AK1972" s="41"/>
      <c r="AL1972" s="41"/>
      <c r="AM1972" s="41"/>
      <c r="AN1972" s="41"/>
      <c r="AO1972" s="41"/>
      <c r="AP1972" s="41"/>
      <c r="AQ1972" s="41"/>
    </row>
    <row r="1973">
      <c r="A1973" s="41"/>
      <c r="B1973" s="41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1"/>
      <c r="Q1973" s="41"/>
      <c r="R1973" s="41"/>
      <c r="S1973" s="41"/>
      <c r="T1973" s="41"/>
      <c r="U1973" s="41"/>
      <c r="V1973" s="41"/>
      <c r="W1973" s="41"/>
      <c r="X1973" s="41"/>
      <c r="Y1973" s="41"/>
      <c r="Z1973" s="41"/>
      <c r="AA1973" s="41"/>
      <c r="AB1973" s="41"/>
      <c r="AC1973" s="41"/>
      <c r="AD1973" s="41"/>
      <c r="AE1973" s="41"/>
      <c r="AF1973" s="41"/>
      <c r="AG1973" s="41"/>
      <c r="AH1973" s="41"/>
      <c r="AI1973" s="41"/>
      <c r="AJ1973" s="41"/>
      <c r="AK1973" s="41"/>
      <c r="AL1973" s="41"/>
      <c r="AM1973" s="41"/>
      <c r="AN1973" s="41"/>
      <c r="AO1973" s="41"/>
      <c r="AP1973" s="41"/>
      <c r="AQ1973" s="41"/>
    </row>
    <row r="1974">
      <c r="A1974" s="41"/>
      <c r="B1974" s="41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1"/>
      <c r="Q1974" s="41"/>
      <c r="R1974" s="41"/>
      <c r="S1974" s="41"/>
      <c r="T1974" s="41"/>
      <c r="U1974" s="41"/>
      <c r="V1974" s="41"/>
      <c r="W1974" s="41"/>
      <c r="X1974" s="41"/>
      <c r="Y1974" s="41"/>
      <c r="Z1974" s="41"/>
      <c r="AA1974" s="41"/>
      <c r="AB1974" s="41"/>
      <c r="AC1974" s="41"/>
      <c r="AD1974" s="41"/>
      <c r="AE1974" s="41"/>
      <c r="AF1974" s="41"/>
      <c r="AG1974" s="41"/>
      <c r="AH1974" s="41"/>
      <c r="AI1974" s="41"/>
      <c r="AJ1974" s="41"/>
      <c r="AK1974" s="41"/>
      <c r="AL1974" s="41"/>
      <c r="AM1974" s="41"/>
      <c r="AN1974" s="41"/>
      <c r="AO1974" s="41"/>
      <c r="AP1974" s="41"/>
      <c r="AQ1974" s="41"/>
    </row>
    <row r="1975">
      <c r="A1975" s="41"/>
      <c r="B1975" s="41"/>
      <c r="C1975" s="41"/>
      <c r="D1975" s="41"/>
      <c r="E1975" s="41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41"/>
      <c r="Q1975" s="41"/>
      <c r="R1975" s="41"/>
      <c r="S1975" s="41"/>
      <c r="T1975" s="41"/>
      <c r="U1975" s="41"/>
      <c r="V1975" s="41"/>
      <c r="W1975" s="41"/>
      <c r="X1975" s="41"/>
      <c r="Y1975" s="41"/>
      <c r="Z1975" s="41"/>
      <c r="AA1975" s="41"/>
      <c r="AB1975" s="41"/>
      <c r="AC1975" s="41"/>
      <c r="AD1975" s="41"/>
      <c r="AE1975" s="41"/>
      <c r="AF1975" s="41"/>
      <c r="AG1975" s="41"/>
      <c r="AH1975" s="41"/>
      <c r="AI1975" s="41"/>
      <c r="AJ1975" s="41"/>
      <c r="AK1975" s="41"/>
      <c r="AL1975" s="41"/>
      <c r="AM1975" s="41"/>
      <c r="AN1975" s="41"/>
      <c r="AO1975" s="41"/>
      <c r="AP1975" s="41"/>
      <c r="AQ1975" s="41"/>
    </row>
    <row r="1976">
      <c r="A1976" s="41"/>
      <c r="B1976" s="41"/>
      <c r="C1976" s="41"/>
      <c r="D1976" s="41"/>
      <c r="E1976" s="41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41"/>
      <c r="Q1976" s="41"/>
      <c r="R1976" s="41"/>
      <c r="S1976" s="41"/>
      <c r="T1976" s="41"/>
      <c r="U1976" s="41"/>
      <c r="V1976" s="41"/>
      <c r="W1976" s="41"/>
      <c r="X1976" s="41"/>
      <c r="Y1976" s="41"/>
      <c r="Z1976" s="41"/>
      <c r="AA1976" s="41"/>
      <c r="AB1976" s="41"/>
      <c r="AC1976" s="41"/>
      <c r="AD1976" s="41"/>
      <c r="AE1976" s="41"/>
      <c r="AF1976" s="41"/>
      <c r="AG1976" s="41"/>
      <c r="AH1976" s="41"/>
      <c r="AI1976" s="41"/>
      <c r="AJ1976" s="41"/>
      <c r="AK1976" s="41"/>
      <c r="AL1976" s="41"/>
      <c r="AM1976" s="41"/>
      <c r="AN1976" s="41"/>
      <c r="AO1976" s="41"/>
      <c r="AP1976" s="41"/>
      <c r="AQ1976" s="41"/>
    </row>
    <row r="1977">
      <c r="A1977" s="41"/>
      <c r="B1977" s="41"/>
      <c r="C1977" s="41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41"/>
      <c r="Q1977" s="41"/>
      <c r="R1977" s="41"/>
      <c r="S1977" s="41"/>
      <c r="T1977" s="41"/>
      <c r="U1977" s="41"/>
      <c r="V1977" s="41"/>
      <c r="W1977" s="41"/>
      <c r="X1977" s="41"/>
      <c r="Y1977" s="41"/>
      <c r="Z1977" s="41"/>
      <c r="AA1977" s="41"/>
      <c r="AB1977" s="41"/>
      <c r="AC1977" s="41"/>
      <c r="AD1977" s="41"/>
      <c r="AE1977" s="41"/>
      <c r="AF1977" s="41"/>
      <c r="AG1977" s="41"/>
      <c r="AH1977" s="41"/>
      <c r="AI1977" s="41"/>
      <c r="AJ1977" s="41"/>
      <c r="AK1977" s="41"/>
      <c r="AL1977" s="41"/>
      <c r="AM1977" s="41"/>
      <c r="AN1977" s="41"/>
      <c r="AO1977" s="41"/>
      <c r="AP1977" s="41"/>
      <c r="AQ1977" s="41"/>
    </row>
    <row r="1978">
      <c r="A1978" s="41"/>
      <c r="B1978" s="41"/>
      <c r="C1978" s="41"/>
      <c r="D1978" s="41"/>
      <c r="E1978" s="41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  <c r="AA1978" s="41"/>
      <c r="AB1978" s="41"/>
      <c r="AC1978" s="41"/>
      <c r="AD1978" s="41"/>
      <c r="AE1978" s="41"/>
      <c r="AF1978" s="41"/>
      <c r="AG1978" s="41"/>
      <c r="AH1978" s="41"/>
      <c r="AI1978" s="41"/>
      <c r="AJ1978" s="41"/>
      <c r="AK1978" s="41"/>
      <c r="AL1978" s="41"/>
      <c r="AM1978" s="41"/>
      <c r="AN1978" s="41"/>
      <c r="AO1978" s="41"/>
      <c r="AP1978" s="41"/>
      <c r="AQ1978" s="41"/>
    </row>
    <row r="1979">
      <c r="A1979" s="41"/>
      <c r="B1979" s="41"/>
      <c r="C1979" s="41"/>
      <c r="D1979" s="41"/>
      <c r="E1979" s="41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41"/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  <c r="AA1979" s="41"/>
      <c r="AB1979" s="41"/>
      <c r="AC1979" s="41"/>
      <c r="AD1979" s="41"/>
      <c r="AE1979" s="41"/>
      <c r="AF1979" s="41"/>
      <c r="AG1979" s="41"/>
      <c r="AH1979" s="41"/>
      <c r="AI1979" s="41"/>
      <c r="AJ1979" s="41"/>
      <c r="AK1979" s="41"/>
      <c r="AL1979" s="41"/>
      <c r="AM1979" s="41"/>
      <c r="AN1979" s="41"/>
      <c r="AO1979" s="41"/>
      <c r="AP1979" s="41"/>
      <c r="AQ1979" s="41"/>
    </row>
    <row r="1980">
      <c r="A1980" s="41"/>
      <c r="B1980" s="41"/>
      <c r="C1980" s="41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41"/>
      <c r="Q1980" s="41"/>
      <c r="R1980" s="41"/>
      <c r="S1980" s="41"/>
      <c r="T1980" s="41"/>
      <c r="U1980" s="41"/>
      <c r="V1980" s="41"/>
      <c r="W1980" s="41"/>
      <c r="X1980" s="41"/>
      <c r="Y1980" s="41"/>
      <c r="Z1980" s="41"/>
      <c r="AA1980" s="41"/>
      <c r="AB1980" s="41"/>
      <c r="AC1980" s="41"/>
      <c r="AD1980" s="41"/>
      <c r="AE1980" s="41"/>
      <c r="AF1980" s="41"/>
      <c r="AG1980" s="41"/>
      <c r="AH1980" s="41"/>
      <c r="AI1980" s="41"/>
      <c r="AJ1980" s="41"/>
      <c r="AK1980" s="41"/>
      <c r="AL1980" s="41"/>
      <c r="AM1980" s="41"/>
      <c r="AN1980" s="41"/>
      <c r="AO1980" s="41"/>
      <c r="AP1980" s="41"/>
      <c r="AQ1980" s="41"/>
    </row>
    <row r="1981">
      <c r="A1981" s="41"/>
      <c r="B1981" s="41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  <c r="AA1981" s="41"/>
      <c r="AB1981" s="41"/>
      <c r="AC1981" s="41"/>
      <c r="AD1981" s="41"/>
      <c r="AE1981" s="41"/>
      <c r="AF1981" s="41"/>
      <c r="AG1981" s="41"/>
      <c r="AH1981" s="41"/>
      <c r="AI1981" s="41"/>
      <c r="AJ1981" s="41"/>
      <c r="AK1981" s="41"/>
      <c r="AL1981" s="41"/>
      <c r="AM1981" s="41"/>
      <c r="AN1981" s="41"/>
      <c r="AO1981" s="41"/>
      <c r="AP1981" s="41"/>
      <c r="AQ1981" s="41"/>
    </row>
    <row r="1982">
      <c r="A1982" s="41"/>
      <c r="B1982" s="41"/>
      <c r="C1982" s="41"/>
      <c r="D1982" s="41"/>
      <c r="E1982" s="41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41"/>
      <c r="Q1982" s="41"/>
      <c r="R1982" s="41"/>
      <c r="S1982" s="41"/>
      <c r="T1982" s="41"/>
      <c r="U1982" s="41"/>
      <c r="V1982" s="41"/>
      <c r="W1982" s="41"/>
      <c r="X1982" s="41"/>
      <c r="Y1982" s="41"/>
      <c r="Z1982" s="41"/>
      <c r="AA1982" s="41"/>
      <c r="AB1982" s="41"/>
      <c r="AC1982" s="41"/>
      <c r="AD1982" s="41"/>
      <c r="AE1982" s="41"/>
      <c r="AF1982" s="41"/>
      <c r="AG1982" s="41"/>
      <c r="AH1982" s="41"/>
      <c r="AI1982" s="41"/>
      <c r="AJ1982" s="41"/>
      <c r="AK1982" s="41"/>
      <c r="AL1982" s="41"/>
      <c r="AM1982" s="41"/>
      <c r="AN1982" s="41"/>
      <c r="AO1982" s="41"/>
      <c r="AP1982" s="41"/>
      <c r="AQ1982" s="41"/>
    </row>
    <row r="1983">
      <c r="A1983" s="41"/>
      <c r="B1983" s="41"/>
      <c r="C1983" s="41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1"/>
      <c r="X1983" s="41"/>
      <c r="Y1983" s="41"/>
      <c r="Z1983" s="41"/>
      <c r="AA1983" s="41"/>
      <c r="AB1983" s="41"/>
      <c r="AC1983" s="41"/>
      <c r="AD1983" s="41"/>
      <c r="AE1983" s="41"/>
      <c r="AF1983" s="41"/>
      <c r="AG1983" s="41"/>
      <c r="AH1983" s="41"/>
      <c r="AI1983" s="41"/>
      <c r="AJ1983" s="41"/>
      <c r="AK1983" s="41"/>
      <c r="AL1983" s="41"/>
      <c r="AM1983" s="41"/>
      <c r="AN1983" s="41"/>
      <c r="AO1983" s="41"/>
      <c r="AP1983" s="41"/>
      <c r="AQ1983" s="41"/>
    </row>
    <row r="1984">
      <c r="A1984" s="41"/>
      <c r="B1984" s="41"/>
      <c r="C1984" s="41"/>
      <c r="D1984" s="41"/>
      <c r="E1984" s="41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41"/>
      <c r="Q1984" s="41"/>
      <c r="R1984" s="41"/>
      <c r="S1984" s="41"/>
      <c r="T1984" s="41"/>
      <c r="U1984" s="41"/>
      <c r="V1984" s="41"/>
      <c r="W1984" s="41"/>
      <c r="X1984" s="41"/>
      <c r="Y1984" s="41"/>
      <c r="Z1984" s="41"/>
      <c r="AA1984" s="41"/>
      <c r="AB1984" s="41"/>
      <c r="AC1984" s="41"/>
      <c r="AD1984" s="41"/>
      <c r="AE1984" s="41"/>
      <c r="AF1984" s="41"/>
      <c r="AG1984" s="41"/>
      <c r="AH1984" s="41"/>
      <c r="AI1984" s="41"/>
      <c r="AJ1984" s="41"/>
      <c r="AK1984" s="41"/>
      <c r="AL1984" s="41"/>
      <c r="AM1984" s="41"/>
      <c r="AN1984" s="41"/>
      <c r="AO1984" s="41"/>
      <c r="AP1984" s="41"/>
      <c r="AQ1984" s="41"/>
    </row>
    <row r="1985">
      <c r="A1985" s="41"/>
      <c r="B1985" s="41"/>
      <c r="C1985" s="41"/>
      <c r="D1985" s="41"/>
      <c r="E1985" s="41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41"/>
      <c r="Q1985" s="41"/>
      <c r="R1985" s="41"/>
      <c r="S1985" s="41"/>
      <c r="T1985" s="41"/>
      <c r="U1985" s="41"/>
      <c r="V1985" s="41"/>
      <c r="W1985" s="41"/>
      <c r="X1985" s="41"/>
      <c r="Y1985" s="41"/>
      <c r="Z1985" s="41"/>
      <c r="AA1985" s="41"/>
      <c r="AB1985" s="41"/>
      <c r="AC1985" s="41"/>
      <c r="AD1985" s="41"/>
      <c r="AE1985" s="41"/>
      <c r="AF1985" s="41"/>
      <c r="AG1985" s="41"/>
      <c r="AH1985" s="41"/>
      <c r="AI1985" s="41"/>
      <c r="AJ1985" s="41"/>
      <c r="AK1985" s="41"/>
      <c r="AL1985" s="41"/>
      <c r="AM1985" s="41"/>
      <c r="AN1985" s="41"/>
      <c r="AO1985" s="41"/>
      <c r="AP1985" s="41"/>
      <c r="AQ1985" s="41"/>
    </row>
    <row r="1986">
      <c r="A1986" s="41"/>
      <c r="B1986" s="41"/>
      <c r="C1986" s="41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41"/>
      <c r="Q1986" s="41"/>
      <c r="R1986" s="41"/>
      <c r="S1986" s="41"/>
      <c r="T1986" s="41"/>
      <c r="U1986" s="41"/>
      <c r="V1986" s="41"/>
      <c r="W1986" s="41"/>
      <c r="X1986" s="41"/>
      <c r="Y1986" s="41"/>
      <c r="Z1986" s="41"/>
      <c r="AA1986" s="41"/>
      <c r="AB1986" s="41"/>
      <c r="AC1986" s="41"/>
      <c r="AD1986" s="41"/>
      <c r="AE1986" s="41"/>
      <c r="AF1986" s="41"/>
      <c r="AG1986" s="41"/>
      <c r="AH1986" s="41"/>
      <c r="AI1986" s="41"/>
      <c r="AJ1986" s="41"/>
      <c r="AK1986" s="41"/>
      <c r="AL1986" s="41"/>
      <c r="AM1986" s="41"/>
      <c r="AN1986" s="41"/>
      <c r="AO1986" s="41"/>
      <c r="AP1986" s="41"/>
      <c r="AQ1986" s="41"/>
    </row>
    <row r="1987">
      <c r="A1987" s="41"/>
      <c r="B1987" s="41"/>
      <c r="C1987" s="41"/>
      <c r="D1987" s="41"/>
      <c r="E1987" s="41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41"/>
      <c r="Q1987" s="41"/>
      <c r="R1987" s="41"/>
      <c r="S1987" s="41"/>
      <c r="T1987" s="41"/>
      <c r="U1987" s="41"/>
      <c r="V1987" s="41"/>
      <c r="W1987" s="41"/>
      <c r="X1987" s="41"/>
      <c r="Y1987" s="41"/>
      <c r="Z1987" s="41"/>
      <c r="AA1987" s="41"/>
      <c r="AB1987" s="41"/>
      <c r="AC1987" s="41"/>
      <c r="AD1987" s="41"/>
      <c r="AE1987" s="41"/>
      <c r="AF1987" s="41"/>
      <c r="AG1987" s="41"/>
      <c r="AH1987" s="41"/>
      <c r="AI1987" s="41"/>
      <c r="AJ1987" s="41"/>
      <c r="AK1987" s="41"/>
      <c r="AL1987" s="41"/>
      <c r="AM1987" s="41"/>
      <c r="AN1987" s="41"/>
      <c r="AO1987" s="41"/>
      <c r="AP1987" s="41"/>
      <c r="AQ1987" s="41"/>
    </row>
    <row r="1988">
      <c r="A1988" s="41"/>
      <c r="B1988" s="41"/>
      <c r="C1988" s="41"/>
      <c r="D1988" s="41"/>
      <c r="E1988" s="41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41"/>
      <c r="Q1988" s="41"/>
      <c r="R1988" s="41"/>
      <c r="S1988" s="41"/>
      <c r="T1988" s="41"/>
      <c r="U1988" s="41"/>
      <c r="V1988" s="41"/>
      <c r="W1988" s="41"/>
      <c r="X1988" s="41"/>
      <c r="Y1988" s="41"/>
      <c r="Z1988" s="41"/>
      <c r="AA1988" s="41"/>
      <c r="AB1988" s="41"/>
      <c r="AC1988" s="41"/>
      <c r="AD1988" s="41"/>
      <c r="AE1988" s="41"/>
      <c r="AF1988" s="41"/>
      <c r="AG1988" s="41"/>
      <c r="AH1988" s="41"/>
      <c r="AI1988" s="41"/>
      <c r="AJ1988" s="41"/>
      <c r="AK1988" s="41"/>
      <c r="AL1988" s="41"/>
      <c r="AM1988" s="41"/>
      <c r="AN1988" s="41"/>
      <c r="AO1988" s="41"/>
      <c r="AP1988" s="41"/>
      <c r="AQ1988" s="41"/>
    </row>
    <row r="1989">
      <c r="A1989" s="41"/>
      <c r="B1989" s="41"/>
      <c r="C1989" s="41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41"/>
      <c r="Q1989" s="41"/>
      <c r="R1989" s="41"/>
      <c r="S1989" s="41"/>
      <c r="T1989" s="41"/>
      <c r="U1989" s="41"/>
      <c r="V1989" s="41"/>
      <c r="W1989" s="41"/>
      <c r="X1989" s="41"/>
      <c r="Y1989" s="41"/>
      <c r="Z1989" s="41"/>
      <c r="AA1989" s="41"/>
      <c r="AB1989" s="41"/>
      <c r="AC1989" s="41"/>
      <c r="AD1989" s="41"/>
      <c r="AE1989" s="41"/>
      <c r="AF1989" s="41"/>
      <c r="AG1989" s="41"/>
      <c r="AH1989" s="41"/>
      <c r="AI1989" s="41"/>
      <c r="AJ1989" s="41"/>
      <c r="AK1989" s="41"/>
      <c r="AL1989" s="41"/>
      <c r="AM1989" s="41"/>
      <c r="AN1989" s="41"/>
      <c r="AO1989" s="41"/>
      <c r="AP1989" s="41"/>
      <c r="AQ1989" s="41"/>
    </row>
    <row r="1990">
      <c r="A1990" s="41"/>
      <c r="B1990" s="41"/>
      <c r="C1990" s="41"/>
      <c r="D1990" s="41"/>
      <c r="E1990" s="41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41"/>
      <c r="Q1990" s="41"/>
      <c r="R1990" s="41"/>
      <c r="S1990" s="41"/>
      <c r="T1990" s="41"/>
      <c r="U1990" s="41"/>
      <c r="V1990" s="41"/>
      <c r="W1990" s="41"/>
      <c r="X1990" s="41"/>
      <c r="Y1990" s="41"/>
      <c r="Z1990" s="41"/>
      <c r="AA1990" s="41"/>
      <c r="AB1990" s="41"/>
      <c r="AC1990" s="41"/>
      <c r="AD1990" s="41"/>
      <c r="AE1990" s="41"/>
      <c r="AF1990" s="41"/>
      <c r="AG1990" s="41"/>
      <c r="AH1990" s="41"/>
      <c r="AI1990" s="41"/>
      <c r="AJ1990" s="41"/>
      <c r="AK1990" s="41"/>
      <c r="AL1990" s="41"/>
      <c r="AM1990" s="41"/>
      <c r="AN1990" s="41"/>
      <c r="AO1990" s="41"/>
      <c r="AP1990" s="41"/>
      <c r="AQ1990" s="41"/>
    </row>
    <row r="1991">
      <c r="A1991" s="41"/>
      <c r="B1991" s="41"/>
      <c r="C1991" s="41"/>
      <c r="D1991" s="41"/>
      <c r="E1991" s="41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41"/>
      <c r="Q1991" s="41"/>
      <c r="R1991" s="41"/>
      <c r="S1991" s="41"/>
      <c r="T1991" s="41"/>
      <c r="U1991" s="41"/>
      <c r="V1991" s="41"/>
      <c r="W1991" s="41"/>
      <c r="X1991" s="41"/>
      <c r="Y1991" s="41"/>
      <c r="Z1991" s="41"/>
      <c r="AA1991" s="41"/>
      <c r="AB1991" s="41"/>
      <c r="AC1991" s="41"/>
      <c r="AD1991" s="41"/>
      <c r="AE1991" s="41"/>
      <c r="AF1991" s="41"/>
      <c r="AG1991" s="41"/>
      <c r="AH1991" s="41"/>
      <c r="AI1991" s="41"/>
      <c r="AJ1991" s="41"/>
      <c r="AK1991" s="41"/>
      <c r="AL1991" s="41"/>
      <c r="AM1991" s="41"/>
      <c r="AN1991" s="41"/>
      <c r="AO1991" s="41"/>
      <c r="AP1991" s="41"/>
      <c r="AQ1991" s="41"/>
    </row>
    <row r="1992">
      <c r="A1992" s="41"/>
      <c r="B1992" s="41"/>
      <c r="C1992" s="41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41"/>
      <c r="Q1992" s="41"/>
      <c r="R1992" s="41"/>
      <c r="S1992" s="41"/>
      <c r="T1992" s="41"/>
      <c r="U1992" s="41"/>
      <c r="V1992" s="41"/>
      <c r="W1992" s="41"/>
      <c r="X1992" s="41"/>
      <c r="Y1992" s="41"/>
      <c r="Z1992" s="41"/>
      <c r="AA1992" s="41"/>
      <c r="AB1992" s="41"/>
      <c r="AC1992" s="41"/>
      <c r="AD1992" s="41"/>
      <c r="AE1992" s="41"/>
      <c r="AF1992" s="41"/>
      <c r="AG1992" s="41"/>
      <c r="AH1992" s="41"/>
      <c r="AI1992" s="41"/>
      <c r="AJ1992" s="41"/>
      <c r="AK1992" s="41"/>
      <c r="AL1992" s="41"/>
      <c r="AM1992" s="41"/>
      <c r="AN1992" s="41"/>
      <c r="AO1992" s="41"/>
      <c r="AP1992" s="41"/>
      <c r="AQ1992" s="41"/>
    </row>
    <row r="1993">
      <c r="A1993" s="41"/>
      <c r="B1993" s="41"/>
      <c r="C1993" s="41"/>
      <c r="D1993" s="41"/>
      <c r="E1993" s="41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41"/>
      <c r="Q1993" s="41"/>
      <c r="R1993" s="41"/>
      <c r="S1993" s="41"/>
      <c r="T1993" s="41"/>
      <c r="U1993" s="41"/>
      <c r="V1993" s="41"/>
      <c r="W1993" s="41"/>
      <c r="X1993" s="41"/>
      <c r="Y1993" s="41"/>
      <c r="Z1993" s="41"/>
      <c r="AA1993" s="41"/>
      <c r="AB1993" s="41"/>
      <c r="AC1993" s="41"/>
      <c r="AD1993" s="41"/>
      <c r="AE1993" s="41"/>
      <c r="AF1993" s="41"/>
      <c r="AG1993" s="41"/>
      <c r="AH1993" s="41"/>
      <c r="AI1993" s="41"/>
      <c r="AJ1993" s="41"/>
      <c r="AK1993" s="41"/>
      <c r="AL1993" s="41"/>
      <c r="AM1993" s="41"/>
      <c r="AN1993" s="41"/>
      <c r="AO1993" s="41"/>
      <c r="AP1993" s="41"/>
      <c r="AQ1993" s="41"/>
    </row>
    <row r="1994">
      <c r="A1994" s="41"/>
      <c r="B1994" s="41"/>
      <c r="C1994" s="41"/>
      <c r="D1994" s="41"/>
      <c r="E1994" s="41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41"/>
      <c r="Q1994" s="41"/>
      <c r="R1994" s="41"/>
      <c r="S1994" s="41"/>
      <c r="T1994" s="41"/>
      <c r="U1994" s="41"/>
      <c r="V1994" s="41"/>
      <c r="W1994" s="41"/>
      <c r="X1994" s="41"/>
      <c r="Y1994" s="41"/>
      <c r="Z1994" s="41"/>
      <c r="AA1994" s="41"/>
      <c r="AB1994" s="41"/>
      <c r="AC1994" s="41"/>
      <c r="AD1994" s="41"/>
      <c r="AE1994" s="41"/>
      <c r="AF1994" s="41"/>
      <c r="AG1994" s="41"/>
      <c r="AH1994" s="41"/>
      <c r="AI1994" s="41"/>
      <c r="AJ1994" s="41"/>
      <c r="AK1994" s="41"/>
      <c r="AL1994" s="41"/>
      <c r="AM1994" s="41"/>
      <c r="AN1994" s="41"/>
      <c r="AO1994" s="41"/>
      <c r="AP1994" s="41"/>
      <c r="AQ1994" s="41"/>
    </row>
    <row r="1995">
      <c r="A1995" s="41"/>
      <c r="B1995" s="41"/>
      <c r="C1995" s="41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41"/>
      <c r="Q1995" s="41"/>
      <c r="R1995" s="41"/>
      <c r="S1995" s="41"/>
      <c r="T1995" s="41"/>
      <c r="U1995" s="41"/>
      <c r="V1995" s="41"/>
      <c r="W1995" s="41"/>
      <c r="X1995" s="41"/>
      <c r="Y1995" s="41"/>
      <c r="Z1995" s="41"/>
      <c r="AA1995" s="41"/>
      <c r="AB1995" s="41"/>
      <c r="AC1995" s="41"/>
      <c r="AD1995" s="41"/>
      <c r="AE1995" s="41"/>
      <c r="AF1995" s="41"/>
      <c r="AG1995" s="41"/>
      <c r="AH1995" s="41"/>
      <c r="AI1995" s="41"/>
      <c r="AJ1995" s="41"/>
      <c r="AK1995" s="41"/>
      <c r="AL1995" s="41"/>
      <c r="AM1995" s="41"/>
      <c r="AN1995" s="41"/>
      <c r="AO1995" s="41"/>
      <c r="AP1995" s="41"/>
      <c r="AQ1995" s="41"/>
    </row>
    <row r="1996">
      <c r="A1996" s="41"/>
      <c r="B1996" s="41"/>
      <c r="C1996" s="41"/>
      <c r="D1996" s="41"/>
      <c r="E1996" s="41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  <c r="AA1996" s="41"/>
      <c r="AB1996" s="41"/>
      <c r="AC1996" s="41"/>
      <c r="AD1996" s="41"/>
      <c r="AE1996" s="41"/>
      <c r="AF1996" s="41"/>
      <c r="AG1996" s="41"/>
      <c r="AH1996" s="41"/>
      <c r="AI1996" s="41"/>
      <c r="AJ1996" s="41"/>
      <c r="AK1996" s="41"/>
      <c r="AL1996" s="41"/>
      <c r="AM1996" s="41"/>
      <c r="AN1996" s="41"/>
      <c r="AO1996" s="41"/>
      <c r="AP1996" s="41"/>
      <c r="AQ1996" s="41"/>
    </row>
    <row r="1997">
      <c r="A1997" s="41"/>
      <c r="B1997" s="41"/>
      <c r="C1997" s="41"/>
      <c r="D1997" s="41"/>
      <c r="E1997" s="41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41"/>
      <c r="Q1997" s="41"/>
      <c r="R1997" s="41"/>
      <c r="S1997" s="41"/>
      <c r="T1997" s="41"/>
      <c r="U1997" s="41"/>
      <c r="V1997" s="41"/>
      <c r="W1997" s="41"/>
      <c r="X1997" s="41"/>
      <c r="Y1997" s="41"/>
      <c r="Z1997" s="41"/>
      <c r="AA1997" s="41"/>
      <c r="AB1997" s="41"/>
      <c r="AC1997" s="41"/>
      <c r="AD1997" s="41"/>
      <c r="AE1997" s="41"/>
      <c r="AF1997" s="41"/>
      <c r="AG1997" s="41"/>
      <c r="AH1997" s="41"/>
      <c r="AI1997" s="41"/>
      <c r="AJ1997" s="41"/>
      <c r="AK1997" s="41"/>
      <c r="AL1997" s="41"/>
      <c r="AM1997" s="41"/>
      <c r="AN1997" s="41"/>
      <c r="AO1997" s="41"/>
      <c r="AP1997" s="41"/>
      <c r="AQ1997" s="41"/>
    </row>
    <row r="1998">
      <c r="A1998" s="41"/>
      <c r="B1998" s="41"/>
      <c r="C1998" s="41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41"/>
      <c r="Q1998" s="41"/>
      <c r="R1998" s="41"/>
      <c r="S1998" s="41"/>
      <c r="T1998" s="41"/>
      <c r="U1998" s="41"/>
      <c r="V1998" s="41"/>
      <c r="W1998" s="41"/>
      <c r="X1998" s="41"/>
      <c r="Y1998" s="41"/>
      <c r="Z1998" s="41"/>
      <c r="AA1998" s="41"/>
      <c r="AB1998" s="41"/>
      <c r="AC1998" s="41"/>
      <c r="AD1998" s="41"/>
      <c r="AE1998" s="41"/>
      <c r="AF1998" s="41"/>
      <c r="AG1998" s="41"/>
      <c r="AH1998" s="41"/>
      <c r="AI1998" s="41"/>
      <c r="AJ1998" s="41"/>
      <c r="AK1998" s="41"/>
      <c r="AL1998" s="41"/>
      <c r="AM1998" s="41"/>
      <c r="AN1998" s="41"/>
      <c r="AO1998" s="41"/>
      <c r="AP1998" s="41"/>
      <c r="AQ1998" s="41"/>
    </row>
    <row r="1999">
      <c r="A1999" s="41"/>
      <c r="B1999" s="41"/>
      <c r="C1999" s="41"/>
      <c r="D1999" s="41"/>
      <c r="E1999" s="41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41"/>
      <c r="Q1999" s="41"/>
      <c r="R1999" s="41"/>
      <c r="S1999" s="41"/>
      <c r="T1999" s="41"/>
      <c r="U1999" s="41"/>
      <c r="V1999" s="41"/>
      <c r="W1999" s="41"/>
      <c r="X1999" s="41"/>
      <c r="Y1999" s="41"/>
      <c r="Z1999" s="41"/>
      <c r="AA1999" s="41"/>
      <c r="AB1999" s="41"/>
      <c r="AC1999" s="41"/>
      <c r="AD1999" s="41"/>
      <c r="AE1999" s="41"/>
      <c r="AF1999" s="41"/>
      <c r="AG1999" s="41"/>
      <c r="AH1999" s="41"/>
      <c r="AI1999" s="41"/>
      <c r="AJ1999" s="41"/>
      <c r="AK1999" s="41"/>
      <c r="AL1999" s="41"/>
      <c r="AM1999" s="41"/>
      <c r="AN1999" s="41"/>
      <c r="AO1999" s="41"/>
      <c r="AP1999" s="41"/>
      <c r="AQ1999" s="41"/>
    </row>
    <row r="2000">
      <c r="A2000" s="41"/>
      <c r="B2000" s="41"/>
      <c r="C2000" s="41"/>
      <c r="D2000" s="41"/>
      <c r="E2000" s="41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41"/>
      <c r="Q2000" s="41"/>
      <c r="R2000" s="41"/>
      <c r="S2000" s="41"/>
      <c r="T2000" s="41"/>
      <c r="U2000" s="41"/>
      <c r="V2000" s="41"/>
      <c r="W2000" s="41"/>
      <c r="X2000" s="41"/>
      <c r="Y2000" s="41"/>
      <c r="Z2000" s="41"/>
      <c r="AA2000" s="41"/>
      <c r="AB2000" s="41"/>
      <c r="AC2000" s="41"/>
      <c r="AD2000" s="41"/>
      <c r="AE2000" s="41"/>
      <c r="AF2000" s="41"/>
      <c r="AG2000" s="41"/>
      <c r="AH2000" s="41"/>
      <c r="AI2000" s="41"/>
      <c r="AJ2000" s="41"/>
      <c r="AK2000" s="41"/>
      <c r="AL2000" s="41"/>
      <c r="AM2000" s="41"/>
      <c r="AN2000" s="41"/>
      <c r="AO2000" s="41"/>
      <c r="AP2000" s="41"/>
      <c r="AQ2000" s="41"/>
    </row>
    <row r="2001">
      <c r="A2001" s="41"/>
      <c r="B2001" s="41"/>
      <c r="C2001" s="41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1"/>
      <c r="X2001" s="41"/>
      <c r="Y2001" s="41"/>
      <c r="Z2001" s="41"/>
      <c r="AA2001" s="41"/>
      <c r="AB2001" s="41"/>
      <c r="AC2001" s="41"/>
      <c r="AD2001" s="41"/>
      <c r="AE2001" s="41"/>
      <c r="AF2001" s="41"/>
      <c r="AG2001" s="41"/>
      <c r="AH2001" s="41"/>
      <c r="AI2001" s="41"/>
      <c r="AJ2001" s="41"/>
      <c r="AK2001" s="41"/>
      <c r="AL2001" s="41"/>
      <c r="AM2001" s="41"/>
      <c r="AN2001" s="41"/>
      <c r="AO2001" s="41"/>
      <c r="AP2001" s="41"/>
      <c r="AQ2001" s="41"/>
    </row>
    <row r="2002">
      <c r="A2002" s="41"/>
      <c r="B2002" s="41"/>
      <c r="C2002" s="41"/>
      <c r="D2002" s="41"/>
      <c r="E2002" s="41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41"/>
      <c r="Q2002" s="41"/>
      <c r="R2002" s="41"/>
      <c r="S2002" s="41"/>
      <c r="T2002" s="41"/>
      <c r="U2002" s="41"/>
      <c r="V2002" s="41"/>
      <c r="W2002" s="41"/>
      <c r="X2002" s="41"/>
      <c r="Y2002" s="41"/>
      <c r="Z2002" s="41"/>
      <c r="AA2002" s="41"/>
      <c r="AB2002" s="41"/>
      <c r="AC2002" s="41"/>
      <c r="AD2002" s="41"/>
      <c r="AE2002" s="41"/>
      <c r="AF2002" s="41"/>
      <c r="AG2002" s="41"/>
      <c r="AH2002" s="41"/>
      <c r="AI2002" s="41"/>
      <c r="AJ2002" s="41"/>
      <c r="AK2002" s="41"/>
      <c r="AL2002" s="41"/>
      <c r="AM2002" s="41"/>
      <c r="AN2002" s="41"/>
      <c r="AO2002" s="41"/>
      <c r="AP2002" s="41"/>
      <c r="AQ2002" s="41"/>
    </row>
    <row r="2003">
      <c r="A2003" s="41"/>
      <c r="B2003" s="41"/>
      <c r="C2003" s="41"/>
      <c r="D2003" s="41"/>
      <c r="E2003" s="41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41"/>
      <c r="Q2003" s="41"/>
      <c r="R2003" s="41"/>
      <c r="S2003" s="41"/>
      <c r="T2003" s="41"/>
      <c r="U2003" s="41"/>
      <c r="V2003" s="41"/>
      <c r="W2003" s="41"/>
      <c r="X2003" s="41"/>
      <c r="Y2003" s="41"/>
      <c r="Z2003" s="41"/>
      <c r="AA2003" s="41"/>
      <c r="AB2003" s="41"/>
      <c r="AC2003" s="41"/>
      <c r="AD2003" s="41"/>
      <c r="AE2003" s="41"/>
      <c r="AF2003" s="41"/>
      <c r="AG2003" s="41"/>
      <c r="AH2003" s="41"/>
      <c r="AI2003" s="41"/>
      <c r="AJ2003" s="41"/>
      <c r="AK2003" s="41"/>
      <c r="AL2003" s="41"/>
      <c r="AM2003" s="41"/>
      <c r="AN2003" s="41"/>
      <c r="AO2003" s="41"/>
      <c r="AP2003" s="41"/>
      <c r="AQ2003" s="41"/>
    </row>
    <row r="2004">
      <c r="A2004" s="41"/>
      <c r="B2004" s="41"/>
      <c r="C2004" s="41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41"/>
      <c r="Q2004" s="41"/>
      <c r="R2004" s="41"/>
      <c r="S2004" s="41"/>
      <c r="T2004" s="41"/>
      <c r="U2004" s="41"/>
      <c r="V2004" s="41"/>
      <c r="W2004" s="41"/>
      <c r="X2004" s="41"/>
      <c r="Y2004" s="41"/>
      <c r="Z2004" s="41"/>
      <c r="AA2004" s="41"/>
      <c r="AB2004" s="41"/>
      <c r="AC2004" s="41"/>
      <c r="AD2004" s="41"/>
      <c r="AE2004" s="41"/>
      <c r="AF2004" s="41"/>
      <c r="AG2004" s="41"/>
      <c r="AH2004" s="41"/>
      <c r="AI2004" s="41"/>
      <c r="AJ2004" s="41"/>
      <c r="AK2004" s="41"/>
      <c r="AL2004" s="41"/>
      <c r="AM2004" s="41"/>
      <c r="AN2004" s="41"/>
      <c r="AO2004" s="41"/>
      <c r="AP2004" s="41"/>
      <c r="AQ2004" s="41"/>
    </row>
    <row r="2005">
      <c r="A2005" s="41"/>
      <c r="B2005" s="41"/>
      <c r="C2005" s="41"/>
      <c r="D2005" s="41"/>
      <c r="E2005" s="41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41"/>
      <c r="Q2005" s="41"/>
      <c r="R2005" s="41"/>
      <c r="S2005" s="41"/>
      <c r="T2005" s="41"/>
      <c r="U2005" s="41"/>
      <c r="V2005" s="41"/>
      <c r="W2005" s="41"/>
      <c r="X2005" s="41"/>
      <c r="Y2005" s="41"/>
      <c r="Z2005" s="41"/>
      <c r="AA2005" s="41"/>
      <c r="AB2005" s="41"/>
      <c r="AC2005" s="41"/>
      <c r="AD2005" s="41"/>
      <c r="AE2005" s="41"/>
      <c r="AF2005" s="41"/>
      <c r="AG2005" s="41"/>
      <c r="AH2005" s="41"/>
      <c r="AI2005" s="41"/>
      <c r="AJ2005" s="41"/>
      <c r="AK2005" s="41"/>
      <c r="AL2005" s="41"/>
      <c r="AM2005" s="41"/>
      <c r="AN2005" s="41"/>
      <c r="AO2005" s="41"/>
      <c r="AP2005" s="41"/>
      <c r="AQ2005" s="41"/>
    </row>
    <row r="2006">
      <c r="A2006" s="41"/>
      <c r="B2006" s="41"/>
      <c r="C2006" s="41"/>
      <c r="D2006" s="41"/>
      <c r="E2006" s="41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41"/>
      <c r="Q2006" s="41"/>
      <c r="R2006" s="41"/>
      <c r="S2006" s="41"/>
      <c r="T2006" s="41"/>
      <c r="U2006" s="41"/>
      <c r="V2006" s="41"/>
      <c r="W2006" s="41"/>
      <c r="X2006" s="41"/>
      <c r="Y2006" s="41"/>
      <c r="Z2006" s="41"/>
      <c r="AA2006" s="41"/>
      <c r="AB2006" s="41"/>
      <c r="AC2006" s="41"/>
      <c r="AD2006" s="41"/>
      <c r="AE2006" s="41"/>
      <c r="AF2006" s="41"/>
      <c r="AG2006" s="41"/>
      <c r="AH2006" s="41"/>
      <c r="AI2006" s="41"/>
      <c r="AJ2006" s="41"/>
      <c r="AK2006" s="41"/>
      <c r="AL2006" s="41"/>
      <c r="AM2006" s="41"/>
      <c r="AN2006" s="41"/>
      <c r="AO2006" s="41"/>
      <c r="AP2006" s="41"/>
      <c r="AQ2006" s="41"/>
    </row>
    <row r="2007">
      <c r="A2007" s="41"/>
      <c r="B2007" s="41"/>
      <c r="C2007" s="41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41"/>
      <c r="Q2007" s="41"/>
      <c r="R2007" s="41"/>
      <c r="S2007" s="41"/>
      <c r="T2007" s="41"/>
      <c r="U2007" s="41"/>
      <c r="V2007" s="41"/>
      <c r="W2007" s="41"/>
      <c r="X2007" s="41"/>
      <c r="Y2007" s="41"/>
      <c r="Z2007" s="41"/>
      <c r="AA2007" s="41"/>
      <c r="AB2007" s="41"/>
      <c r="AC2007" s="41"/>
      <c r="AD2007" s="41"/>
      <c r="AE2007" s="41"/>
      <c r="AF2007" s="41"/>
      <c r="AG2007" s="41"/>
      <c r="AH2007" s="41"/>
      <c r="AI2007" s="41"/>
      <c r="AJ2007" s="41"/>
      <c r="AK2007" s="41"/>
      <c r="AL2007" s="41"/>
      <c r="AM2007" s="41"/>
      <c r="AN2007" s="41"/>
      <c r="AO2007" s="41"/>
      <c r="AP2007" s="41"/>
      <c r="AQ2007" s="41"/>
    </row>
    <row r="2008">
      <c r="A2008" s="41"/>
      <c r="B2008" s="41"/>
      <c r="C2008" s="41"/>
      <c r="D2008" s="41"/>
      <c r="E2008" s="41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41"/>
      <c r="Q2008" s="41"/>
      <c r="R2008" s="41"/>
      <c r="S2008" s="41"/>
      <c r="T2008" s="41"/>
      <c r="U2008" s="41"/>
      <c r="V2008" s="41"/>
      <c r="W2008" s="41"/>
      <c r="X2008" s="41"/>
      <c r="Y2008" s="41"/>
      <c r="Z2008" s="41"/>
      <c r="AA2008" s="41"/>
      <c r="AB2008" s="41"/>
      <c r="AC2008" s="41"/>
      <c r="AD2008" s="41"/>
      <c r="AE2008" s="41"/>
      <c r="AF2008" s="41"/>
      <c r="AG2008" s="41"/>
      <c r="AH2008" s="41"/>
      <c r="AI2008" s="41"/>
      <c r="AJ2008" s="41"/>
      <c r="AK2008" s="41"/>
      <c r="AL2008" s="41"/>
      <c r="AM2008" s="41"/>
      <c r="AN2008" s="41"/>
      <c r="AO2008" s="41"/>
      <c r="AP2008" s="41"/>
      <c r="AQ2008" s="41"/>
    </row>
    <row r="2009">
      <c r="A2009" s="41"/>
      <c r="B2009" s="41"/>
      <c r="C2009" s="41"/>
      <c r="D2009" s="41"/>
      <c r="E2009" s="41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41"/>
      <c r="Q2009" s="41"/>
      <c r="R2009" s="41"/>
      <c r="S2009" s="41"/>
      <c r="T2009" s="41"/>
      <c r="U2009" s="41"/>
      <c r="V2009" s="41"/>
      <c r="W2009" s="41"/>
      <c r="X2009" s="41"/>
      <c r="Y2009" s="41"/>
      <c r="Z2009" s="41"/>
      <c r="AA2009" s="41"/>
      <c r="AB2009" s="41"/>
      <c r="AC2009" s="41"/>
      <c r="AD2009" s="41"/>
      <c r="AE2009" s="41"/>
      <c r="AF2009" s="41"/>
      <c r="AG2009" s="41"/>
      <c r="AH2009" s="41"/>
      <c r="AI2009" s="41"/>
      <c r="AJ2009" s="41"/>
      <c r="AK2009" s="41"/>
      <c r="AL2009" s="41"/>
      <c r="AM2009" s="41"/>
      <c r="AN2009" s="41"/>
      <c r="AO2009" s="41"/>
      <c r="AP2009" s="41"/>
      <c r="AQ2009" s="41"/>
    </row>
    <row r="2010">
      <c r="A2010" s="41"/>
      <c r="B2010" s="41"/>
      <c r="C2010" s="41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41"/>
      <c r="Q2010" s="41"/>
      <c r="R2010" s="41"/>
      <c r="S2010" s="41"/>
      <c r="T2010" s="41"/>
      <c r="U2010" s="41"/>
      <c r="V2010" s="41"/>
      <c r="W2010" s="41"/>
      <c r="X2010" s="41"/>
      <c r="Y2010" s="41"/>
      <c r="Z2010" s="41"/>
      <c r="AA2010" s="41"/>
      <c r="AB2010" s="41"/>
      <c r="AC2010" s="41"/>
      <c r="AD2010" s="41"/>
      <c r="AE2010" s="41"/>
      <c r="AF2010" s="41"/>
      <c r="AG2010" s="41"/>
      <c r="AH2010" s="41"/>
      <c r="AI2010" s="41"/>
      <c r="AJ2010" s="41"/>
      <c r="AK2010" s="41"/>
      <c r="AL2010" s="41"/>
      <c r="AM2010" s="41"/>
      <c r="AN2010" s="41"/>
      <c r="AO2010" s="41"/>
      <c r="AP2010" s="41"/>
      <c r="AQ2010" s="41"/>
    </row>
    <row r="2011">
      <c r="A2011" s="41"/>
      <c r="B2011" s="41"/>
      <c r="C2011" s="41"/>
      <c r="D2011" s="41"/>
      <c r="E2011" s="41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41"/>
      <c r="Q2011" s="41"/>
      <c r="R2011" s="41"/>
      <c r="S2011" s="41"/>
      <c r="T2011" s="41"/>
      <c r="U2011" s="41"/>
      <c r="V2011" s="41"/>
      <c r="W2011" s="41"/>
      <c r="X2011" s="41"/>
      <c r="Y2011" s="41"/>
      <c r="Z2011" s="41"/>
      <c r="AA2011" s="41"/>
      <c r="AB2011" s="41"/>
      <c r="AC2011" s="41"/>
      <c r="AD2011" s="41"/>
      <c r="AE2011" s="41"/>
      <c r="AF2011" s="41"/>
      <c r="AG2011" s="41"/>
      <c r="AH2011" s="41"/>
      <c r="AI2011" s="41"/>
      <c r="AJ2011" s="41"/>
      <c r="AK2011" s="41"/>
      <c r="AL2011" s="41"/>
      <c r="AM2011" s="41"/>
      <c r="AN2011" s="41"/>
      <c r="AO2011" s="41"/>
      <c r="AP2011" s="41"/>
      <c r="AQ2011" s="41"/>
    </row>
    <row r="2012">
      <c r="A2012" s="41"/>
      <c r="B2012" s="41"/>
      <c r="C2012" s="41"/>
      <c r="D2012" s="41"/>
      <c r="E2012" s="41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41"/>
      <c r="Q2012" s="41"/>
      <c r="R2012" s="41"/>
      <c r="S2012" s="41"/>
      <c r="T2012" s="41"/>
      <c r="U2012" s="41"/>
      <c r="V2012" s="41"/>
      <c r="W2012" s="41"/>
      <c r="X2012" s="41"/>
      <c r="Y2012" s="41"/>
      <c r="Z2012" s="41"/>
      <c r="AA2012" s="41"/>
      <c r="AB2012" s="41"/>
      <c r="AC2012" s="41"/>
      <c r="AD2012" s="41"/>
      <c r="AE2012" s="41"/>
      <c r="AF2012" s="41"/>
      <c r="AG2012" s="41"/>
      <c r="AH2012" s="41"/>
      <c r="AI2012" s="41"/>
      <c r="AJ2012" s="41"/>
      <c r="AK2012" s="41"/>
      <c r="AL2012" s="41"/>
      <c r="AM2012" s="41"/>
      <c r="AN2012" s="41"/>
      <c r="AO2012" s="41"/>
      <c r="AP2012" s="41"/>
      <c r="AQ2012" s="41"/>
    </row>
    <row r="2013">
      <c r="A2013" s="41"/>
      <c r="B2013" s="41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41"/>
      <c r="Q2013" s="41"/>
      <c r="R2013" s="41"/>
      <c r="S2013" s="41"/>
      <c r="T2013" s="41"/>
      <c r="U2013" s="41"/>
      <c r="V2013" s="41"/>
      <c r="W2013" s="41"/>
      <c r="X2013" s="41"/>
      <c r="Y2013" s="41"/>
      <c r="Z2013" s="41"/>
      <c r="AA2013" s="41"/>
      <c r="AB2013" s="41"/>
      <c r="AC2013" s="41"/>
      <c r="AD2013" s="41"/>
      <c r="AE2013" s="41"/>
      <c r="AF2013" s="41"/>
      <c r="AG2013" s="41"/>
      <c r="AH2013" s="41"/>
      <c r="AI2013" s="41"/>
      <c r="AJ2013" s="41"/>
      <c r="AK2013" s="41"/>
      <c r="AL2013" s="41"/>
      <c r="AM2013" s="41"/>
      <c r="AN2013" s="41"/>
      <c r="AO2013" s="41"/>
      <c r="AP2013" s="41"/>
      <c r="AQ2013" s="41"/>
    </row>
    <row r="2014">
      <c r="A2014" s="41"/>
      <c r="B2014" s="41"/>
      <c r="C2014" s="41"/>
      <c r="D2014" s="41"/>
      <c r="E2014" s="41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  <c r="AA2014" s="41"/>
      <c r="AB2014" s="41"/>
      <c r="AC2014" s="41"/>
      <c r="AD2014" s="41"/>
      <c r="AE2014" s="41"/>
      <c r="AF2014" s="41"/>
      <c r="AG2014" s="41"/>
      <c r="AH2014" s="41"/>
      <c r="AI2014" s="41"/>
      <c r="AJ2014" s="41"/>
      <c r="AK2014" s="41"/>
      <c r="AL2014" s="41"/>
      <c r="AM2014" s="41"/>
      <c r="AN2014" s="41"/>
      <c r="AO2014" s="41"/>
      <c r="AP2014" s="41"/>
      <c r="AQ2014" s="41"/>
    </row>
    <row r="2015">
      <c r="A2015" s="41"/>
      <c r="B2015" s="41"/>
      <c r="C2015" s="41"/>
      <c r="D2015" s="41"/>
      <c r="E2015" s="41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41"/>
      <c r="Q2015" s="41"/>
      <c r="R2015" s="41"/>
      <c r="S2015" s="41"/>
      <c r="T2015" s="41"/>
      <c r="U2015" s="41"/>
      <c r="V2015" s="41"/>
      <c r="W2015" s="41"/>
      <c r="X2015" s="41"/>
      <c r="Y2015" s="41"/>
      <c r="Z2015" s="41"/>
      <c r="AA2015" s="41"/>
      <c r="AB2015" s="41"/>
      <c r="AC2015" s="41"/>
      <c r="AD2015" s="41"/>
      <c r="AE2015" s="41"/>
      <c r="AF2015" s="41"/>
      <c r="AG2015" s="41"/>
      <c r="AH2015" s="41"/>
      <c r="AI2015" s="41"/>
      <c r="AJ2015" s="41"/>
      <c r="AK2015" s="41"/>
      <c r="AL2015" s="41"/>
      <c r="AM2015" s="41"/>
      <c r="AN2015" s="41"/>
      <c r="AO2015" s="41"/>
      <c r="AP2015" s="41"/>
      <c r="AQ2015" s="41"/>
    </row>
    <row r="2016">
      <c r="A2016" s="41"/>
      <c r="B2016" s="41"/>
      <c r="C2016" s="41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41"/>
      <c r="Q2016" s="41"/>
      <c r="R2016" s="41"/>
      <c r="S2016" s="41"/>
      <c r="T2016" s="41"/>
      <c r="U2016" s="41"/>
      <c r="V2016" s="41"/>
      <c r="W2016" s="41"/>
      <c r="X2016" s="41"/>
      <c r="Y2016" s="41"/>
      <c r="Z2016" s="41"/>
      <c r="AA2016" s="41"/>
      <c r="AB2016" s="41"/>
      <c r="AC2016" s="41"/>
      <c r="AD2016" s="41"/>
      <c r="AE2016" s="41"/>
      <c r="AF2016" s="41"/>
      <c r="AG2016" s="41"/>
      <c r="AH2016" s="41"/>
      <c r="AI2016" s="41"/>
      <c r="AJ2016" s="41"/>
      <c r="AK2016" s="41"/>
      <c r="AL2016" s="41"/>
      <c r="AM2016" s="41"/>
      <c r="AN2016" s="41"/>
      <c r="AO2016" s="41"/>
      <c r="AP2016" s="41"/>
      <c r="AQ2016" s="41"/>
    </row>
    <row r="2017">
      <c r="A2017" s="41"/>
      <c r="B2017" s="41"/>
      <c r="C2017" s="41"/>
      <c r="D2017" s="41"/>
      <c r="E2017" s="41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41"/>
      <c r="Q2017" s="41"/>
      <c r="R2017" s="41"/>
      <c r="S2017" s="41"/>
      <c r="T2017" s="41"/>
      <c r="U2017" s="41"/>
      <c r="V2017" s="41"/>
      <c r="W2017" s="41"/>
      <c r="X2017" s="41"/>
      <c r="Y2017" s="41"/>
      <c r="Z2017" s="41"/>
      <c r="AA2017" s="41"/>
      <c r="AB2017" s="41"/>
      <c r="AC2017" s="41"/>
      <c r="AD2017" s="41"/>
      <c r="AE2017" s="41"/>
      <c r="AF2017" s="41"/>
      <c r="AG2017" s="41"/>
      <c r="AH2017" s="41"/>
      <c r="AI2017" s="41"/>
      <c r="AJ2017" s="41"/>
      <c r="AK2017" s="41"/>
      <c r="AL2017" s="41"/>
      <c r="AM2017" s="41"/>
      <c r="AN2017" s="41"/>
      <c r="AO2017" s="41"/>
      <c r="AP2017" s="41"/>
      <c r="AQ2017" s="41"/>
    </row>
    <row r="2018">
      <c r="A2018" s="41"/>
      <c r="B2018" s="41"/>
      <c r="C2018" s="41"/>
      <c r="D2018" s="41"/>
      <c r="E2018" s="41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41"/>
      <c r="Q2018" s="41"/>
      <c r="R2018" s="41"/>
      <c r="S2018" s="41"/>
      <c r="T2018" s="41"/>
      <c r="U2018" s="41"/>
      <c r="V2018" s="41"/>
      <c r="W2018" s="41"/>
      <c r="X2018" s="41"/>
      <c r="Y2018" s="41"/>
      <c r="Z2018" s="41"/>
      <c r="AA2018" s="41"/>
      <c r="AB2018" s="41"/>
      <c r="AC2018" s="41"/>
      <c r="AD2018" s="41"/>
      <c r="AE2018" s="41"/>
      <c r="AF2018" s="41"/>
      <c r="AG2018" s="41"/>
      <c r="AH2018" s="41"/>
      <c r="AI2018" s="41"/>
      <c r="AJ2018" s="41"/>
      <c r="AK2018" s="41"/>
      <c r="AL2018" s="41"/>
      <c r="AM2018" s="41"/>
      <c r="AN2018" s="41"/>
      <c r="AO2018" s="41"/>
      <c r="AP2018" s="41"/>
      <c r="AQ2018" s="41"/>
    </row>
    <row r="2019">
      <c r="A2019" s="41"/>
      <c r="B2019" s="41"/>
      <c r="C2019" s="41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1"/>
      <c r="X2019" s="41"/>
      <c r="Y2019" s="41"/>
      <c r="Z2019" s="41"/>
      <c r="AA2019" s="41"/>
      <c r="AB2019" s="41"/>
      <c r="AC2019" s="41"/>
      <c r="AD2019" s="41"/>
      <c r="AE2019" s="41"/>
      <c r="AF2019" s="41"/>
      <c r="AG2019" s="41"/>
      <c r="AH2019" s="41"/>
      <c r="AI2019" s="41"/>
      <c r="AJ2019" s="41"/>
      <c r="AK2019" s="41"/>
      <c r="AL2019" s="41"/>
      <c r="AM2019" s="41"/>
      <c r="AN2019" s="41"/>
      <c r="AO2019" s="41"/>
      <c r="AP2019" s="41"/>
      <c r="AQ2019" s="41"/>
    </row>
    <row r="2020">
      <c r="A2020" s="41"/>
      <c r="B2020" s="41"/>
      <c r="C2020" s="41"/>
      <c r="D2020" s="41"/>
      <c r="E2020" s="41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41"/>
      <c r="Q2020" s="41"/>
      <c r="R2020" s="41"/>
      <c r="S2020" s="41"/>
      <c r="T2020" s="41"/>
      <c r="U2020" s="41"/>
      <c r="V2020" s="41"/>
      <c r="W2020" s="41"/>
      <c r="X2020" s="41"/>
      <c r="Y2020" s="41"/>
      <c r="Z2020" s="41"/>
      <c r="AA2020" s="41"/>
      <c r="AB2020" s="41"/>
      <c r="AC2020" s="41"/>
      <c r="AD2020" s="41"/>
      <c r="AE2020" s="41"/>
      <c r="AF2020" s="41"/>
      <c r="AG2020" s="41"/>
      <c r="AH2020" s="41"/>
      <c r="AI2020" s="41"/>
      <c r="AJ2020" s="41"/>
      <c r="AK2020" s="41"/>
      <c r="AL2020" s="41"/>
      <c r="AM2020" s="41"/>
      <c r="AN2020" s="41"/>
      <c r="AO2020" s="41"/>
      <c r="AP2020" s="41"/>
      <c r="AQ2020" s="41"/>
    </row>
    <row r="2021">
      <c r="A2021" s="41"/>
      <c r="B2021" s="41"/>
      <c r="C2021" s="41"/>
      <c r="D2021" s="41"/>
      <c r="E2021" s="41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41"/>
      <c r="Q2021" s="41"/>
      <c r="R2021" s="41"/>
      <c r="S2021" s="41"/>
      <c r="T2021" s="41"/>
      <c r="U2021" s="41"/>
      <c r="V2021" s="41"/>
      <c r="W2021" s="41"/>
      <c r="X2021" s="41"/>
      <c r="Y2021" s="41"/>
      <c r="Z2021" s="41"/>
      <c r="AA2021" s="41"/>
      <c r="AB2021" s="41"/>
      <c r="AC2021" s="41"/>
      <c r="AD2021" s="41"/>
      <c r="AE2021" s="41"/>
      <c r="AF2021" s="41"/>
      <c r="AG2021" s="41"/>
      <c r="AH2021" s="41"/>
      <c r="AI2021" s="41"/>
      <c r="AJ2021" s="41"/>
      <c r="AK2021" s="41"/>
      <c r="AL2021" s="41"/>
      <c r="AM2021" s="41"/>
      <c r="AN2021" s="41"/>
      <c r="AO2021" s="41"/>
      <c r="AP2021" s="41"/>
      <c r="AQ2021" s="41"/>
    </row>
    <row r="2022">
      <c r="A2022" s="41"/>
      <c r="B2022" s="41"/>
      <c r="C2022" s="41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41"/>
      <c r="Q2022" s="41"/>
      <c r="R2022" s="41"/>
      <c r="S2022" s="41"/>
      <c r="T2022" s="41"/>
      <c r="U2022" s="41"/>
      <c r="V2022" s="41"/>
      <c r="W2022" s="41"/>
      <c r="X2022" s="41"/>
      <c r="Y2022" s="41"/>
      <c r="Z2022" s="41"/>
      <c r="AA2022" s="41"/>
      <c r="AB2022" s="41"/>
      <c r="AC2022" s="41"/>
      <c r="AD2022" s="41"/>
      <c r="AE2022" s="41"/>
      <c r="AF2022" s="41"/>
      <c r="AG2022" s="41"/>
      <c r="AH2022" s="41"/>
      <c r="AI2022" s="41"/>
      <c r="AJ2022" s="41"/>
      <c r="AK2022" s="41"/>
      <c r="AL2022" s="41"/>
      <c r="AM2022" s="41"/>
      <c r="AN2022" s="41"/>
      <c r="AO2022" s="41"/>
      <c r="AP2022" s="41"/>
      <c r="AQ2022" s="41"/>
    </row>
    <row r="2023">
      <c r="A2023" s="41"/>
      <c r="B2023" s="41"/>
      <c r="C2023" s="41"/>
      <c r="D2023" s="41"/>
      <c r="E2023" s="41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41"/>
      <c r="Q2023" s="41"/>
      <c r="R2023" s="41"/>
      <c r="S2023" s="41"/>
      <c r="T2023" s="41"/>
      <c r="U2023" s="41"/>
      <c r="V2023" s="41"/>
      <c r="W2023" s="41"/>
      <c r="X2023" s="41"/>
      <c r="Y2023" s="41"/>
      <c r="Z2023" s="41"/>
      <c r="AA2023" s="41"/>
      <c r="AB2023" s="41"/>
      <c r="AC2023" s="41"/>
      <c r="AD2023" s="41"/>
      <c r="AE2023" s="41"/>
      <c r="AF2023" s="41"/>
      <c r="AG2023" s="41"/>
      <c r="AH2023" s="41"/>
      <c r="AI2023" s="41"/>
      <c r="AJ2023" s="41"/>
      <c r="AK2023" s="41"/>
      <c r="AL2023" s="41"/>
      <c r="AM2023" s="41"/>
      <c r="AN2023" s="41"/>
      <c r="AO2023" s="41"/>
      <c r="AP2023" s="41"/>
      <c r="AQ2023" s="41"/>
    </row>
    <row r="2024">
      <c r="A2024" s="41"/>
      <c r="B2024" s="41"/>
      <c r="C2024" s="41"/>
      <c r="D2024" s="41"/>
      <c r="E2024" s="41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41"/>
      <c r="Q2024" s="41"/>
      <c r="R2024" s="41"/>
      <c r="S2024" s="41"/>
      <c r="T2024" s="41"/>
      <c r="U2024" s="41"/>
      <c r="V2024" s="41"/>
      <c r="W2024" s="41"/>
      <c r="X2024" s="41"/>
      <c r="Y2024" s="41"/>
      <c r="Z2024" s="41"/>
      <c r="AA2024" s="41"/>
      <c r="AB2024" s="41"/>
      <c r="AC2024" s="41"/>
      <c r="AD2024" s="41"/>
      <c r="AE2024" s="41"/>
      <c r="AF2024" s="41"/>
      <c r="AG2024" s="41"/>
      <c r="AH2024" s="41"/>
      <c r="AI2024" s="41"/>
      <c r="AJ2024" s="41"/>
      <c r="AK2024" s="41"/>
      <c r="AL2024" s="41"/>
      <c r="AM2024" s="41"/>
      <c r="AN2024" s="41"/>
      <c r="AO2024" s="41"/>
      <c r="AP2024" s="41"/>
      <c r="AQ2024" s="41"/>
    </row>
    <row r="2025">
      <c r="A2025" s="41"/>
      <c r="B2025" s="41"/>
      <c r="C2025" s="41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41"/>
      <c r="Q2025" s="41"/>
      <c r="R2025" s="41"/>
      <c r="S2025" s="41"/>
      <c r="T2025" s="41"/>
      <c r="U2025" s="41"/>
      <c r="V2025" s="41"/>
      <c r="W2025" s="41"/>
      <c r="X2025" s="41"/>
      <c r="Y2025" s="41"/>
      <c r="Z2025" s="41"/>
      <c r="AA2025" s="41"/>
      <c r="AB2025" s="41"/>
      <c r="AC2025" s="41"/>
      <c r="AD2025" s="41"/>
      <c r="AE2025" s="41"/>
      <c r="AF2025" s="41"/>
      <c r="AG2025" s="41"/>
      <c r="AH2025" s="41"/>
      <c r="AI2025" s="41"/>
      <c r="AJ2025" s="41"/>
      <c r="AK2025" s="41"/>
      <c r="AL2025" s="41"/>
      <c r="AM2025" s="41"/>
      <c r="AN2025" s="41"/>
      <c r="AO2025" s="41"/>
      <c r="AP2025" s="41"/>
      <c r="AQ2025" s="41"/>
    </row>
    <row r="2026">
      <c r="A2026" s="41"/>
      <c r="B2026" s="41"/>
      <c r="C2026" s="41"/>
      <c r="D2026" s="41"/>
      <c r="E2026" s="41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41"/>
      <c r="Q2026" s="41"/>
      <c r="R2026" s="41"/>
      <c r="S2026" s="41"/>
      <c r="T2026" s="41"/>
      <c r="U2026" s="41"/>
      <c r="V2026" s="41"/>
      <c r="W2026" s="41"/>
      <c r="X2026" s="41"/>
      <c r="Y2026" s="41"/>
      <c r="Z2026" s="41"/>
      <c r="AA2026" s="41"/>
      <c r="AB2026" s="41"/>
      <c r="AC2026" s="41"/>
      <c r="AD2026" s="41"/>
      <c r="AE2026" s="41"/>
      <c r="AF2026" s="41"/>
      <c r="AG2026" s="41"/>
      <c r="AH2026" s="41"/>
      <c r="AI2026" s="41"/>
      <c r="AJ2026" s="41"/>
      <c r="AK2026" s="41"/>
      <c r="AL2026" s="41"/>
      <c r="AM2026" s="41"/>
      <c r="AN2026" s="41"/>
      <c r="AO2026" s="41"/>
      <c r="AP2026" s="41"/>
      <c r="AQ2026" s="41"/>
    </row>
    <row r="2027">
      <c r="A2027" s="41"/>
      <c r="B2027" s="41"/>
      <c r="C2027" s="41"/>
      <c r="D2027" s="41"/>
      <c r="E2027" s="41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41"/>
      <c r="Q2027" s="41"/>
      <c r="R2027" s="41"/>
      <c r="S2027" s="41"/>
      <c r="T2027" s="41"/>
      <c r="U2027" s="41"/>
      <c r="V2027" s="41"/>
      <c r="W2027" s="41"/>
      <c r="X2027" s="41"/>
      <c r="Y2027" s="41"/>
      <c r="Z2027" s="41"/>
      <c r="AA2027" s="41"/>
      <c r="AB2027" s="41"/>
      <c r="AC2027" s="41"/>
      <c r="AD2027" s="41"/>
      <c r="AE2027" s="41"/>
      <c r="AF2027" s="41"/>
      <c r="AG2027" s="41"/>
      <c r="AH2027" s="41"/>
      <c r="AI2027" s="41"/>
      <c r="AJ2027" s="41"/>
      <c r="AK2027" s="41"/>
      <c r="AL2027" s="41"/>
      <c r="AM2027" s="41"/>
      <c r="AN2027" s="41"/>
      <c r="AO2027" s="41"/>
      <c r="AP2027" s="41"/>
      <c r="AQ2027" s="41"/>
    </row>
    <row r="2028">
      <c r="A2028" s="41"/>
      <c r="B2028" s="41"/>
      <c r="C2028" s="41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41"/>
      <c r="Q2028" s="41"/>
      <c r="R2028" s="41"/>
      <c r="S2028" s="41"/>
      <c r="T2028" s="41"/>
      <c r="U2028" s="41"/>
      <c r="V2028" s="41"/>
      <c r="W2028" s="41"/>
      <c r="X2028" s="41"/>
      <c r="Y2028" s="41"/>
      <c r="Z2028" s="41"/>
      <c r="AA2028" s="41"/>
      <c r="AB2028" s="41"/>
      <c r="AC2028" s="41"/>
      <c r="AD2028" s="41"/>
      <c r="AE2028" s="41"/>
      <c r="AF2028" s="41"/>
      <c r="AG2028" s="41"/>
      <c r="AH2028" s="41"/>
      <c r="AI2028" s="41"/>
      <c r="AJ2028" s="41"/>
      <c r="AK2028" s="41"/>
      <c r="AL2028" s="41"/>
      <c r="AM2028" s="41"/>
      <c r="AN2028" s="41"/>
      <c r="AO2028" s="41"/>
      <c r="AP2028" s="41"/>
      <c r="AQ2028" s="41"/>
    </row>
    <row r="2029">
      <c r="A2029" s="41"/>
      <c r="B2029" s="41"/>
      <c r="C2029" s="41"/>
      <c r="D2029" s="41"/>
      <c r="E2029" s="41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41"/>
      <c r="Q2029" s="41"/>
      <c r="R2029" s="41"/>
      <c r="S2029" s="41"/>
      <c r="T2029" s="41"/>
      <c r="U2029" s="41"/>
      <c r="V2029" s="41"/>
      <c r="W2029" s="41"/>
      <c r="X2029" s="41"/>
      <c r="Y2029" s="41"/>
      <c r="Z2029" s="41"/>
      <c r="AA2029" s="41"/>
      <c r="AB2029" s="41"/>
      <c r="AC2029" s="41"/>
      <c r="AD2029" s="41"/>
      <c r="AE2029" s="41"/>
      <c r="AF2029" s="41"/>
      <c r="AG2029" s="41"/>
      <c r="AH2029" s="41"/>
      <c r="AI2029" s="41"/>
      <c r="AJ2029" s="41"/>
      <c r="AK2029" s="41"/>
      <c r="AL2029" s="41"/>
      <c r="AM2029" s="41"/>
      <c r="AN2029" s="41"/>
      <c r="AO2029" s="41"/>
      <c r="AP2029" s="41"/>
      <c r="AQ2029" s="41"/>
    </row>
    <row r="2030">
      <c r="A2030" s="41"/>
      <c r="B2030" s="41"/>
      <c r="C2030" s="41"/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41"/>
      <c r="Q2030" s="41"/>
      <c r="R2030" s="41"/>
      <c r="S2030" s="41"/>
      <c r="T2030" s="41"/>
      <c r="U2030" s="41"/>
      <c r="V2030" s="41"/>
      <c r="W2030" s="41"/>
      <c r="X2030" s="41"/>
      <c r="Y2030" s="41"/>
      <c r="Z2030" s="41"/>
      <c r="AA2030" s="41"/>
      <c r="AB2030" s="41"/>
      <c r="AC2030" s="41"/>
      <c r="AD2030" s="41"/>
      <c r="AE2030" s="41"/>
      <c r="AF2030" s="41"/>
      <c r="AG2030" s="41"/>
      <c r="AH2030" s="41"/>
      <c r="AI2030" s="41"/>
      <c r="AJ2030" s="41"/>
      <c r="AK2030" s="41"/>
      <c r="AL2030" s="41"/>
      <c r="AM2030" s="41"/>
      <c r="AN2030" s="41"/>
      <c r="AO2030" s="41"/>
      <c r="AP2030" s="41"/>
      <c r="AQ2030" s="41"/>
    </row>
    <row r="2031">
      <c r="A2031" s="41"/>
      <c r="B2031" s="41"/>
      <c r="C2031" s="41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41"/>
      <c r="Q2031" s="41"/>
      <c r="R2031" s="41"/>
      <c r="S2031" s="41"/>
      <c r="T2031" s="41"/>
      <c r="U2031" s="41"/>
      <c r="V2031" s="41"/>
      <c r="W2031" s="41"/>
      <c r="X2031" s="41"/>
      <c r="Y2031" s="41"/>
      <c r="Z2031" s="41"/>
      <c r="AA2031" s="41"/>
      <c r="AB2031" s="41"/>
      <c r="AC2031" s="41"/>
      <c r="AD2031" s="41"/>
      <c r="AE2031" s="41"/>
      <c r="AF2031" s="41"/>
      <c r="AG2031" s="41"/>
      <c r="AH2031" s="41"/>
      <c r="AI2031" s="41"/>
      <c r="AJ2031" s="41"/>
      <c r="AK2031" s="41"/>
      <c r="AL2031" s="41"/>
      <c r="AM2031" s="41"/>
      <c r="AN2031" s="41"/>
      <c r="AO2031" s="41"/>
      <c r="AP2031" s="41"/>
      <c r="AQ2031" s="41"/>
    </row>
    <row r="2032">
      <c r="A2032" s="41"/>
      <c r="B2032" s="41"/>
      <c r="C2032" s="41"/>
      <c r="D2032" s="41"/>
      <c r="E2032" s="41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  <c r="Q2032" s="41"/>
      <c r="R2032" s="41"/>
      <c r="S2032" s="41"/>
      <c r="T2032" s="41"/>
      <c r="U2032" s="41"/>
      <c r="V2032" s="41"/>
      <c r="W2032" s="41"/>
      <c r="X2032" s="41"/>
      <c r="Y2032" s="41"/>
      <c r="Z2032" s="41"/>
      <c r="AA2032" s="41"/>
      <c r="AB2032" s="41"/>
      <c r="AC2032" s="41"/>
      <c r="AD2032" s="41"/>
      <c r="AE2032" s="41"/>
      <c r="AF2032" s="41"/>
      <c r="AG2032" s="41"/>
      <c r="AH2032" s="41"/>
      <c r="AI2032" s="41"/>
      <c r="AJ2032" s="41"/>
      <c r="AK2032" s="41"/>
      <c r="AL2032" s="41"/>
      <c r="AM2032" s="41"/>
      <c r="AN2032" s="41"/>
      <c r="AO2032" s="41"/>
      <c r="AP2032" s="41"/>
      <c r="AQ2032" s="41"/>
    </row>
    <row r="2033">
      <c r="A2033" s="41"/>
      <c r="B2033" s="41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  <c r="Q2033" s="41"/>
      <c r="R2033" s="41"/>
      <c r="S2033" s="41"/>
      <c r="T2033" s="41"/>
      <c r="U2033" s="41"/>
      <c r="V2033" s="41"/>
      <c r="W2033" s="41"/>
      <c r="X2033" s="41"/>
      <c r="Y2033" s="41"/>
      <c r="Z2033" s="41"/>
      <c r="AA2033" s="41"/>
      <c r="AB2033" s="41"/>
      <c r="AC2033" s="41"/>
      <c r="AD2033" s="41"/>
      <c r="AE2033" s="41"/>
      <c r="AF2033" s="41"/>
      <c r="AG2033" s="41"/>
      <c r="AH2033" s="41"/>
      <c r="AI2033" s="41"/>
      <c r="AJ2033" s="41"/>
      <c r="AK2033" s="41"/>
      <c r="AL2033" s="41"/>
      <c r="AM2033" s="41"/>
      <c r="AN2033" s="41"/>
      <c r="AO2033" s="41"/>
      <c r="AP2033" s="41"/>
      <c r="AQ2033" s="41"/>
    </row>
    <row r="2034">
      <c r="A2034" s="41"/>
      <c r="B2034" s="41"/>
      <c r="C2034" s="41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41"/>
      <c r="Q2034" s="41"/>
      <c r="R2034" s="41"/>
      <c r="S2034" s="41"/>
      <c r="T2034" s="41"/>
      <c r="U2034" s="41"/>
      <c r="V2034" s="41"/>
      <c r="W2034" s="41"/>
      <c r="X2034" s="41"/>
      <c r="Y2034" s="41"/>
      <c r="Z2034" s="41"/>
      <c r="AA2034" s="41"/>
      <c r="AB2034" s="41"/>
      <c r="AC2034" s="41"/>
      <c r="AD2034" s="41"/>
      <c r="AE2034" s="41"/>
      <c r="AF2034" s="41"/>
      <c r="AG2034" s="41"/>
      <c r="AH2034" s="41"/>
      <c r="AI2034" s="41"/>
      <c r="AJ2034" s="41"/>
      <c r="AK2034" s="41"/>
      <c r="AL2034" s="41"/>
      <c r="AM2034" s="41"/>
      <c r="AN2034" s="41"/>
      <c r="AO2034" s="41"/>
      <c r="AP2034" s="41"/>
      <c r="AQ2034" s="41"/>
    </row>
    <row r="2035">
      <c r="A2035" s="41"/>
      <c r="B2035" s="41"/>
      <c r="C2035" s="41"/>
      <c r="D2035" s="41"/>
      <c r="E2035" s="41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41"/>
      <c r="Q2035" s="41"/>
      <c r="R2035" s="41"/>
      <c r="S2035" s="41"/>
      <c r="T2035" s="41"/>
      <c r="U2035" s="41"/>
      <c r="V2035" s="41"/>
      <c r="W2035" s="41"/>
      <c r="X2035" s="41"/>
      <c r="Y2035" s="41"/>
      <c r="Z2035" s="41"/>
      <c r="AA2035" s="41"/>
      <c r="AB2035" s="41"/>
      <c r="AC2035" s="41"/>
      <c r="AD2035" s="41"/>
      <c r="AE2035" s="41"/>
      <c r="AF2035" s="41"/>
      <c r="AG2035" s="41"/>
      <c r="AH2035" s="41"/>
      <c r="AI2035" s="41"/>
      <c r="AJ2035" s="41"/>
      <c r="AK2035" s="41"/>
      <c r="AL2035" s="41"/>
      <c r="AM2035" s="41"/>
      <c r="AN2035" s="41"/>
      <c r="AO2035" s="41"/>
      <c r="AP2035" s="41"/>
      <c r="AQ2035" s="41"/>
    </row>
    <row r="2036">
      <c r="A2036" s="41"/>
      <c r="B2036" s="41"/>
      <c r="C2036" s="41"/>
      <c r="D2036" s="41"/>
      <c r="E2036" s="41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41"/>
      <c r="Q2036" s="41"/>
      <c r="R2036" s="41"/>
      <c r="S2036" s="41"/>
      <c r="T2036" s="41"/>
      <c r="U2036" s="41"/>
      <c r="V2036" s="41"/>
      <c r="W2036" s="41"/>
      <c r="X2036" s="41"/>
      <c r="Y2036" s="41"/>
      <c r="Z2036" s="41"/>
      <c r="AA2036" s="41"/>
      <c r="AB2036" s="41"/>
      <c r="AC2036" s="41"/>
      <c r="AD2036" s="41"/>
      <c r="AE2036" s="41"/>
      <c r="AF2036" s="41"/>
      <c r="AG2036" s="41"/>
      <c r="AH2036" s="41"/>
      <c r="AI2036" s="41"/>
      <c r="AJ2036" s="41"/>
      <c r="AK2036" s="41"/>
      <c r="AL2036" s="41"/>
      <c r="AM2036" s="41"/>
      <c r="AN2036" s="41"/>
      <c r="AO2036" s="41"/>
      <c r="AP2036" s="41"/>
      <c r="AQ2036" s="41"/>
    </row>
  </sheetData>
  <autoFilter ref="$A$2:$G$1019"/>
  <mergeCells count="4">
    <mergeCell ref="A178:F178"/>
    <mergeCell ref="F252:G252"/>
    <mergeCell ref="F253:G253"/>
    <mergeCell ref="F258:G25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0.25"/>
    <col customWidth="1" min="3" max="3" width="30.5"/>
  </cols>
  <sheetData>
    <row r="1" ht="19.5" customHeight="1">
      <c r="A1" s="259" t="s">
        <v>719</v>
      </c>
      <c r="B1" s="7"/>
      <c r="C1" s="8"/>
      <c r="D1" s="260"/>
      <c r="E1" s="260"/>
      <c r="F1" s="260"/>
      <c r="G1" s="260"/>
      <c r="H1" s="260"/>
      <c r="I1" s="260"/>
      <c r="J1" s="260"/>
      <c r="K1" s="260"/>
      <c r="L1" s="260"/>
      <c r="M1" s="260"/>
    </row>
    <row r="2" ht="20.25" customHeight="1">
      <c r="A2" s="261" t="s">
        <v>720</v>
      </c>
      <c r="B2" s="7"/>
      <c r="C2" s="8"/>
      <c r="D2" s="260"/>
      <c r="E2" s="260"/>
      <c r="F2" s="260"/>
      <c r="G2" s="260"/>
      <c r="H2" s="260"/>
      <c r="I2" s="260"/>
      <c r="J2" s="260"/>
      <c r="K2" s="260"/>
      <c r="L2" s="260"/>
      <c r="M2" s="260"/>
    </row>
    <row r="3" ht="30.0" customHeight="1">
      <c r="A3" s="262" t="s">
        <v>721</v>
      </c>
      <c r="B3" s="263" t="s">
        <v>722</v>
      </c>
      <c r="C3" s="264" t="s">
        <v>723</v>
      </c>
      <c r="D3" s="260"/>
      <c r="E3" s="260"/>
      <c r="F3" s="260"/>
      <c r="G3" s="260"/>
      <c r="H3" s="260"/>
      <c r="I3" s="260"/>
      <c r="J3" s="260"/>
      <c r="K3" s="260"/>
      <c r="L3" s="260"/>
      <c r="M3" s="260"/>
    </row>
    <row r="4" ht="22.5" customHeight="1">
      <c r="A4" s="265">
        <v>1.0</v>
      </c>
      <c r="B4" s="266" t="s">
        <v>36</v>
      </c>
      <c r="C4" s="267"/>
      <c r="D4" s="260"/>
      <c r="E4" s="260"/>
      <c r="F4" s="260"/>
      <c r="G4" s="260"/>
      <c r="H4" s="260"/>
      <c r="I4" s="260"/>
      <c r="J4" s="260"/>
      <c r="K4" s="260"/>
      <c r="L4" s="260"/>
      <c r="M4" s="260"/>
    </row>
    <row r="5" ht="22.5" customHeight="1">
      <c r="A5" s="265">
        <v>2.0</v>
      </c>
      <c r="B5" s="268" t="s">
        <v>562</v>
      </c>
      <c r="C5" s="267"/>
      <c r="D5" s="260"/>
      <c r="E5" s="260"/>
      <c r="F5" s="260"/>
      <c r="G5" s="260"/>
      <c r="H5" s="260"/>
      <c r="I5" s="260"/>
      <c r="J5" s="260"/>
      <c r="K5" s="260"/>
      <c r="L5" s="260"/>
      <c r="M5" s="260"/>
    </row>
    <row r="6" ht="22.5" customHeight="1">
      <c r="A6" s="265">
        <v>3.0</v>
      </c>
      <c r="B6" s="269" t="s">
        <v>41</v>
      </c>
      <c r="C6" s="267"/>
      <c r="D6" s="260"/>
      <c r="E6" s="260"/>
      <c r="F6" s="260"/>
      <c r="G6" s="260"/>
      <c r="H6" s="260"/>
      <c r="I6" s="260"/>
      <c r="J6" s="260"/>
      <c r="K6" s="260"/>
      <c r="L6" s="260"/>
      <c r="M6" s="260"/>
    </row>
    <row r="7" ht="22.5" customHeight="1">
      <c r="A7" s="265">
        <v>4.0</v>
      </c>
      <c r="B7" s="270" t="s">
        <v>42</v>
      </c>
      <c r="C7" s="267"/>
      <c r="D7" s="260"/>
      <c r="E7" s="260"/>
      <c r="F7" s="260"/>
      <c r="G7" s="260"/>
      <c r="H7" s="260"/>
      <c r="I7" s="260"/>
      <c r="J7" s="260"/>
      <c r="K7" s="260"/>
      <c r="L7" s="260"/>
      <c r="M7" s="260"/>
    </row>
    <row r="8" ht="22.5" customHeight="1">
      <c r="A8" s="265">
        <v>5.0</v>
      </c>
      <c r="B8" s="268" t="s">
        <v>564</v>
      </c>
      <c r="C8" s="267"/>
      <c r="D8" s="260"/>
      <c r="E8" s="260"/>
      <c r="F8" s="260"/>
      <c r="G8" s="260"/>
      <c r="H8" s="260"/>
      <c r="I8" s="260"/>
      <c r="J8" s="260"/>
      <c r="K8" s="260"/>
      <c r="L8" s="260"/>
      <c r="M8" s="260"/>
    </row>
    <row r="9" ht="22.5" customHeight="1">
      <c r="A9" s="265">
        <v>6.0</v>
      </c>
      <c r="B9" s="269" t="s">
        <v>45</v>
      </c>
      <c r="C9" s="267"/>
      <c r="E9" s="260"/>
      <c r="F9" s="260"/>
      <c r="G9" s="260"/>
      <c r="H9" s="260"/>
      <c r="I9" s="260"/>
      <c r="J9" s="260"/>
      <c r="K9" s="260"/>
      <c r="L9" s="260"/>
      <c r="M9" s="260"/>
    </row>
    <row r="10" ht="22.5" customHeight="1">
      <c r="A10" s="265">
        <v>7.0</v>
      </c>
      <c r="B10" s="268" t="s">
        <v>46</v>
      </c>
      <c r="C10" s="267"/>
      <c r="D10" s="260"/>
      <c r="E10" s="260"/>
      <c r="F10" s="260"/>
      <c r="G10" s="260"/>
      <c r="H10" s="260"/>
      <c r="I10" s="260"/>
      <c r="J10" s="260"/>
      <c r="K10" s="260"/>
      <c r="L10" s="260"/>
      <c r="M10" s="260"/>
    </row>
    <row r="11" ht="22.5" customHeight="1">
      <c r="A11" s="265">
        <v>8.0</v>
      </c>
      <c r="B11" s="268" t="s">
        <v>223</v>
      </c>
      <c r="C11" s="267"/>
      <c r="D11" s="260"/>
      <c r="E11" s="260"/>
      <c r="G11" s="260"/>
      <c r="H11" s="260"/>
      <c r="I11" s="260"/>
      <c r="J11" s="260"/>
      <c r="K11" s="260"/>
      <c r="L11" s="260"/>
      <c r="M11" s="260"/>
    </row>
    <row r="12" ht="22.5" customHeight="1">
      <c r="A12" s="265">
        <v>9.0</v>
      </c>
      <c r="B12" s="269" t="s">
        <v>50</v>
      </c>
      <c r="C12" s="267"/>
      <c r="D12" s="260"/>
      <c r="E12" s="260"/>
      <c r="F12" s="260"/>
      <c r="G12" s="260"/>
      <c r="H12" s="260"/>
      <c r="I12" s="260"/>
      <c r="J12" s="260"/>
      <c r="K12" s="260"/>
      <c r="L12" s="260"/>
      <c r="M12" s="260"/>
    </row>
    <row r="13" ht="22.5" customHeight="1">
      <c r="A13" s="265">
        <v>10.0</v>
      </c>
      <c r="B13" s="271" t="s">
        <v>52</v>
      </c>
      <c r="C13" s="267"/>
      <c r="D13" s="260"/>
      <c r="E13" s="260"/>
      <c r="F13" s="260"/>
      <c r="G13" s="260"/>
      <c r="H13" s="260"/>
      <c r="I13" s="260"/>
      <c r="J13" s="260"/>
      <c r="K13" s="260"/>
      <c r="L13" s="260"/>
      <c r="M13" s="260"/>
    </row>
    <row r="14" ht="22.5" customHeight="1">
      <c r="A14" s="265">
        <v>11.0</v>
      </c>
      <c r="B14" s="269" t="s">
        <v>51</v>
      </c>
      <c r="C14" s="267"/>
      <c r="D14" s="260"/>
      <c r="E14" s="260"/>
      <c r="F14" s="260"/>
      <c r="G14" s="260"/>
      <c r="H14" s="260"/>
      <c r="I14" s="260"/>
      <c r="J14" s="260"/>
      <c r="K14" s="260"/>
      <c r="L14" s="260"/>
      <c r="M14" s="260"/>
    </row>
    <row r="15" ht="22.5" customHeight="1">
      <c r="A15" s="265">
        <v>12.0</v>
      </c>
      <c r="B15" s="268" t="s">
        <v>53</v>
      </c>
      <c r="C15" s="267"/>
      <c r="D15" s="260"/>
      <c r="E15" s="260"/>
      <c r="F15" s="260"/>
      <c r="G15" s="260"/>
      <c r="H15" s="260"/>
      <c r="I15" s="260"/>
      <c r="J15" s="260"/>
      <c r="K15" s="260"/>
      <c r="L15" s="260"/>
      <c r="M15" s="260"/>
    </row>
    <row r="16" ht="22.5" customHeight="1">
      <c r="A16" s="265">
        <v>13.0</v>
      </c>
      <c r="B16" s="268" t="s">
        <v>489</v>
      </c>
      <c r="C16" s="267"/>
      <c r="D16" s="260"/>
      <c r="E16" s="260"/>
      <c r="F16" s="260"/>
      <c r="G16" s="260"/>
      <c r="H16" s="260"/>
      <c r="I16" s="260"/>
      <c r="J16" s="260"/>
      <c r="K16" s="260"/>
      <c r="L16" s="260"/>
      <c r="M16" s="260"/>
    </row>
    <row r="17" ht="22.5" customHeight="1">
      <c r="A17" s="265">
        <v>14.0</v>
      </c>
      <c r="B17" s="268" t="s">
        <v>55</v>
      </c>
      <c r="C17" s="267"/>
      <c r="D17" s="260"/>
      <c r="E17" s="260"/>
      <c r="F17" s="260"/>
      <c r="G17" s="260"/>
      <c r="H17" s="260"/>
      <c r="I17" s="260"/>
      <c r="J17" s="260"/>
      <c r="K17" s="260"/>
      <c r="L17" s="260"/>
      <c r="M17" s="260"/>
    </row>
    <row r="18" ht="22.5" customHeight="1">
      <c r="A18" s="265">
        <v>15.0</v>
      </c>
      <c r="B18" s="272" t="s">
        <v>56</v>
      </c>
      <c r="C18" s="273"/>
      <c r="D18" s="260"/>
      <c r="E18" s="260"/>
      <c r="F18" s="260"/>
      <c r="G18" s="260"/>
      <c r="H18" s="260"/>
      <c r="I18" s="260"/>
      <c r="J18" s="260"/>
      <c r="K18" s="260"/>
      <c r="L18" s="260"/>
      <c r="M18" s="260"/>
    </row>
    <row r="19" ht="22.5" customHeight="1">
      <c r="A19" s="265">
        <v>16.0</v>
      </c>
      <c r="B19" s="269" t="s">
        <v>57</v>
      </c>
      <c r="C19" s="274"/>
      <c r="D19" s="260"/>
      <c r="E19" s="260"/>
      <c r="F19" s="260"/>
      <c r="G19" s="260"/>
      <c r="H19" s="260"/>
      <c r="I19" s="260"/>
      <c r="J19" s="260"/>
      <c r="K19" s="260"/>
      <c r="L19" s="260"/>
      <c r="M19" s="260"/>
    </row>
    <row r="20" ht="22.5" customHeight="1">
      <c r="A20" s="265">
        <v>17.0</v>
      </c>
      <c r="B20" s="275" t="s">
        <v>58</v>
      </c>
      <c r="C20" s="274"/>
      <c r="D20" s="260"/>
      <c r="E20" s="260"/>
      <c r="F20" s="260"/>
      <c r="G20" s="260"/>
      <c r="H20" s="260"/>
      <c r="I20" s="260"/>
      <c r="J20" s="260"/>
      <c r="K20" s="260"/>
      <c r="L20" s="260"/>
      <c r="M20" s="260"/>
    </row>
    <row r="21" ht="22.5" customHeight="1">
      <c r="A21" s="265">
        <v>18.0</v>
      </c>
      <c r="B21" s="272" t="s">
        <v>59</v>
      </c>
      <c r="C21" s="274"/>
      <c r="D21" s="260"/>
      <c r="E21" s="260"/>
      <c r="F21" s="260"/>
      <c r="G21" s="260"/>
      <c r="H21" s="260"/>
      <c r="I21" s="260"/>
      <c r="J21" s="260"/>
      <c r="K21" s="260"/>
      <c r="L21" s="260"/>
      <c r="M21" s="260"/>
    </row>
    <row r="22" ht="22.5" customHeight="1">
      <c r="A22" s="265">
        <v>19.0</v>
      </c>
      <c r="B22" s="272" t="s">
        <v>601</v>
      </c>
      <c r="C22" s="274"/>
      <c r="D22" s="260"/>
      <c r="E22" s="260"/>
      <c r="F22" s="260"/>
      <c r="G22" s="260"/>
      <c r="H22" s="260"/>
      <c r="I22" s="260"/>
      <c r="J22" s="260"/>
      <c r="K22" s="260"/>
      <c r="L22" s="260"/>
      <c r="M22" s="260"/>
    </row>
    <row r="23" ht="22.5" customHeight="1">
      <c r="A23" s="265">
        <v>20.0</v>
      </c>
      <c r="B23" s="272" t="s">
        <v>60</v>
      </c>
      <c r="C23" s="274"/>
      <c r="D23" s="260"/>
      <c r="E23" s="260"/>
      <c r="F23" s="260"/>
      <c r="G23" s="260"/>
      <c r="H23" s="260"/>
      <c r="I23" s="260"/>
      <c r="J23" s="260"/>
      <c r="K23" s="260"/>
      <c r="L23" s="260"/>
      <c r="M23" s="260"/>
    </row>
    <row r="24" ht="22.5" customHeight="1">
      <c r="A24" s="265">
        <v>21.0</v>
      </c>
      <c r="B24" s="275" t="s">
        <v>61</v>
      </c>
      <c r="C24" s="274"/>
      <c r="D24" s="260"/>
      <c r="E24" s="260"/>
      <c r="F24" s="260"/>
      <c r="G24" s="260"/>
      <c r="H24" s="260"/>
      <c r="I24" s="260"/>
      <c r="J24" s="260"/>
      <c r="K24" s="260"/>
      <c r="L24" s="260"/>
      <c r="M24" s="260"/>
    </row>
    <row r="25" ht="22.5" customHeight="1">
      <c r="A25" s="265">
        <v>22.0</v>
      </c>
      <c r="B25" s="272" t="s">
        <v>62</v>
      </c>
      <c r="C25" s="274"/>
      <c r="D25" s="260"/>
      <c r="E25" s="260"/>
      <c r="F25" s="260"/>
      <c r="G25" s="260"/>
      <c r="H25" s="260"/>
      <c r="I25" s="260"/>
      <c r="J25" s="260"/>
      <c r="K25" s="260"/>
      <c r="L25" s="260"/>
      <c r="M25" s="260"/>
    </row>
    <row r="26" ht="22.5" customHeight="1">
      <c r="A26" s="265">
        <v>23.0</v>
      </c>
      <c r="B26" s="272" t="s">
        <v>63</v>
      </c>
      <c r="C26" s="274"/>
      <c r="E26" s="260"/>
      <c r="F26" s="260"/>
      <c r="G26" s="260"/>
      <c r="H26" s="260"/>
      <c r="I26" s="260"/>
      <c r="J26" s="260"/>
      <c r="K26" s="260"/>
      <c r="L26" s="260"/>
      <c r="M26" s="260"/>
    </row>
    <row r="27" ht="22.5" customHeight="1">
      <c r="A27" s="265">
        <v>24.0</v>
      </c>
      <c r="B27" s="272" t="s">
        <v>64</v>
      </c>
      <c r="C27" s="274"/>
      <c r="E27" s="260"/>
      <c r="F27" s="260"/>
      <c r="G27" s="260"/>
      <c r="H27" s="260"/>
      <c r="I27" s="260"/>
      <c r="J27" s="260"/>
      <c r="K27" s="260"/>
      <c r="L27" s="260"/>
      <c r="M27" s="260"/>
    </row>
    <row r="28" ht="22.5" customHeight="1">
      <c r="A28" s="265">
        <v>25.0</v>
      </c>
      <c r="B28" s="272" t="s">
        <v>65</v>
      </c>
      <c r="C28" s="274"/>
      <c r="E28" s="260"/>
      <c r="F28" s="260"/>
      <c r="G28" s="260"/>
      <c r="H28" s="260"/>
      <c r="I28" s="260"/>
      <c r="J28" s="260"/>
      <c r="K28" s="260"/>
      <c r="L28" s="260"/>
      <c r="M28" s="260"/>
    </row>
    <row r="29" ht="22.5" customHeight="1">
      <c r="A29" s="265">
        <v>26.0</v>
      </c>
      <c r="B29" s="276" t="s">
        <v>66</v>
      </c>
      <c r="C29" s="274"/>
      <c r="D29" s="260"/>
      <c r="E29" s="260"/>
      <c r="F29" s="260"/>
      <c r="G29" s="260"/>
      <c r="H29" s="260"/>
      <c r="I29" s="260"/>
      <c r="J29" s="260"/>
      <c r="K29" s="260"/>
      <c r="L29" s="260"/>
      <c r="M29" s="260"/>
    </row>
    <row r="30" ht="22.5" customHeight="1">
      <c r="A30" s="265">
        <v>27.0</v>
      </c>
      <c r="B30" s="272" t="s">
        <v>67</v>
      </c>
      <c r="C30" s="274"/>
      <c r="D30" s="260"/>
      <c r="E30" s="260"/>
      <c r="F30" s="260"/>
      <c r="G30" s="260"/>
      <c r="H30" s="260"/>
      <c r="I30" s="260"/>
      <c r="J30" s="260"/>
      <c r="K30" s="260"/>
      <c r="L30" s="260"/>
      <c r="M30" s="260"/>
    </row>
    <row r="31" ht="22.5" customHeight="1">
      <c r="A31" s="265">
        <v>28.0</v>
      </c>
      <c r="B31" s="277" t="s">
        <v>68</v>
      </c>
      <c r="C31" s="274"/>
      <c r="D31" s="260"/>
      <c r="E31" s="260"/>
      <c r="F31" s="260"/>
      <c r="G31" s="260"/>
      <c r="H31" s="260"/>
      <c r="I31" s="260"/>
      <c r="J31" s="260"/>
      <c r="K31" s="260"/>
      <c r="L31" s="260"/>
      <c r="M31" s="260"/>
    </row>
    <row r="32" ht="22.5" customHeight="1">
      <c r="A32" s="265">
        <v>29.0</v>
      </c>
      <c r="B32" s="272" t="s">
        <v>69</v>
      </c>
      <c r="C32" s="274"/>
      <c r="D32" s="260"/>
      <c r="E32" s="260"/>
      <c r="F32" s="260"/>
      <c r="G32" s="260"/>
      <c r="H32" s="260"/>
      <c r="I32" s="260"/>
      <c r="J32" s="260"/>
      <c r="K32" s="260"/>
      <c r="L32" s="260"/>
      <c r="M32" s="260"/>
    </row>
    <row r="33" ht="22.5" customHeight="1">
      <c r="A33" s="265">
        <v>30.0</v>
      </c>
      <c r="B33" s="272" t="s">
        <v>70</v>
      </c>
      <c r="C33" s="274"/>
      <c r="D33" s="260"/>
      <c r="E33" s="260"/>
      <c r="F33" s="260"/>
      <c r="G33" s="260"/>
      <c r="H33" s="260"/>
      <c r="I33" s="260"/>
      <c r="J33" s="260"/>
      <c r="K33" s="260"/>
      <c r="L33" s="260"/>
      <c r="M33" s="260"/>
    </row>
    <row r="34" ht="22.5" customHeight="1">
      <c r="A34" s="265">
        <v>31.0</v>
      </c>
      <c r="B34" s="272" t="s">
        <v>71</v>
      </c>
      <c r="C34" s="274"/>
      <c r="D34" s="260"/>
      <c r="E34" s="260"/>
      <c r="F34" s="260"/>
      <c r="G34" s="260"/>
      <c r="H34" s="260"/>
      <c r="I34" s="260"/>
      <c r="J34" s="260"/>
      <c r="K34" s="260"/>
      <c r="L34" s="260"/>
      <c r="M34" s="260"/>
    </row>
    <row r="35" ht="22.5" customHeight="1">
      <c r="A35" s="265">
        <v>32.0</v>
      </c>
      <c r="B35" s="272" t="s">
        <v>72</v>
      </c>
      <c r="C35" s="274"/>
      <c r="D35" s="260"/>
      <c r="E35" s="260"/>
      <c r="F35" s="260"/>
      <c r="G35" s="260"/>
      <c r="H35" s="260"/>
      <c r="I35" s="260"/>
      <c r="J35" s="260"/>
      <c r="K35" s="260"/>
      <c r="L35" s="260"/>
      <c r="M35" s="260"/>
    </row>
    <row r="36" ht="22.5" customHeight="1">
      <c r="A36" s="265">
        <v>33.0</v>
      </c>
      <c r="B36" s="276" t="s">
        <v>73</v>
      </c>
      <c r="C36" s="274"/>
      <c r="D36" s="260"/>
      <c r="E36" s="260"/>
      <c r="F36" s="260"/>
      <c r="G36" s="260"/>
      <c r="H36" s="260"/>
      <c r="I36" s="260"/>
      <c r="J36" s="260"/>
      <c r="K36" s="260"/>
      <c r="L36" s="260"/>
      <c r="M36" s="260"/>
    </row>
    <row r="37" ht="22.5" customHeight="1">
      <c r="A37" s="265">
        <v>34.0</v>
      </c>
      <c r="B37" s="276" t="s">
        <v>75</v>
      </c>
      <c r="C37" s="274"/>
      <c r="D37" s="260"/>
      <c r="E37" s="260"/>
      <c r="F37" s="260"/>
      <c r="G37" s="260"/>
      <c r="H37" s="260"/>
      <c r="I37" s="260"/>
      <c r="J37" s="260"/>
      <c r="K37" s="260"/>
      <c r="L37" s="260"/>
      <c r="M37" s="260"/>
    </row>
    <row r="38" ht="27.75" customHeight="1">
      <c r="A38" s="265">
        <v>35.0</v>
      </c>
      <c r="B38" s="276" t="s">
        <v>76</v>
      </c>
      <c r="C38" s="274"/>
      <c r="D38" s="260"/>
      <c r="E38" s="260"/>
      <c r="F38" s="260"/>
      <c r="G38" s="260"/>
      <c r="H38" s="260"/>
      <c r="I38" s="260"/>
      <c r="J38" s="260"/>
      <c r="K38" s="260"/>
      <c r="L38" s="260"/>
      <c r="M38" s="260"/>
    </row>
    <row r="39" ht="27.75" customHeight="1">
      <c r="A39" s="265">
        <v>36.0</v>
      </c>
      <c r="B39" s="276" t="s">
        <v>77</v>
      </c>
      <c r="C39" s="274"/>
      <c r="D39" s="260"/>
      <c r="E39" s="260"/>
      <c r="F39" s="260"/>
      <c r="G39" s="260"/>
      <c r="H39" s="260"/>
      <c r="I39" s="260"/>
      <c r="J39" s="260"/>
      <c r="K39" s="260"/>
      <c r="L39" s="260"/>
      <c r="M39" s="260"/>
    </row>
    <row r="40" ht="27.75" customHeight="1">
      <c r="A40" s="265">
        <v>37.0</v>
      </c>
      <c r="B40" s="276" t="s">
        <v>78</v>
      </c>
      <c r="C40" s="274"/>
      <c r="D40" s="260"/>
      <c r="E40" s="260"/>
      <c r="F40" s="260"/>
      <c r="G40" s="260"/>
      <c r="H40" s="260"/>
      <c r="I40" s="260"/>
      <c r="J40" s="260"/>
      <c r="K40" s="260"/>
      <c r="L40" s="260"/>
      <c r="M40" s="260"/>
    </row>
    <row r="41" ht="27.75" customHeight="1">
      <c r="A41" s="265">
        <v>38.0</v>
      </c>
      <c r="B41" s="276" t="s">
        <v>79</v>
      </c>
      <c r="C41" s="274"/>
      <c r="D41" s="260"/>
      <c r="F41" s="260"/>
      <c r="G41" s="260"/>
      <c r="H41" s="260"/>
      <c r="I41" s="260"/>
      <c r="J41" s="260"/>
      <c r="K41" s="260"/>
      <c r="L41" s="260"/>
      <c r="M41" s="260"/>
    </row>
    <row r="42" ht="27.75" customHeight="1">
      <c r="A42" s="265">
        <v>39.0</v>
      </c>
      <c r="B42" s="272" t="s">
        <v>80</v>
      </c>
      <c r="C42" s="274"/>
      <c r="D42" s="260"/>
      <c r="F42" s="260"/>
      <c r="G42" s="260"/>
      <c r="H42" s="260"/>
      <c r="I42" s="260"/>
      <c r="J42" s="260"/>
      <c r="K42" s="260"/>
      <c r="L42" s="260"/>
      <c r="M42" s="260"/>
    </row>
    <row r="43" ht="27.75" customHeight="1">
      <c r="A43" s="265">
        <v>40.0</v>
      </c>
      <c r="B43" s="272" t="s">
        <v>81</v>
      </c>
      <c r="C43" s="274"/>
      <c r="D43" s="260"/>
      <c r="E43" s="260"/>
      <c r="F43" s="260"/>
      <c r="G43" s="260"/>
      <c r="H43" s="260"/>
      <c r="I43" s="260"/>
      <c r="J43" s="260"/>
      <c r="K43" s="260"/>
      <c r="L43" s="260"/>
      <c r="M43" s="260"/>
    </row>
    <row r="44" ht="27.75" customHeight="1">
      <c r="A44" s="265">
        <v>41.0</v>
      </c>
      <c r="B44" s="276" t="s">
        <v>82</v>
      </c>
      <c r="C44" s="274"/>
      <c r="D44" s="260"/>
      <c r="E44" s="260"/>
      <c r="F44" s="260"/>
      <c r="G44" s="260"/>
      <c r="H44" s="260"/>
      <c r="I44" s="260"/>
      <c r="J44" s="260"/>
      <c r="K44" s="260"/>
      <c r="L44" s="260"/>
      <c r="M44" s="260"/>
    </row>
    <row r="45" ht="27.75" customHeight="1">
      <c r="A45" s="265">
        <v>42.0</v>
      </c>
      <c r="B45" s="278" t="s">
        <v>83</v>
      </c>
      <c r="C45" s="274"/>
      <c r="D45" s="260"/>
      <c r="E45" s="260"/>
      <c r="F45" s="260"/>
      <c r="G45" s="260"/>
      <c r="H45" s="260"/>
      <c r="I45" s="260"/>
      <c r="J45" s="260"/>
      <c r="K45" s="260"/>
      <c r="L45" s="260"/>
      <c r="M45" s="260"/>
    </row>
    <row r="46" ht="44.25" customHeight="1">
      <c r="A46" s="279" t="s">
        <v>724</v>
      </c>
      <c r="B46" s="7"/>
      <c r="C46" s="8"/>
      <c r="D46" s="260"/>
      <c r="E46" s="260"/>
      <c r="F46" s="260"/>
      <c r="G46" s="260"/>
      <c r="H46" s="260"/>
      <c r="I46" s="260"/>
      <c r="J46" s="260"/>
      <c r="K46" s="260"/>
      <c r="L46" s="260"/>
      <c r="M46" s="260"/>
    </row>
    <row r="47">
      <c r="A47" s="280"/>
      <c r="B47" s="280"/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</row>
    <row r="48">
      <c r="A48" s="280"/>
      <c r="B48" s="28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</row>
    <row r="49">
      <c r="A49" s="280"/>
      <c r="B49" s="28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</row>
    <row r="50">
      <c r="A50" s="280"/>
      <c r="B50" s="28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</row>
    <row r="51">
      <c r="A51" s="280"/>
      <c r="C51" s="260"/>
      <c r="D51" s="260"/>
      <c r="E51" s="260"/>
      <c r="F51" s="260"/>
      <c r="G51" s="260"/>
      <c r="H51" s="260"/>
      <c r="I51" s="260"/>
      <c r="J51" s="260"/>
      <c r="K51" s="260"/>
      <c r="L51" s="260"/>
      <c r="M51" s="260"/>
    </row>
    <row r="52">
      <c r="A52" s="280"/>
      <c r="B52" s="280"/>
      <c r="C52" s="260"/>
      <c r="D52" s="260"/>
      <c r="E52" s="260"/>
      <c r="F52" s="260"/>
      <c r="G52" s="260"/>
      <c r="H52" s="260"/>
      <c r="I52" s="260"/>
      <c r="J52" s="260"/>
      <c r="K52" s="260"/>
      <c r="L52" s="260"/>
      <c r="M52" s="260"/>
    </row>
    <row r="53">
      <c r="A53" s="280"/>
      <c r="B53" s="280"/>
      <c r="C53" s="260"/>
      <c r="D53" s="260"/>
      <c r="E53" s="260"/>
      <c r="F53" s="260"/>
      <c r="G53" s="260"/>
      <c r="H53" s="260"/>
      <c r="I53" s="260"/>
      <c r="J53" s="260"/>
      <c r="K53" s="260"/>
      <c r="L53" s="260"/>
      <c r="M53" s="260"/>
    </row>
    <row r="54">
      <c r="A54" s="280"/>
      <c r="B54" s="28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</row>
    <row r="55">
      <c r="A55" s="280"/>
      <c r="B55" s="280"/>
      <c r="C55" s="260"/>
      <c r="D55" s="260"/>
      <c r="E55" s="260"/>
      <c r="F55" s="260"/>
      <c r="G55" s="260"/>
      <c r="H55" s="260"/>
      <c r="I55" s="260"/>
      <c r="J55" s="260"/>
      <c r="K55" s="260"/>
      <c r="L55" s="260"/>
      <c r="M55" s="260"/>
    </row>
    <row r="56">
      <c r="A56" s="280"/>
      <c r="B56" s="280"/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</row>
    <row r="57">
      <c r="A57" s="280"/>
      <c r="B57" s="280"/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</row>
    <row r="58">
      <c r="A58" s="280"/>
      <c r="B58" s="28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</row>
    <row r="59">
      <c r="A59" s="280"/>
      <c r="B59" s="280"/>
      <c r="C59" s="260"/>
      <c r="D59" s="260"/>
      <c r="E59" s="260"/>
      <c r="F59" s="260"/>
      <c r="G59" s="260"/>
      <c r="H59" s="260"/>
      <c r="I59" s="260"/>
      <c r="J59" s="260"/>
      <c r="K59" s="260"/>
      <c r="L59" s="260"/>
      <c r="M59" s="260"/>
    </row>
    <row r="60">
      <c r="A60" s="280"/>
      <c r="B60" s="280"/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</row>
    <row r="61">
      <c r="A61" s="280"/>
      <c r="B61" s="28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</row>
    <row r="62">
      <c r="A62" s="280"/>
      <c r="B62" s="28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</row>
    <row r="63">
      <c r="A63" s="280"/>
      <c r="B63" s="280"/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</row>
    <row r="64">
      <c r="A64" s="280"/>
      <c r="B64" s="28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</row>
    <row r="65">
      <c r="A65" s="280"/>
      <c r="B65" s="28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</row>
    <row r="66">
      <c r="A66" s="280"/>
      <c r="B66" s="28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</row>
    <row r="67">
      <c r="A67" s="280"/>
      <c r="B67" s="28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</row>
    <row r="68">
      <c r="A68" s="280"/>
      <c r="B68" s="28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0"/>
    </row>
    <row r="69">
      <c r="A69" s="280"/>
      <c r="B69" s="28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</row>
    <row r="70">
      <c r="A70" s="280"/>
      <c r="B70" s="28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</row>
    <row r="71">
      <c r="A71" s="280"/>
      <c r="B71" s="28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</row>
    <row r="72">
      <c r="A72" s="280"/>
      <c r="B72" s="28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</row>
    <row r="73">
      <c r="A73" s="280"/>
      <c r="B73" s="28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</row>
    <row r="74">
      <c r="A74" s="280"/>
      <c r="B74" s="28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</row>
    <row r="75">
      <c r="A75" s="280"/>
      <c r="B75" s="28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</row>
    <row r="76">
      <c r="A76" s="280"/>
      <c r="B76" s="28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</row>
    <row r="77">
      <c r="A77" s="280"/>
      <c r="B77" s="28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</row>
    <row r="78">
      <c r="A78" s="280"/>
      <c r="B78" s="28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</row>
    <row r="79">
      <c r="A79" s="280"/>
      <c r="B79" s="28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</row>
    <row r="80">
      <c r="A80" s="280"/>
      <c r="B80" s="28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</row>
    <row r="81">
      <c r="A81" s="280"/>
      <c r="B81" s="28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</row>
    <row r="82">
      <c r="A82" s="280"/>
      <c r="B82" s="28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</row>
    <row r="83">
      <c r="A83" s="280"/>
      <c r="B83" s="28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</row>
    <row r="84">
      <c r="A84" s="280"/>
      <c r="B84" s="28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</row>
    <row r="85">
      <c r="A85" s="280"/>
      <c r="B85" s="28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</row>
    <row r="86">
      <c r="A86" s="280"/>
      <c r="B86" s="28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</row>
    <row r="87">
      <c r="A87" s="280"/>
      <c r="B87" s="28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</row>
    <row r="88">
      <c r="A88" s="280"/>
      <c r="B88" s="28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</row>
    <row r="89">
      <c r="A89" s="280"/>
      <c r="B89" s="28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</row>
    <row r="90">
      <c r="A90" s="280"/>
      <c r="B90" s="28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</row>
    <row r="91">
      <c r="A91" s="280"/>
      <c r="B91" s="28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</row>
    <row r="92">
      <c r="A92" s="280"/>
      <c r="B92" s="28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</row>
    <row r="93">
      <c r="A93" s="280"/>
      <c r="B93" s="28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</row>
    <row r="94">
      <c r="A94" s="280"/>
      <c r="B94" s="28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</row>
    <row r="95">
      <c r="A95" s="280"/>
      <c r="B95" s="28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</row>
    <row r="96">
      <c r="A96" s="280"/>
      <c r="B96" s="28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</row>
    <row r="97">
      <c r="A97" s="280"/>
      <c r="B97" s="28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</row>
    <row r="98">
      <c r="A98" s="280"/>
      <c r="B98" s="28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</row>
    <row r="99">
      <c r="A99" s="280"/>
      <c r="B99" s="28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</row>
    <row r="100">
      <c r="A100" s="280"/>
      <c r="B100" s="28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</row>
    <row r="101">
      <c r="A101" s="280"/>
      <c r="B101" s="28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</row>
    <row r="102">
      <c r="A102" s="280"/>
      <c r="B102" s="28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</row>
    <row r="103">
      <c r="A103" s="280"/>
      <c r="B103" s="28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</row>
    <row r="104">
      <c r="A104" s="280"/>
      <c r="B104" s="28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</row>
    <row r="105">
      <c r="A105" s="280"/>
      <c r="B105" s="28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</row>
    <row r="106">
      <c r="A106" s="280"/>
      <c r="B106" s="28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</row>
    <row r="107">
      <c r="A107" s="280"/>
      <c r="B107" s="28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</row>
    <row r="108">
      <c r="A108" s="280"/>
      <c r="B108" s="28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</row>
    <row r="109">
      <c r="A109" s="280"/>
      <c r="B109" s="28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</row>
    <row r="110">
      <c r="A110" s="280"/>
      <c r="B110" s="28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</row>
    <row r="111">
      <c r="A111" s="280"/>
      <c r="B111" s="28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</row>
    <row r="112">
      <c r="A112" s="280"/>
      <c r="B112" s="28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</row>
    <row r="113">
      <c r="A113" s="280"/>
      <c r="B113" s="28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</row>
    <row r="114">
      <c r="A114" s="280"/>
      <c r="B114" s="28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</row>
    <row r="115">
      <c r="A115" s="280"/>
      <c r="B115" s="28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</row>
    <row r="116">
      <c r="A116" s="280"/>
      <c r="B116" s="28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</row>
    <row r="117">
      <c r="A117" s="280"/>
      <c r="B117" s="28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</row>
    <row r="118">
      <c r="A118" s="280"/>
      <c r="B118" s="28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</row>
    <row r="119">
      <c r="A119" s="280"/>
      <c r="B119" s="28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</row>
    <row r="120">
      <c r="A120" s="280"/>
      <c r="B120" s="28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</row>
    <row r="121">
      <c r="A121" s="280"/>
      <c r="B121" s="28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</row>
    <row r="122">
      <c r="A122" s="280"/>
      <c r="B122" s="28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</row>
    <row r="123">
      <c r="A123" s="280"/>
      <c r="B123" s="28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</row>
    <row r="124">
      <c r="A124" s="280"/>
      <c r="B124" s="28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</row>
    <row r="125">
      <c r="A125" s="280"/>
      <c r="B125" s="28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</row>
    <row r="126">
      <c r="A126" s="280"/>
      <c r="B126" s="28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</row>
    <row r="127">
      <c r="A127" s="280"/>
      <c r="B127" s="28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</row>
    <row r="128">
      <c r="A128" s="280"/>
      <c r="B128" s="28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</row>
    <row r="129">
      <c r="A129" s="280"/>
      <c r="B129" s="28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</row>
    <row r="130">
      <c r="A130" s="280"/>
      <c r="B130" s="28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</row>
    <row r="131">
      <c r="A131" s="280"/>
      <c r="B131" s="28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</row>
    <row r="132">
      <c r="A132" s="280"/>
      <c r="B132" s="28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</row>
    <row r="133">
      <c r="A133" s="280"/>
      <c r="B133" s="28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</row>
    <row r="134">
      <c r="A134" s="280"/>
      <c r="B134" s="28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</row>
    <row r="135">
      <c r="A135" s="280"/>
      <c r="B135" s="28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</row>
    <row r="136">
      <c r="A136" s="280"/>
      <c r="B136" s="28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</row>
    <row r="137">
      <c r="A137" s="280"/>
      <c r="B137" s="28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</row>
    <row r="138">
      <c r="A138" s="280"/>
      <c r="B138" s="28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</row>
    <row r="139">
      <c r="A139" s="280"/>
      <c r="B139" s="28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</row>
    <row r="140">
      <c r="A140" s="280"/>
      <c r="B140" s="28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</row>
    <row r="141">
      <c r="A141" s="280"/>
      <c r="B141" s="28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</row>
    <row r="142">
      <c r="A142" s="280"/>
      <c r="B142" s="28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</row>
    <row r="143">
      <c r="A143" s="280"/>
      <c r="B143" s="28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</row>
    <row r="144">
      <c r="A144" s="280"/>
      <c r="B144" s="28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</row>
    <row r="145">
      <c r="A145" s="280"/>
      <c r="B145" s="28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</row>
    <row r="146">
      <c r="A146" s="280"/>
      <c r="B146" s="28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</row>
    <row r="147">
      <c r="A147" s="280"/>
      <c r="B147" s="28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</row>
    <row r="148">
      <c r="A148" s="280"/>
      <c r="B148" s="28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</row>
    <row r="149">
      <c r="A149" s="280"/>
      <c r="B149" s="28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</row>
    <row r="150">
      <c r="A150" s="280"/>
      <c r="B150" s="28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</row>
    <row r="151">
      <c r="A151" s="280"/>
      <c r="B151" s="28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</row>
    <row r="152">
      <c r="A152" s="280"/>
      <c r="B152" s="28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</row>
    <row r="153">
      <c r="A153" s="280"/>
      <c r="B153" s="28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</row>
    <row r="154">
      <c r="A154" s="280"/>
      <c r="B154" s="28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</row>
    <row r="155">
      <c r="A155" s="280"/>
      <c r="B155" s="28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</row>
    <row r="156">
      <c r="A156" s="280"/>
      <c r="B156" s="28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</row>
    <row r="157">
      <c r="A157" s="280"/>
      <c r="B157" s="28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</row>
    <row r="158">
      <c r="A158" s="280"/>
      <c r="B158" s="28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</row>
    <row r="159">
      <c r="A159" s="280"/>
      <c r="B159" s="28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</row>
    <row r="160">
      <c r="A160" s="280"/>
      <c r="B160" s="28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</row>
    <row r="161">
      <c r="A161" s="280"/>
      <c r="B161" s="28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</row>
    <row r="162">
      <c r="A162" s="280"/>
      <c r="B162" s="28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</row>
    <row r="163">
      <c r="A163" s="280"/>
      <c r="B163" s="28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</row>
    <row r="164">
      <c r="A164" s="280"/>
      <c r="B164" s="28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</row>
    <row r="165">
      <c r="A165" s="280"/>
      <c r="B165" s="28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</row>
    <row r="166">
      <c r="A166" s="280"/>
      <c r="B166" s="28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</row>
    <row r="167">
      <c r="A167" s="280"/>
      <c r="B167" s="28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</row>
    <row r="168">
      <c r="A168" s="280"/>
      <c r="B168" s="28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</row>
    <row r="169">
      <c r="A169" s="280"/>
      <c r="B169" s="28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</row>
    <row r="170">
      <c r="A170" s="280"/>
      <c r="B170" s="28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</row>
    <row r="171">
      <c r="A171" s="280"/>
      <c r="B171" s="28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</row>
    <row r="172">
      <c r="A172" s="280"/>
      <c r="B172" s="28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</row>
    <row r="173">
      <c r="A173" s="280"/>
      <c r="B173" s="28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</row>
    <row r="174">
      <c r="A174" s="280"/>
      <c r="B174" s="28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</row>
    <row r="175">
      <c r="A175" s="280"/>
      <c r="B175" s="28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</row>
    <row r="176">
      <c r="A176" s="280"/>
      <c r="B176" s="28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</row>
    <row r="177">
      <c r="A177" s="280"/>
      <c r="B177" s="28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</row>
    <row r="178">
      <c r="A178" s="280"/>
      <c r="B178" s="28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</row>
    <row r="179">
      <c r="A179" s="280"/>
      <c r="B179" s="28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</row>
    <row r="180">
      <c r="A180" s="280"/>
      <c r="B180" s="28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</row>
    <row r="181">
      <c r="A181" s="280"/>
      <c r="B181" s="28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</row>
    <row r="182">
      <c r="A182" s="280"/>
      <c r="B182" s="28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</row>
    <row r="183">
      <c r="A183" s="280"/>
      <c r="B183" s="28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</row>
    <row r="184">
      <c r="A184" s="280"/>
      <c r="B184" s="28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</row>
    <row r="185">
      <c r="A185" s="280"/>
      <c r="B185" s="28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</row>
    <row r="186">
      <c r="A186" s="280"/>
      <c r="B186" s="28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</row>
    <row r="187">
      <c r="A187" s="280"/>
      <c r="B187" s="28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</row>
    <row r="188">
      <c r="A188" s="280"/>
      <c r="B188" s="28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</row>
    <row r="189">
      <c r="A189" s="280"/>
      <c r="B189" s="28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</row>
    <row r="190">
      <c r="A190" s="280"/>
      <c r="B190" s="28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</row>
    <row r="191">
      <c r="A191" s="280"/>
      <c r="B191" s="28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</row>
    <row r="192">
      <c r="A192" s="280"/>
      <c r="B192" s="28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</row>
    <row r="193">
      <c r="A193" s="280"/>
      <c r="B193" s="28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</row>
    <row r="194">
      <c r="A194" s="280"/>
      <c r="B194" s="28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</row>
    <row r="195">
      <c r="A195" s="280"/>
      <c r="B195" s="28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</row>
    <row r="196">
      <c r="A196" s="280"/>
      <c r="B196" s="28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</row>
    <row r="197">
      <c r="A197" s="280"/>
      <c r="B197" s="28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</row>
    <row r="198">
      <c r="A198" s="280"/>
      <c r="B198" s="28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</row>
    <row r="199">
      <c r="A199" s="280"/>
      <c r="B199" s="28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</row>
    <row r="200">
      <c r="A200" s="280"/>
      <c r="B200" s="28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</row>
    <row r="201">
      <c r="A201" s="280"/>
      <c r="B201" s="28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</row>
    <row r="202">
      <c r="A202" s="280"/>
      <c r="B202" s="28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</row>
    <row r="203">
      <c r="A203" s="280"/>
      <c r="B203" s="28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</row>
    <row r="204">
      <c r="A204" s="280"/>
      <c r="B204" s="28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</row>
    <row r="205">
      <c r="A205" s="280"/>
      <c r="B205" s="28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</row>
    <row r="206">
      <c r="A206" s="280"/>
      <c r="B206" s="28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</row>
    <row r="207">
      <c r="A207" s="280"/>
      <c r="B207" s="28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</row>
    <row r="208">
      <c r="A208" s="280"/>
      <c r="B208" s="28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</row>
    <row r="209">
      <c r="A209" s="280"/>
      <c r="B209" s="28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</row>
    <row r="210">
      <c r="A210" s="280"/>
      <c r="B210" s="28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</row>
    <row r="211">
      <c r="A211" s="280"/>
      <c r="B211" s="28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</row>
    <row r="212">
      <c r="A212" s="280"/>
      <c r="B212" s="28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</row>
    <row r="213">
      <c r="A213" s="280"/>
      <c r="B213" s="28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</row>
    <row r="214">
      <c r="A214" s="280"/>
      <c r="B214" s="28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</row>
    <row r="215">
      <c r="A215" s="280"/>
      <c r="B215" s="28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</row>
    <row r="216">
      <c r="A216" s="280"/>
      <c r="B216" s="28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</row>
    <row r="217">
      <c r="A217" s="280"/>
      <c r="B217" s="28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</row>
    <row r="218">
      <c r="A218" s="280"/>
      <c r="B218" s="28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</row>
    <row r="219">
      <c r="A219" s="280"/>
      <c r="B219" s="28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</row>
    <row r="220">
      <c r="A220" s="280"/>
      <c r="B220" s="28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</row>
    <row r="221">
      <c r="A221" s="280"/>
      <c r="B221" s="28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</row>
    <row r="222">
      <c r="A222" s="280"/>
      <c r="B222" s="28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</row>
    <row r="223">
      <c r="A223" s="280"/>
      <c r="B223" s="28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</row>
    <row r="224">
      <c r="A224" s="280"/>
      <c r="B224" s="28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</row>
    <row r="225">
      <c r="A225" s="280"/>
      <c r="B225" s="28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</row>
    <row r="226">
      <c r="A226" s="280"/>
      <c r="B226" s="28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</row>
    <row r="227">
      <c r="A227" s="280"/>
      <c r="B227" s="28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</row>
    <row r="228">
      <c r="A228" s="280"/>
      <c r="B228" s="28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</row>
    <row r="229">
      <c r="A229" s="280"/>
      <c r="B229" s="28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</row>
    <row r="230">
      <c r="A230" s="280"/>
      <c r="B230" s="28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</row>
    <row r="231">
      <c r="A231" s="280"/>
      <c r="B231" s="28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</row>
    <row r="232">
      <c r="A232" s="280"/>
      <c r="B232" s="28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</row>
    <row r="233">
      <c r="A233" s="280"/>
      <c r="B233" s="28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</row>
    <row r="234">
      <c r="A234" s="280"/>
      <c r="B234" s="28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</row>
    <row r="235">
      <c r="A235" s="280"/>
      <c r="B235" s="28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</row>
    <row r="236">
      <c r="A236" s="280"/>
      <c r="B236" s="28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</row>
    <row r="237">
      <c r="A237" s="280"/>
      <c r="B237" s="28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</row>
    <row r="238">
      <c r="A238" s="280"/>
      <c r="B238" s="28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</row>
    <row r="239">
      <c r="A239" s="280"/>
      <c r="B239" s="28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</row>
    <row r="240">
      <c r="A240" s="280"/>
      <c r="B240" s="28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</row>
    <row r="241">
      <c r="A241" s="280"/>
      <c r="B241" s="28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</row>
    <row r="242">
      <c r="A242" s="280"/>
      <c r="B242" s="28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</row>
    <row r="243">
      <c r="A243" s="280"/>
      <c r="B243" s="28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</row>
    <row r="244">
      <c r="A244" s="280"/>
      <c r="B244" s="28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</row>
    <row r="245">
      <c r="A245" s="280"/>
      <c r="B245" s="28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</row>
    <row r="246">
      <c r="A246" s="280"/>
      <c r="B246" s="28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</row>
    <row r="247">
      <c r="A247" s="280"/>
      <c r="B247" s="28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</row>
    <row r="248">
      <c r="A248" s="280"/>
      <c r="B248" s="28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</row>
    <row r="249">
      <c r="A249" s="280"/>
      <c r="B249" s="28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</row>
    <row r="250">
      <c r="A250" s="280"/>
      <c r="B250" s="28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</row>
    <row r="251">
      <c r="A251" s="280"/>
      <c r="B251" s="28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</row>
    <row r="252">
      <c r="A252" s="280"/>
      <c r="B252" s="28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</row>
    <row r="253">
      <c r="A253" s="280"/>
      <c r="B253" s="28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</row>
    <row r="254">
      <c r="A254" s="280"/>
      <c r="B254" s="28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</row>
    <row r="255">
      <c r="A255" s="280"/>
      <c r="B255" s="28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</row>
    <row r="256">
      <c r="A256" s="280"/>
      <c r="B256" s="28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</row>
    <row r="257">
      <c r="A257" s="280"/>
      <c r="B257" s="28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</row>
    <row r="258">
      <c r="A258" s="280"/>
      <c r="B258" s="28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</row>
    <row r="259">
      <c r="A259" s="280"/>
      <c r="B259" s="28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</row>
    <row r="260">
      <c r="A260" s="280"/>
      <c r="B260" s="28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</row>
    <row r="261">
      <c r="A261" s="280"/>
      <c r="B261" s="28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</row>
    <row r="262">
      <c r="A262" s="280"/>
      <c r="B262" s="28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</row>
    <row r="263">
      <c r="A263" s="280"/>
      <c r="B263" s="28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</row>
    <row r="264">
      <c r="A264" s="280"/>
      <c r="B264" s="28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</row>
    <row r="265">
      <c r="A265" s="280"/>
      <c r="B265" s="28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</row>
    <row r="266">
      <c r="A266" s="280"/>
      <c r="B266" s="28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</row>
    <row r="267">
      <c r="A267" s="280"/>
      <c r="B267" s="28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</row>
    <row r="268">
      <c r="A268" s="280"/>
      <c r="B268" s="28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</row>
    <row r="269">
      <c r="A269" s="280"/>
      <c r="B269" s="28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</row>
    <row r="270">
      <c r="A270" s="280"/>
      <c r="B270" s="28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</row>
    <row r="271">
      <c r="A271" s="280"/>
      <c r="B271" s="28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</row>
    <row r="272">
      <c r="A272" s="280"/>
      <c r="B272" s="28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</row>
    <row r="273">
      <c r="A273" s="280"/>
      <c r="B273" s="28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</row>
    <row r="274">
      <c r="A274" s="280"/>
      <c r="B274" s="28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</row>
    <row r="275">
      <c r="A275" s="280"/>
      <c r="B275" s="28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</row>
    <row r="276">
      <c r="A276" s="280"/>
      <c r="B276" s="28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</row>
    <row r="277">
      <c r="A277" s="280"/>
      <c r="B277" s="28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</row>
    <row r="278">
      <c r="A278" s="280"/>
      <c r="B278" s="28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</row>
    <row r="279">
      <c r="A279" s="280"/>
      <c r="B279" s="28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</row>
    <row r="280">
      <c r="A280" s="280"/>
      <c r="B280" s="28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</row>
    <row r="281">
      <c r="A281" s="280"/>
      <c r="B281" s="28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</row>
    <row r="282">
      <c r="A282" s="280"/>
      <c r="B282" s="28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</row>
    <row r="283">
      <c r="A283" s="280"/>
      <c r="B283" s="28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</row>
    <row r="284">
      <c r="A284" s="280"/>
      <c r="B284" s="28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</row>
    <row r="285">
      <c r="A285" s="280"/>
      <c r="B285" s="28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</row>
    <row r="286">
      <c r="A286" s="280"/>
      <c r="B286" s="28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</row>
    <row r="287">
      <c r="A287" s="280"/>
      <c r="B287" s="28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</row>
    <row r="288">
      <c r="A288" s="280"/>
      <c r="B288" s="28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</row>
    <row r="289">
      <c r="A289" s="280"/>
      <c r="B289" s="28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</row>
    <row r="290">
      <c r="A290" s="280"/>
      <c r="B290" s="28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</row>
    <row r="291">
      <c r="A291" s="280"/>
      <c r="B291" s="28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</row>
    <row r="292">
      <c r="A292" s="280"/>
      <c r="B292" s="28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</row>
    <row r="293">
      <c r="A293" s="280"/>
      <c r="B293" s="28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</row>
    <row r="294">
      <c r="A294" s="280"/>
      <c r="B294" s="28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</row>
    <row r="295">
      <c r="A295" s="280"/>
      <c r="B295" s="28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</row>
    <row r="296">
      <c r="A296" s="280"/>
      <c r="B296" s="28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</row>
    <row r="297">
      <c r="A297" s="280"/>
      <c r="B297" s="28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</row>
    <row r="298">
      <c r="A298" s="280"/>
      <c r="B298" s="28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</row>
    <row r="299">
      <c r="A299" s="280"/>
      <c r="B299" s="28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</row>
    <row r="300">
      <c r="A300" s="280"/>
      <c r="B300" s="28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</row>
    <row r="301">
      <c r="A301" s="280"/>
      <c r="B301" s="28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</row>
    <row r="302">
      <c r="A302" s="280"/>
      <c r="B302" s="28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</row>
    <row r="303">
      <c r="A303" s="280"/>
      <c r="B303" s="28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</row>
    <row r="304">
      <c r="A304" s="280"/>
      <c r="B304" s="28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</row>
    <row r="305">
      <c r="A305" s="280"/>
      <c r="B305" s="28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</row>
    <row r="306">
      <c r="A306" s="280"/>
      <c r="B306" s="28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</row>
    <row r="307">
      <c r="A307" s="280"/>
      <c r="B307" s="28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</row>
    <row r="308">
      <c r="A308" s="280"/>
      <c r="B308" s="28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</row>
    <row r="309">
      <c r="A309" s="280"/>
      <c r="B309" s="28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</row>
    <row r="310">
      <c r="A310" s="280"/>
      <c r="B310" s="28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</row>
    <row r="311">
      <c r="A311" s="280"/>
      <c r="B311" s="28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</row>
    <row r="312">
      <c r="A312" s="280"/>
      <c r="B312" s="28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</row>
    <row r="313">
      <c r="A313" s="280"/>
      <c r="B313" s="28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</row>
    <row r="314">
      <c r="A314" s="280"/>
      <c r="B314" s="28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</row>
    <row r="315">
      <c r="A315" s="280"/>
      <c r="B315" s="28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</row>
    <row r="316">
      <c r="A316" s="280"/>
      <c r="B316" s="28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</row>
    <row r="317">
      <c r="A317" s="280"/>
      <c r="B317" s="28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</row>
    <row r="318">
      <c r="A318" s="280"/>
      <c r="B318" s="28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</row>
    <row r="319">
      <c r="A319" s="280"/>
      <c r="B319" s="28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</row>
    <row r="320">
      <c r="A320" s="280"/>
      <c r="B320" s="28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</row>
    <row r="321">
      <c r="A321" s="280"/>
      <c r="B321" s="28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</row>
    <row r="322">
      <c r="A322" s="280"/>
      <c r="B322" s="28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</row>
    <row r="323">
      <c r="A323" s="280"/>
      <c r="B323" s="28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</row>
    <row r="324">
      <c r="A324" s="280"/>
      <c r="B324" s="28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</row>
    <row r="325">
      <c r="A325" s="280"/>
      <c r="B325" s="28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</row>
    <row r="326">
      <c r="A326" s="280"/>
      <c r="B326" s="28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</row>
    <row r="327">
      <c r="A327" s="280"/>
      <c r="B327" s="28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</row>
    <row r="328">
      <c r="A328" s="280"/>
      <c r="B328" s="28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</row>
    <row r="329">
      <c r="A329" s="280"/>
      <c r="B329" s="28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</row>
    <row r="330">
      <c r="A330" s="280"/>
      <c r="B330" s="28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</row>
    <row r="331">
      <c r="A331" s="280"/>
      <c r="B331" s="28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</row>
    <row r="332">
      <c r="A332" s="280"/>
      <c r="B332" s="28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</row>
    <row r="333">
      <c r="A333" s="280"/>
      <c r="B333" s="28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</row>
    <row r="334">
      <c r="A334" s="280"/>
      <c r="B334" s="28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</row>
    <row r="335">
      <c r="A335" s="280"/>
      <c r="B335" s="28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</row>
    <row r="336">
      <c r="A336" s="280"/>
      <c r="B336" s="28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</row>
    <row r="337">
      <c r="A337" s="280"/>
      <c r="B337" s="28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</row>
    <row r="338">
      <c r="A338" s="280"/>
      <c r="B338" s="28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</row>
    <row r="339">
      <c r="A339" s="280"/>
      <c r="B339" s="28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</row>
    <row r="340">
      <c r="A340" s="280"/>
      <c r="B340" s="28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</row>
    <row r="341">
      <c r="A341" s="280"/>
      <c r="B341" s="28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</row>
    <row r="342">
      <c r="A342" s="280"/>
      <c r="B342" s="28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</row>
    <row r="343">
      <c r="A343" s="280"/>
      <c r="B343" s="28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</row>
    <row r="344">
      <c r="A344" s="280"/>
      <c r="B344" s="28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</row>
    <row r="345">
      <c r="A345" s="280"/>
      <c r="B345" s="28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</row>
    <row r="346">
      <c r="A346" s="280"/>
      <c r="B346" s="28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</row>
    <row r="347">
      <c r="A347" s="280"/>
      <c r="B347" s="28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</row>
    <row r="348">
      <c r="A348" s="280"/>
      <c r="B348" s="28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</row>
    <row r="349">
      <c r="A349" s="280"/>
      <c r="B349" s="28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</row>
    <row r="350">
      <c r="A350" s="280"/>
      <c r="B350" s="28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</row>
    <row r="351">
      <c r="A351" s="280"/>
      <c r="B351" s="28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</row>
    <row r="352">
      <c r="A352" s="280"/>
      <c r="B352" s="28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</row>
    <row r="353">
      <c r="A353" s="280"/>
      <c r="B353" s="28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</row>
    <row r="354">
      <c r="A354" s="280"/>
      <c r="B354" s="28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</row>
    <row r="355">
      <c r="A355" s="280"/>
      <c r="B355" s="28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</row>
    <row r="356">
      <c r="A356" s="280"/>
      <c r="B356" s="28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</row>
    <row r="357">
      <c r="A357" s="280"/>
      <c r="B357" s="28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</row>
    <row r="358">
      <c r="A358" s="280"/>
      <c r="B358" s="28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</row>
    <row r="359">
      <c r="A359" s="280"/>
      <c r="B359" s="28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</row>
    <row r="360">
      <c r="A360" s="280"/>
      <c r="B360" s="28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</row>
    <row r="361">
      <c r="A361" s="280"/>
      <c r="B361" s="28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</row>
    <row r="362">
      <c r="A362" s="280"/>
      <c r="B362" s="28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</row>
    <row r="363">
      <c r="A363" s="280"/>
      <c r="B363" s="28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</row>
    <row r="364">
      <c r="A364" s="280"/>
      <c r="B364" s="28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</row>
    <row r="365">
      <c r="A365" s="280"/>
      <c r="B365" s="28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</row>
    <row r="366">
      <c r="A366" s="280"/>
      <c r="B366" s="28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</row>
    <row r="367">
      <c r="A367" s="280"/>
      <c r="B367" s="28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</row>
    <row r="368">
      <c r="A368" s="280"/>
      <c r="B368" s="28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</row>
    <row r="369">
      <c r="A369" s="280"/>
      <c r="B369" s="28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</row>
    <row r="370">
      <c r="A370" s="280"/>
      <c r="B370" s="28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</row>
    <row r="371">
      <c r="A371" s="280"/>
      <c r="B371" s="28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</row>
    <row r="372">
      <c r="A372" s="280"/>
      <c r="B372" s="28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</row>
    <row r="373">
      <c r="A373" s="280"/>
      <c r="B373" s="28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</row>
    <row r="374">
      <c r="A374" s="280"/>
      <c r="B374" s="28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</row>
    <row r="375">
      <c r="A375" s="280"/>
      <c r="B375" s="28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</row>
    <row r="376">
      <c r="A376" s="280"/>
      <c r="B376" s="28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</row>
    <row r="377">
      <c r="A377" s="280"/>
      <c r="B377" s="28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</row>
    <row r="378">
      <c r="A378" s="280"/>
      <c r="B378" s="28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</row>
    <row r="379">
      <c r="A379" s="280"/>
      <c r="B379" s="28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</row>
    <row r="380">
      <c r="A380" s="280"/>
      <c r="B380" s="28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</row>
    <row r="381">
      <c r="A381" s="280"/>
      <c r="B381" s="28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</row>
    <row r="382">
      <c r="A382" s="280"/>
      <c r="B382" s="28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</row>
    <row r="383">
      <c r="A383" s="280"/>
      <c r="B383" s="28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</row>
    <row r="384">
      <c r="A384" s="280"/>
      <c r="B384" s="28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</row>
    <row r="385">
      <c r="A385" s="280"/>
      <c r="B385" s="28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</row>
    <row r="386">
      <c r="A386" s="280"/>
      <c r="B386" s="28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</row>
    <row r="387">
      <c r="A387" s="280"/>
      <c r="B387" s="28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</row>
    <row r="388">
      <c r="A388" s="280"/>
      <c r="B388" s="28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</row>
    <row r="389">
      <c r="A389" s="280"/>
      <c r="B389" s="28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</row>
    <row r="390">
      <c r="A390" s="280"/>
      <c r="B390" s="28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</row>
    <row r="391">
      <c r="A391" s="280"/>
      <c r="B391" s="28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</row>
    <row r="392">
      <c r="A392" s="280"/>
      <c r="B392" s="28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</row>
    <row r="393">
      <c r="A393" s="280"/>
      <c r="B393" s="28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</row>
    <row r="394">
      <c r="A394" s="280"/>
      <c r="B394" s="28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</row>
    <row r="395">
      <c r="A395" s="280"/>
      <c r="B395" s="28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</row>
    <row r="396">
      <c r="A396" s="280"/>
      <c r="B396" s="28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</row>
    <row r="397">
      <c r="A397" s="280"/>
      <c r="B397" s="28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</row>
    <row r="398">
      <c r="A398" s="280"/>
      <c r="B398" s="28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</row>
    <row r="399">
      <c r="A399" s="280"/>
      <c r="B399" s="28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</row>
    <row r="400">
      <c r="A400" s="280"/>
      <c r="B400" s="28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</row>
    <row r="401">
      <c r="A401" s="280"/>
      <c r="B401" s="28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</row>
    <row r="402">
      <c r="A402" s="280"/>
      <c r="B402" s="28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</row>
    <row r="403">
      <c r="A403" s="280"/>
      <c r="B403" s="28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</row>
    <row r="404">
      <c r="A404" s="280"/>
      <c r="B404" s="28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</row>
    <row r="405">
      <c r="A405" s="280"/>
      <c r="B405" s="28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</row>
    <row r="406">
      <c r="A406" s="280"/>
      <c r="B406" s="28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</row>
    <row r="407">
      <c r="A407" s="280"/>
      <c r="B407" s="28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</row>
    <row r="408">
      <c r="A408" s="280"/>
      <c r="B408" s="28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</row>
    <row r="409">
      <c r="A409" s="280"/>
      <c r="B409" s="28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</row>
    <row r="410">
      <c r="A410" s="280"/>
      <c r="B410" s="28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</row>
    <row r="411">
      <c r="A411" s="280"/>
      <c r="B411" s="28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</row>
    <row r="412">
      <c r="A412" s="280"/>
      <c r="B412" s="28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</row>
    <row r="413">
      <c r="A413" s="280"/>
      <c r="B413" s="28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</row>
    <row r="414">
      <c r="A414" s="280"/>
      <c r="B414" s="28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</row>
    <row r="415">
      <c r="A415" s="280"/>
      <c r="B415" s="28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</row>
    <row r="416">
      <c r="A416" s="280"/>
      <c r="B416" s="28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</row>
    <row r="417">
      <c r="A417" s="280"/>
      <c r="B417" s="28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</row>
    <row r="418">
      <c r="A418" s="280"/>
      <c r="B418" s="28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</row>
    <row r="419">
      <c r="A419" s="280"/>
      <c r="B419" s="28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</row>
    <row r="420">
      <c r="A420" s="280"/>
      <c r="B420" s="28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</row>
    <row r="421">
      <c r="A421" s="280"/>
      <c r="B421" s="28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</row>
    <row r="422">
      <c r="A422" s="280"/>
      <c r="B422" s="28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</row>
    <row r="423">
      <c r="A423" s="280"/>
      <c r="B423" s="28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</row>
    <row r="424">
      <c r="A424" s="280"/>
      <c r="B424" s="28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</row>
    <row r="425">
      <c r="A425" s="280"/>
      <c r="B425" s="28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</row>
    <row r="426">
      <c r="A426" s="280"/>
      <c r="B426" s="28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</row>
    <row r="427">
      <c r="A427" s="280"/>
      <c r="B427" s="28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</row>
    <row r="428">
      <c r="A428" s="280"/>
      <c r="B428" s="28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</row>
    <row r="429">
      <c r="A429" s="280"/>
      <c r="B429" s="28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</row>
    <row r="430">
      <c r="A430" s="280"/>
      <c r="B430" s="28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</row>
    <row r="431">
      <c r="A431" s="280"/>
      <c r="B431" s="28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</row>
    <row r="432">
      <c r="A432" s="280"/>
      <c r="B432" s="28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</row>
    <row r="433">
      <c r="A433" s="280"/>
      <c r="B433" s="28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</row>
    <row r="434">
      <c r="A434" s="280"/>
      <c r="B434" s="28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</row>
    <row r="435">
      <c r="A435" s="280"/>
      <c r="B435" s="28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</row>
    <row r="436">
      <c r="A436" s="280"/>
      <c r="B436" s="28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</row>
    <row r="437">
      <c r="A437" s="280"/>
      <c r="B437" s="28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</row>
    <row r="438">
      <c r="A438" s="280"/>
      <c r="B438" s="28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</row>
    <row r="439">
      <c r="A439" s="280"/>
      <c r="B439" s="28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</row>
    <row r="440">
      <c r="A440" s="280"/>
      <c r="B440" s="28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</row>
    <row r="441">
      <c r="A441" s="280"/>
      <c r="B441" s="28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</row>
    <row r="442">
      <c r="A442" s="280"/>
      <c r="B442" s="28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</row>
    <row r="443">
      <c r="A443" s="280"/>
      <c r="B443" s="28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</row>
    <row r="444">
      <c r="A444" s="280"/>
      <c r="B444" s="28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</row>
    <row r="445">
      <c r="A445" s="280"/>
      <c r="B445" s="28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</row>
    <row r="446">
      <c r="A446" s="280"/>
      <c r="B446" s="28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</row>
    <row r="447">
      <c r="A447" s="280"/>
      <c r="B447" s="28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</row>
    <row r="448">
      <c r="A448" s="280"/>
      <c r="B448" s="28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</row>
    <row r="449">
      <c r="A449" s="280"/>
      <c r="B449" s="28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</row>
    <row r="450">
      <c r="A450" s="280"/>
      <c r="B450" s="28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</row>
    <row r="451">
      <c r="A451" s="280"/>
      <c r="B451" s="28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</row>
    <row r="452">
      <c r="A452" s="280"/>
      <c r="B452" s="28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</row>
    <row r="453">
      <c r="A453" s="280"/>
      <c r="B453" s="28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</row>
    <row r="454">
      <c r="A454" s="280"/>
      <c r="B454" s="28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</row>
    <row r="455">
      <c r="A455" s="280"/>
      <c r="B455" s="28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</row>
    <row r="456">
      <c r="A456" s="280"/>
      <c r="B456" s="28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</row>
    <row r="457">
      <c r="A457" s="280"/>
      <c r="B457" s="28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</row>
    <row r="458">
      <c r="A458" s="280"/>
      <c r="B458" s="28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</row>
    <row r="459">
      <c r="A459" s="280"/>
      <c r="B459" s="28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</row>
    <row r="460">
      <c r="A460" s="280"/>
      <c r="B460" s="28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</row>
    <row r="461">
      <c r="A461" s="280"/>
      <c r="B461" s="28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</row>
    <row r="462">
      <c r="A462" s="280"/>
      <c r="B462" s="28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</row>
    <row r="463">
      <c r="A463" s="280"/>
      <c r="B463" s="28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</row>
    <row r="464">
      <c r="A464" s="280"/>
      <c r="B464" s="28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</row>
    <row r="465">
      <c r="A465" s="280"/>
      <c r="B465" s="28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</row>
    <row r="466">
      <c r="A466" s="280"/>
      <c r="B466" s="28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</row>
    <row r="467">
      <c r="A467" s="280"/>
      <c r="B467" s="28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</row>
    <row r="468">
      <c r="A468" s="280"/>
      <c r="B468" s="28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</row>
    <row r="469">
      <c r="A469" s="280"/>
      <c r="B469" s="28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</row>
    <row r="470">
      <c r="A470" s="280"/>
      <c r="B470" s="28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</row>
    <row r="471">
      <c r="A471" s="280"/>
      <c r="B471" s="28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</row>
    <row r="472">
      <c r="A472" s="280"/>
      <c r="B472" s="28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</row>
    <row r="473">
      <c r="A473" s="280"/>
      <c r="B473" s="28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</row>
    <row r="474">
      <c r="A474" s="280"/>
      <c r="B474" s="28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</row>
    <row r="475">
      <c r="A475" s="280"/>
      <c r="B475" s="28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</row>
    <row r="476">
      <c r="A476" s="280"/>
      <c r="B476" s="28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</row>
    <row r="477">
      <c r="A477" s="280"/>
      <c r="B477" s="28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</row>
    <row r="478">
      <c r="A478" s="280"/>
      <c r="B478" s="28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</row>
    <row r="479">
      <c r="A479" s="280"/>
      <c r="B479" s="28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</row>
    <row r="480">
      <c r="A480" s="280"/>
      <c r="B480" s="28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</row>
    <row r="481">
      <c r="A481" s="280"/>
      <c r="B481" s="28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</row>
    <row r="482">
      <c r="A482" s="280"/>
      <c r="B482" s="28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</row>
    <row r="483">
      <c r="A483" s="280"/>
      <c r="B483" s="28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</row>
    <row r="484">
      <c r="A484" s="280"/>
      <c r="B484" s="28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</row>
    <row r="485">
      <c r="A485" s="280"/>
      <c r="B485" s="28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</row>
    <row r="486">
      <c r="A486" s="280"/>
      <c r="B486" s="28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</row>
    <row r="487">
      <c r="A487" s="280"/>
      <c r="B487" s="28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</row>
    <row r="488">
      <c r="A488" s="280"/>
      <c r="B488" s="28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</row>
    <row r="489">
      <c r="A489" s="280"/>
      <c r="B489" s="28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</row>
    <row r="490">
      <c r="A490" s="280"/>
      <c r="B490" s="28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</row>
    <row r="491">
      <c r="A491" s="280"/>
      <c r="B491" s="28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</row>
    <row r="492">
      <c r="A492" s="280"/>
      <c r="B492" s="28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</row>
    <row r="493">
      <c r="A493" s="280"/>
      <c r="B493" s="28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</row>
    <row r="494">
      <c r="A494" s="280"/>
      <c r="B494" s="28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</row>
    <row r="495">
      <c r="A495" s="280"/>
      <c r="B495" s="28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</row>
    <row r="496">
      <c r="A496" s="280"/>
      <c r="B496" s="28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</row>
    <row r="497">
      <c r="A497" s="280"/>
      <c r="B497" s="28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</row>
    <row r="498">
      <c r="A498" s="280"/>
      <c r="B498" s="28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</row>
    <row r="499">
      <c r="A499" s="280"/>
      <c r="B499" s="28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</row>
    <row r="500">
      <c r="A500" s="280"/>
      <c r="B500" s="28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</row>
    <row r="501">
      <c r="A501" s="280"/>
      <c r="B501" s="28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</row>
    <row r="502">
      <c r="A502" s="280"/>
      <c r="B502" s="28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</row>
    <row r="503">
      <c r="A503" s="280"/>
      <c r="B503" s="28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</row>
    <row r="504">
      <c r="A504" s="280"/>
      <c r="B504" s="28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</row>
    <row r="505">
      <c r="A505" s="280"/>
      <c r="B505" s="28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</row>
    <row r="506">
      <c r="A506" s="280"/>
      <c r="B506" s="28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</row>
    <row r="507">
      <c r="A507" s="280"/>
      <c r="B507" s="28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</row>
    <row r="508">
      <c r="A508" s="280"/>
      <c r="B508" s="28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</row>
    <row r="509">
      <c r="A509" s="280"/>
      <c r="B509" s="28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</row>
    <row r="510">
      <c r="A510" s="280"/>
      <c r="B510" s="28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</row>
    <row r="511">
      <c r="A511" s="280"/>
      <c r="B511" s="28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</row>
    <row r="512">
      <c r="A512" s="280"/>
      <c r="B512" s="28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</row>
    <row r="513">
      <c r="A513" s="280"/>
      <c r="B513" s="28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</row>
    <row r="514">
      <c r="A514" s="280"/>
      <c r="B514" s="28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</row>
    <row r="515">
      <c r="A515" s="280"/>
      <c r="B515" s="28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</row>
    <row r="516">
      <c r="A516" s="280"/>
      <c r="B516" s="28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</row>
    <row r="517">
      <c r="A517" s="280"/>
      <c r="B517" s="28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</row>
    <row r="518">
      <c r="A518" s="280"/>
      <c r="B518" s="28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</row>
    <row r="519">
      <c r="A519" s="280"/>
      <c r="B519" s="28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</row>
    <row r="520">
      <c r="A520" s="280"/>
      <c r="B520" s="28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</row>
    <row r="521">
      <c r="A521" s="280"/>
      <c r="B521" s="28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</row>
    <row r="522">
      <c r="A522" s="280"/>
      <c r="B522" s="28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</row>
    <row r="523">
      <c r="A523" s="280"/>
      <c r="B523" s="28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</row>
    <row r="524">
      <c r="A524" s="280"/>
      <c r="B524" s="28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</row>
    <row r="525">
      <c r="A525" s="280"/>
      <c r="B525" s="28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</row>
    <row r="526">
      <c r="A526" s="280"/>
      <c r="B526" s="28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</row>
    <row r="527">
      <c r="A527" s="280"/>
      <c r="B527" s="28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</row>
    <row r="528">
      <c r="A528" s="280"/>
      <c r="B528" s="28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</row>
    <row r="529">
      <c r="A529" s="280"/>
      <c r="B529" s="28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</row>
    <row r="530">
      <c r="A530" s="280"/>
      <c r="B530" s="28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</row>
    <row r="531">
      <c r="A531" s="280"/>
      <c r="B531" s="28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</row>
    <row r="532">
      <c r="A532" s="280"/>
      <c r="B532" s="28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</row>
    <row r="533">
      <c r="A533" s="280"/>
      <c r="B533" s="28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</row>
    <row r="534">
      <c r="A534" s="280"/>
      <c r="B534" s="28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</row>
    <row r="535">
      <c r="A535" s="280"/>
      <c r="B535" s="28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</row>
    <row r="536">
      <c r="A536" s="280"/>
      <c r="B536" s="28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</row>
    <row r="537">
      <c r="A537" s="280"/>
      <c r="B537" s="28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</row>
    <row r="538">
      <c r="A538" s="280"/>
      <c r="B538" s="28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</row>
    <row r="539">
      <c r="A539" s="280"/>
      <c r="B539" s="28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</row>
    <row r="540">
      <c r="A540" s="280"/>
      <c r="B540" s="28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</row>
    <row r="541">
      <c r="A541" s="280"/>
      <c r="B541" s="28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</row>
    <row r="542">
      <c r="A542" s="280"/>
      <c r="B542" s="28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</row>
    <row r="543">
      <c r="A543" s="280"/>
      <c r="B543" s="28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</row>
    <row r="544">
      <c r="A544" s="280"/>
      <c r="B544" s="28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</row>
    <row r="545">
      <c r="A545" s="280"/>
      <c r="B545" s="28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</row>
    <row r="546">
      <c r="A546" s="280"/>
      <c r="B546" s="28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</row>
    <row r="547">
      <c r="A547" s="280"/>
      <c r="B547" s="28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</row>
    <row r="548">
      <c r="A548" s="280"/>
      <c r="B548" s="28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</row>
    <row r="549">
      <c r="A549" s="280"/>
      <c r="B549" s="28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</row>
    <row r="550">
      <c r="A550" s="280"/>
      <c r="B550" s="28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</row>
    <row r="551">
      <c r="A551" s="280"/>
      <c r="B551" s="28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</row>
    <row r="552">
      <c r="A552" s="280"/>
      <c r="B552" s="28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</row>
    <row r="553">
      <c r="A553" s="280"/>
      <c r="B553" s="28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</row>
    <row r="554">
      <c r="A554" s="280"/>
      <c r="B554" s="28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</row>
    <row r="555">
      <c r="A555" s="280"/>
      <c r="B555" s="28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</row>
    <row r="556">
      <c r="A556" s="280"/>
      <c r="B556" s="28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</row>
    <row r="557">
      <c r="A557" s="280"/>
      <c r="B557" s="28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</row>
    <row r="558">
      <c r="A558" s="280"/>
      <c r="B558" s="28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</row>
    <row r="559">
      <c r="A559" s="280"/>
      <c r="B559" s="28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</row>
    <row r="560">
      <c r="A560" s="280"/>
      <c r="B560" s="28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</row>
    <row r="561">
      <c r="A561" s="280"/>
      <c r="B561" s="28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</row>
    <row r="562">
      <c r="A562" s="280"/>
      <c r="B562" s="28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</row>
    <row r="563">
      <c r="A563" s="280"/>
      <c r="B563" s="28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</row>
    <row r="564">
      <c r="A564" s="280"/>
      <c r="B564" s="28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</row>
    <row r="565">
      <c r="A565" s="280"/>
      <c r="B565" s="28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</row>
    <row r="566">
      <c r="A566" s="280"/>
      <c r="B566" s="28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</row>
    <row r="567">
      <c r="A567" s="280"/>
      <c r="B567" s="28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</row>
    <row r="568">
      <c r="A568" s="280"/>
      <c r="B568" s="28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</row>
    <row r="569">
      <c r="A569" s="280"/>
      <c r="B569" s="28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</row>
    <row r="570">
      <c r="A570" s="280"/>
      <c r="B570" s="28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</row>
    <row r="571">
      <c r="A571" s="280"/>
      <c r="B571" s="28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</row>
    <row r="572">
      <c r="A572" s="280"/>
      <c r="B572" s="28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</row>
    <row r="573">
      <c r="A573" s="280"/>
      <c r="B573" s="28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</row>
    <row r="574">
      <c r="A574" s="280"/>
      <c r="B574" s="28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</row>
    <row r="575">
      <c r="A575" s="280"/>
      <c r="B575" s="28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</row>
    <row r="576">
      <c r="A576" s="280"/>
      <c r="B576" s="28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</row>
    <row r="577">
      <c r="A577" s="280"/>
      <c r="B577" s="28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</row>
    <row r="578">
      <c r="A578" s="280"/>
      <c r="B578" s="28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</row>
    <row r="579">
      <c r="A579" s="280"/>
      <c r="B579" s="28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</row>
    <row r="580">
      <c r="A580" s="280"/>
      <c r="B580" s="28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</row>
    <row r="581">
      <c r="A581" s="280"/>
      <c r="B581" s="28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</row>
    <row r="582">
      <c r="A582" s="280"/>
      <c r="B582" s="28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</row>
    <row r="583">
      <c r="A583" s="280"/>
      <c r="B583" s="28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</row>
    <row r="584">
      <c r="A584" s="280"/>
      <c r="B584" s="28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</row>
    <row r="585">
      <c r="A585" s="280"/>
      <c r="B585" s="28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</row>
    <row r="586">
      <c r="A586" s="280"/>
      <c r="B586" s="28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</row>
    <row r="587">
      <c r="A587" s="280"/>
      <c r="B587" s="28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</row>
    <row r="588">
      <c r="A588" s="280"/>
      <c r="B588" s="28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</row>
    <row r="589">
      <c r="A589" s="280"/>
      <c r="B589" s="28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</row>
    <row r="590">
      <c r="A590" s="280"/>
      <c r="B590" s="28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</row>
    <row r="591">
      <c r="A591" s="280"/>
      <c r="B591" s="28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</row>
    <row r="592">
      <c r="A592" s="280"/>
      <c r="B592" s="28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</row>
    <row r="593">
      <c r="A593" s="280"/>
      <c r="B593" s="28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</row>
    <row r="594">
      <c r="A594" s="280"/>
      <c r="B594" s="28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</row>
    <row r="595">
      <c r="A595" s="280"/>
      <c r="B595" s="28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</row>
    <row r="596">
      <c r="A596" s="280"/>
      <c r="B596" s="28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</row>
    <row r="597">
      <c r="A597" s="280"/>
      <c r="B597" s="28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</row>
    <row r="598">
      <c r="A598" s="280"/>
      <c r="B598" s="28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</row>
    <row r="599">
      <c r="A599" s="280"/>
      <c r="B599" s="28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</row>
    <row r="600">
      <c r="A600" s="280"/>
      <c r="B600" s="28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</row>
    <row r="601">
      <c r="A601" s="280"/>
      <c r="B601" s="28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</row>
    <row r="602">
      <c r="A602" s="280"/>
      <c r="B602" s="28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</row>
    <row r="603">
      <c r="A603" s="280"/>
      <c r="B603" s="28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</row>
    <row r="604">
      <c r="A604" s="280"/>
      <c r="B604" s="28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</row>
    <row r="605">
      <c r="A605" s="280"/>
      <c r="B605" s="28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</row>
    <row r="606">
      <c r="A606" s="280"/>
      <c r="B606" s="28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</row>
    <row r="607">
      <c r="A607" s="280"/>
      <c r="B607" s="28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</row>
    <row r="608">
      <c r="A608" s="280"/>
      <c r="B608" s="28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</row>
    <row r="609">
      <c r="A609" s="280"/>
      <c r="B609" s="28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</row>
    <row r="610">
      <c r="A610" s="280"/>
      <c r="B610" s="28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</row>
    <row r="611">
      <c r="A611" s="280"/>
      <c r="B611" s="28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</row>
    <row r="612">
      <c r="A612" s="280"/>
      <c r="B612" s="28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</row>
    <row r="613">
      <c r="A613" s="280"/>
      <c r="B613" s="28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</row>
    <row r="614">
      <c r="A614" s="280"/>
      <c r="B614" s="28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</row>
    <row r="615">
      <c r="A615" s="280"/>
      <c r="B615" s="28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</row>
    <row r="616">
      <c r="A616" s="280"/>
      <c r="B616" s="28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</row>
    <row r="617">
      <c r="A617" s="280"/>
      <c r="B617" s="28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</row>
    <row r="618">
      <c r="A618" s="280"/>
      <c r="B618" s="28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</row>
    <row r="619">
      <c r="A619" s="280"/>
      <c r="B619" s="28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</row>
    <row r="620">
      <c r="A620" s="280"/>
      <c r="B620" s="28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</row>
    <row r="621">
      <c r="A621" s="280"/>
      <c r="B621" s="28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</row>
    <row r="622">
      <c r="A622" s="280"/>
      <c r="B622" s="28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</row>
    <row r="623">
      <c r="A623" s="280"/>
      <c r="B623" s="28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</row>
    <row r="624">
      <c r="A624" s="280"/>
      <c r="B624" s="28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</row>
    <row r="625">
      <c r="A625" s="280"/>
      <c r="B625" s="28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</row>
    <row r="626">
      <c r="A626" s="280"/>
      <c r="B626" s="28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</row>
    <row r="627">
      <c r="A627" s="280"/>
      <c r="B627" s="28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</row>
    <row r="628">
      <c r="A628" s="280"/>
      <c r="B628" s="28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</row>
    <row r="629">
      <c r="A629" s="280"/>
      <c r="B629" s="28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</row>
    <row r="630">
      <c r="A630" s="280"/>
      <c r="B630" s="28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</row>
    <row r="631">
      <c r="A631" s="280"/>
      <c r="B631" s="28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</row>
    <row r="632">
      <c r="A632" s="280"/>
      <c r="B632" s="28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</row>
    <row r="633">
      <c r="A633" s="280"/>
      <c r="B633" s="28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</row>
    <row r="634">
      <c r="A634" s="280"/>
      <c r="B634" s="28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</row>
    <row r="635">
      <c r="A635" s="280"/>
      <c r="B635" s="28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</row>
    <row r="636">
      <c r="A636" s="280"/>
      <c r="B636" s="28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</row>
    <row r="637">
      <c r="A637" s="280"/>
      <c r="B637" s="28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</row>
    <row r="638">
      <c r="A638" s="280"/>
      <c r="B638" s="28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</row>
    <row r="639">
      <c r="A639" s="280"/>
      <c r="B639" s="28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</row>
    <row r="640">
      <c r="A640" s="280"/>
      <c r="B640" s="28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</row>
    <row r="641">
      <c r="A641" s="280"/>
      <c r="B641" s="28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</row>
    <row r="642">
      <c r="A642" s="280"/>
      <c r="B642" s="28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</row>
    <row r="643">
      <c r="A643" s="280"/>
      <c r="B643" s="28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</row>
    <row r="644">
      <c r="A644" s="280"/>
      <c r="B644" s="28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</row>
    <row r="645">
      <c r="A645" s="280"/>
      <c r="B645" s="28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</row>
    <row r="646">
      <c r="A646" s="280"/>
      <c r="B646" s="28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</row>
    <row r="647">
      <c r="A647" s="280"/>
      <c r="B647" s="28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</row>
    <row r="648">
      <c r="A648" s="280"/>
      <c r="B648" s="28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</row>
    <row r="649">
      <c r="A649" s="280"/>
      <c r="B649" s="28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</row>
    <row r="650">
      <c r="A650" s="280"/>
      <c r="B650" s="28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</row>
    <row r="651">
      <c r="A651" s="280"/>
      <c r="B651" s="28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</row>
    <row r="652">
      <c r="A652" s="280"/>
      <c r="B652" s="28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</row>
    <row r="653">
      <c r="A653" s="280"/>
      <c r="B653" s="28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</row>
    <row r="654">
      <c r="A654" s="280"/>
      <c r="B654" s="28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</row>
    <row r="655">
      <c r="A655" s="280"/>
      <c r="B655" s="28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</row>
    <row r="656">
      <c r="A656" s="280"/>
      <c r="B656" s="28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</row>
    <row r="657">
      <c r="A657" s="280"/>
      <c r="B657" s="28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</row>
    <row r="658">
      <c r="A658" s="280"/>
      <c r="B658" s="28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</row>
    <row r="659">
      <c r="A659" s="280"/>
      <c r="B659" s="28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</row>
    <row r="660">
      <c r="A660" s="280"/>
      <c r="B660" s="28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</row>
    <row r="661">
      <c r="A661" s="280"/>
      <c r="B661" s="28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</row>
    <row r="662">
      <c r="A662" s="280"/>
      <c r="B662" s="28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</row>
    <row r="663">
      <c r="A663" s="280"/>
      <c r="B663" s="28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</row>
    <row r="664">
      <c r="A664" s="280"/>
      <c r="B664" s="28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</row>
    <row r="665">
      <c r="A665" s="280"/>
      <c r="B665" s="28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</row>
    <row r="666">
      <c r="A666" s="280"/>
      <c r="B666" s="28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</row>
    <row r="667">
      <c r="A667" s="280"/>
      <c r="B667" s="28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</row>
    <row r="668">
      <c r="A668" s="280"/>
      <c r="B668" s="28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</row>
    <row r="669">
      <c r="A669" s="280"/>
      <c r="B669" s="28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</row>
    <row r="670">
      <c r="A670" s="280"/>
      <c r="B670" s="28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</row>
    <row r="671">
      <c r="A671" s="280"/>
      <c r="B671" s="28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</row>
    <row r="672">
      <c r="A672" s="280"/>
      <c r="B672" s="28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</row>
    <row r="673">
      <c r="A673" s="280"/>
      <c r="B673" s="28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</row>
    <row r="674">
      <c r="A674" s="280"/>
      <c r="B674" s="28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</row>
    <row r="675">
      <c r="A675" s="280"/>
      <c r="B675" s="28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</row>
    <row r="676">
      <c r="A676" s="280"/>
      <c r="B676" s="28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</row>
    <row r="677">
      <c r="A677" s="280"/>
      <c r="B677" s="28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</row>
    <row r="678">
      <c r="A678" s="280"/>
      <c r="B678" s="28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</row>
    <row r="679">
      <c r="A679" s="280"/>
      <c r="B679" s="28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</row>
    <row r="680">
      <c r="A680" s="280"/>
      <c r="B680" s="28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</row>
    <row r="681">
      <c r="A681" s="280"/>
      <c r="B681" s="28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</row>
    <row r="682">
      <c r="A682" s="280"/>
      <c r="B682" s="28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</row>
    <row r="683">
      <c r="A683" s="280"/>
      <c r="B683" s="28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</row>
    <row r="684">
      <c r="A684" s="280"/>
      <c r="B684" s="28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</row>
    <row r="685">
      <c r="A685" s="280"/>
      <c r="B685" s="28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</row>
    <row r="686">
      <c r="A686" s="280"/>
      <c r="B686" s="28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</row>
    <row r="687">
      <c r="A687" s="280"/>
      <c r="B687" s="28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</row>
    <row r="688">
      <c r="A688" s="280"/>
      <c r="B688" s="28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</row>
    <row r="689">
      <c r="A689" s="280"/>
      <c r="B689" s="28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</row>
    <row r="690">
      <c r="A690" s="280"/>
      <c r="B690" s="28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</row>
    <row r="691">
      <c r="A691" s="280"/>
      <c r="B691" s="28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</row>
    <row r="692">
      <c r="A692" s="280"/>
      <c r="B692" s="28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</row>
    <row r="693">
      <c r="A693" s="280"/>
      <c r="B693" s="28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</row>
    <row r="694">
      <c r="A694" s="280"/>
      <c r="B694" s="28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</row>
    <row r="695">
      <c r="A695" s="280"/>
      <c r="B695" s="28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</row>
    <row r="696">
      <c r="A696" s="280"/>
      <c r="B696" s="28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</row>
    <row r="697">
      <c r="A697" s="280"/>
      <c r="B697" s="28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</row>
    <row r="698">
      <c r="A698" s="280"/>
      <c r="B698" s="28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</row>
    <row r="699">
      <c r="A699" s="280"/>
      <c r="B699" s="28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</row>
    <row r="700">
      <c r="A700" s="280"/>
      <c r="B700" s="28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</row>
    <row r="701">
      <c r="A701" s="280"/>
      <c r="B701" s="28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</row>
    <row r="702">
      <c r="A702" s="280"/>
      <c r="B702" s="28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</row>
    <row r="703">
      <c r="A703" s="280"/>
      <c r="B703" s="28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</row>
    <row r="704">
      <c r="A704" s="280"/>
      <c r="B704" s="28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</row>
    <row r="705">
      <c r="A705" s="280"/>
      <c r="B705" s="28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</row>
    <row r="706">
      <c r="A706" s="280"/>
      <c r="B706" s="28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</row>
    <row r="707">
      <c r="A707" s="280"/>
      <c r="B707" s="28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</row>
    <row r="708">
      <c r="A708" s="280"/>
      <c r="B708" s="28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</row>
    <row r="709">
      <c r="A709" s="280"/>
      <c r="B709" s="28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</row>
    <row r="710">
      <c r="A710" s="280"/>
      <c r="B710" s="28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</row>
    <row r="711">
      <c r="A711" s="280"/>
      <c r="B711" s="28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</row>
    <row r="712">
      <c r="A712" s="280"/>
      <c r="B712" s="28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</row>
    <row r="713">
      <c r="A713" s="280"/>
      <c r="B713" s="28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</row>
    <row r="714">
      <c r="A714" s="280"/>
      <c r="B714" s="28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</row>
    <row r="715">
      <c r="A715" s="280"/>
      <c r="B715" s="28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</row>
    <row r="716">
      <c r="A716" s="280"/>
      <c r="B716" s="28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</row>
    <row r="717">
      <c r="A717" s="280"/>
      <c r="B717" s="28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</row>
    <row r="718">
      <c r="A718" s="280"/>
      <c r="B718" s="28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</row>
    <row r="719">
      <c r="A719" s="280"/>
      <c r="B719" s="28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</row>
    <row r="720">
      <c r="A720" s="280"/>
      <c r="B720" s="28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</row>
    <row r="721">
      <c r="A721" s="280"/>
      <c r="B721" s="28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</row>
    <row r="722">
      <c r="A722" s="280"/>
      <c r="B722" s="28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</row>
    <row r="723">
      <c r="A723" s="280"/>
      <c r="B723" s="28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</row>
    <row r="724">
      <c r="A724" s="280"/>
      <c r="B724" s="28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</row>
    <row r="725">
      <c r="A725" s="280"/>
      <c r="B725" s="28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</row>
    <row r="726">
      <c r="A726" s="280"/>
      <c r="B726" s="28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</row>
    <row r="727">
      <c r="A727" s="280"/>
      <c r="B727" s="28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</row>
    <row r="728">
      <c r="A728" s="280"/>
      <c r="B728" s="28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</row>
    <row r="729">
      <c r="A729" s="280"/>
      <c r="B729" s="28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</row>
    <row r="730">
      <c r="A730" s="280"/>
      <c r="B730" s="28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</row>
    <row r="731">
      <c r="A731" s="280"/>
      <c r="B731" s="28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</row>
    <row r="732">
      <c r="A732" s="280"/>
      <c r="B732" s="28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</row>
    <row r="733">
      <c r="A733" s="280"/>
      <c r="B733" s="28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</row>
    <row r="734">
      <c r="A734" s="280"/>
      <c r="B734" s="28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</row>
    <row r="735">
      <c r="A735" s="280"/>
      <c r="B735" s="28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</row>
    <row r="736">
      <c r="A736" s="280"/>
      <c r="B736" s="28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</row>
    <row r="737">
      <c r="A737" s="280"/>
      <c r="B737" s="28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</row>
    <row r="738">
      <c r="A738" s="280"/>
      <c r="B738" s="28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</row>
    <row r="739">
      <c r="A739" s="280"/>
      <c r="B739" s="28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</row>
    <row r="740">
      <c r="A740" s="280"/>
      <c r="B740" s="28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</row>
    <row r="741">
      <c r="A741" s="280"/>
      <c r="B741" s="28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</row>
    <row r="742">
      <c r="A742" s="280"/>
      <c r="B742" s="28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</row>
    <row r="743">
      <c r="A743" s="280"/>
      <c r="B743" s="28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</row>
    <row r="744">
      <c r="A744" s="280"/>
      <c r="B744" s="28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</row>
    <row r="745">
      <c r="A745" s="280"/>
      <c r="B745" s="28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</row>
    <row r="746">
      <c r="A746" s="280"/>
      <c r="B746" s="28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</row>
    <row r="747">
      <c r="A747" s="280"/>
      <c r="B747" s="28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</row>
    <row r="748">
      <c r="A748" s="280"/>
      <c r="B748" s="28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</row>
    <row r="749">
      <c r="A749" s="280"/>
      <c r="B749" s="28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</row>
    <row r="750">
      <c r="A750" s="280"/>
      <c r="B750" s="28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</row>
    <row r="751">
      <c r="A751" s="280"/>
      <c r="B751" s="28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</row>
    <row r="752">
      <c r="A752" s="280"/>
      <c r="B752" s="28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</row>
    <row r="753">
      <c r="A753" s="280"/>
      <c r="B753" s="28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</row>
    <row r="754">
      <c r="A754" s="280"/>
      <c r="B754" s="28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</row>
    <row r="755">
      <c r="A755" s="280"/>
      <c r="B755" s="28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</row>
    <row r="756">
      <c r="A756" s="280"/>
      <c r="B756" s="28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</row>
    <row r="757">
      <c r="A757" s="280"/>
      <c r="B757" s="28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</row>
    <row r="758">
      <c r="A758" s="280"/>
      <c r="B758" s="28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</row>
    <row r="759">
      <c r="A759" s="280"/>
      <c r="B759" s="28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</row>
    <row r="760">
      <c r="A760" s="280"/>
      <c r="B760" s="28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</row>
    <row r="761">
      <c r="A761" s="280"/>
      <c r="B761" s="28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</row>
    <row r="762">
      <c r="A762" s="280"/>
      <c r="B762" s="28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</row>
    <row r="763">
      <c r="A763" s="280"/>
      <c r="B763" s="28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</row>
    <row r="764">
      <c r="A764" s="280"/>
      <c r="B764" s="28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</row>
    <row r="765">
      <c r="A765" s="280"/>
      <c r="B765" s="28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</row>
    <row r="766">
      <c r="A766" s="280"/>
      <c r="B766" s="28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</row>
    <row r="767">
      <c r="A767" s="280"/>
      <c r="B767" s="28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</row>
    <row r="768">
      <c r="A768" s="280"/>
      <c r="B768" s="28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</row>
    <row r="769">
      <c r="A769" s="280"/>
      <c r="B769" s="28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</row>
    <row r="770">
      <c r="A770" s="280"/>
      <c r="B770" s="28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</row>
    <row r="771">
      <c r="A771" s="280"/>
      <c r="B771" s="28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</row>
    <row r="772">
      <c r="A772" s="280"/>
      <c r="B772" s="28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</row>
    <row r="773">
      <c r="A773" s="280"/>
      <c r="B773" s="28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</row>
    <row r="774">
      <c r="A774" s="280"/>
      <c r="B774" s="28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</row>
    <row r="775">
      <c r="A775" s="280"/>
      <c r="B775" s="28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</row>
    <row r="776">
      <c r="A776" s="280"/>
      <c r="B776" s="28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</row>
    <row r="777">
      <c r="A777" s="280"/>
      <c r="B777" s="28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</row>
    <row r="778">
      <c r="A778" s="280"/>
      <c r="B778" s="28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</row>
    <row r="779">
      <c r="A779" s="280"/>
      <c r="B779" s="28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</row>
    <row r="780">
      <c r="A780" s="280"/>
      <c r="B780" s="28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</row>
    <row r="781">
      <c r="A781" s="280"/>
      <c r="B781" s="28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</row>
    <row r="782">
      <c r="A782" s="280"/>
      <c r="B782" s="28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</row>
    <row r="783">
      <c r="A783" s="280"/>
      <c r="B783" s="28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</row>
    <row r="784">
      <c r="A784" s="280"/>
      <c r="B784" s="28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</row>
    <row r="785">
      <c r="A785" s="280"/>
      <c r="B785" s="28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</row>
    <row r="786">
      <c r="A786" s="280"/>
      <c r="B786" s="28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</row>
    <row r="787">
      <c r="A787" s="280"/>
      <c r="B787" s="28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</row>
    <row r="788">
      <c r="A788" s="280"/>
      <c r="B788" s="28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</row>
    <row r="789">
      <c r="A789" s="280"/>
      <c r="B789" s="28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</row>
    <row r="790">
      <c r="A790" s="280"/>
      <c r="B790" s="28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</row>
    <row r="791">
      <c r="A791" s="280"/>
      <c r="B791" s="28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</row>
    <row r="792">
      <c r="A792" s="280"/>
      <c r="B792" s="28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</row>
    <row r="793">
      <c r="A793" s="280"/>
      <c r="B793" s="28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</row>
    <row r="794">
      <c r="A794" s="280"/>
      <c r="B794" s="28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</row>
    <row r="795">
      <c r="A795" s="280"/>
      <c r="B795" s="28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</row>
    <row r="796">
      <c r="A796" s="280"/>
      <c r="B796" s="28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</row>
    <row r="797">
      <c r="A797" s="280"/>
      <c r="B797" s="28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</row>
    <row r="798">
      <c r="A798" s="280"/>
      <c r="B798" s="28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</row>
    <row r="799">
      <c r="A799" s="280"/>
      <c r="B799" s="28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</row>
    <row r="800">
      <c r="A800" s="280"/>
      <c r="B800" s="28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</row>
    <row r="801">
      <c r="A801" s="280"/>
      <c r="B801" s="28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</row>
    <row r="802">
      <c r="A802" s="280"/>
      <c r="B802" s="28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</row>
    <row r="803">
      <c r="A803" s="280"/>
      <c r="B803" s="28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</row>
    <row r="804">
      <c r="A804" s="280"/>
      <c r="B804" s="28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</row>
    <row r="805">
      <c r="A805" s="280"/>
      <c r="B805" s="28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</row>
    <row r="806">
      <c r="A806" s="280"/>
      <c r="B806" s="28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</row>
    <row r="807">
      <c r="A807" s="280"/>
      <c r="B807" s="28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</row>
    <row r="808">
      <c r="A808" s="280"/>
      <c r="B808" s="28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</row>
    <row r="809">
      <c r="A809" s="280"/>
      <c r="B809" s="28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</row>
    <row r="810">
      <c r="A810" s="280"/>
      <c r="B810" s="28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</row>
    <row r="811">
      <c r="A811" s="280"/>
      <c r="B811" s="28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</row>
    <row r="812">
      <c r="A812" s="280"/>
      <c r="B812" s="28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</row>
    <row r="813">
      <c r="A813" s="280"/>
      <c r="B813" s="28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</row>
    <row r="814">
      <c r="A814" s="280"/>
      <c r="B814" s="28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</row>
    <row r="815">
      <c r="A815" s="280"/>
      <c r="B815" s="28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</row>
    <row r="816">
      <c r="A816" s="280"/>
      <c r="B816" s="28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</row>
    <row r="817">
      <c r="A817" s="280"/>
      <c r="B817" s="28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</row>
    <row r="818">
      <c r="A818" s="280"/>
      <c r="B818" s="28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</row>
    <row r="819">
      <c r="A819" s="280"/>
      <c r="B819" s="28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</row>
    <row r="820">
      <c r="A820" s="280"/>
      <c r="B820" s="28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</row>
    <row r="821">
      <c r="A821" s="280"/>
      <c r="B821" s="28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</row>
    <row r="822">
      <c r="A822" s="280"/>
      <c r="B822" s="28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</row>
    <row r="823">
      <c r="A823" s="280"/>
      <c r="B823" s="28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</row>
    <row r="824">
      <c r="A824" s="280"/>
      <c r="B824" s="28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</row>
    <row r="825">
      <c r="A825" s="280"/>
      <c r="B825" s="28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</row>
    <row r="826">
      <c r="A826" s="280"/>
      <c r="B826" s="28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</row>
    <row r="827">
      <c r="A827" s="280"/>
      <c r="B827" s="28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</row>
    <row r="828">
      <c r="A828" s="280"/>
      <c r="B828" s="28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</row>
    <row r="829">
      <c r="A829" s="280"/>
      <c r="B829" s="28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</row>
    <row r="830">
      <c r="A830" s="280"/>
      <c r="B830" s="28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</row>
    <row r="831">
      <c r="A831" s="280"/>
      <c r="B831" s="28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</row>
    <row r="832">
      <c r="A832" s="280"/>
      <c r="B832" s="28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</row>
    <row r="833">
      <c r="A833" s="280"/>
      <c r="B833" s="28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</row>
    <row r="834">
      <c r="A834" s="280"/>
      <c r="B834" s="28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</row>
    <row r="835">
      <c r="A835" s="280"/>
      <c r="B835" s="28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</row>
    <row r="836">
      <c r="A836" s="280"/>
      <c r="B836" s="28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</row>
    <row r="837">
      <c r="A837" s="280"/>
      <c r="B837" s="28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</row>
    <row r="838">
      <c r="A838" s="280"/>
      <c r="B838" s="28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</row>
    <row r="839">
      <c r="A839" s="280"/>
      <c r="B839" s="28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</row>
    <row r="840">
      <c r="A840" s="280"/>
      <c r="B840" s="28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</row>
    <row r="841">
      <c r="A841" s="280"/>
      <c r="B841" s="28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</row>
    <row r="842">
      <c r="A842" s="280"/>
      <c r="B842" s="28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</row>
    <row r="843">
      <c r="A843" s="280"/>
      <c r="B843" s="28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</row>
    <row r="844">
      <c r="A844" s="280"/>
      <c r="B844" s="28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</row>
    <row r="845">
      <c r="A845" s="280"/>
      <c r="B845" s="28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</row>
    <row r="846">
      <c r="A846" s="280"/>
      <c r="B846" s="28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</row>
    <row r="847">
      <c r="A847" s="280"/>
      <c r="B847" s="28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</row>
    <row r="848">
      <c r="A848" s="280"/>
      <c r="B848" s="28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</row>
    <row r="849">
      <c r="A849" s="280"/>
      <c r="B849" s="28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</row>
    <row r="850">
      <c r="A850" s="280"/>
      <c r="B850" s="28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</row>
    <row r="851">
      <c r="A851" s="280"/>
      <c r="B851" s="28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</row>
    <row r="852">
      <c r="A852" s="280"/>
      <c r="B852" s="28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</row>
    <row r="853">
      <c r="A853" s="280"/>
      <c r="B853" s="28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</row>
    <row r="854">
      <c r="A854" s="280"/>
      <c r="B854" s="28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</row>
    <row r="855">
      <c r="A855" s="280"/>
      <c r="B855" s="28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</row>
    <row r="856">
      <c r="A856" s="280"/>
      <c r="B856" s="28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</row>
    <row r="857">
      <c r="A857" s="280"/>
      <c r="B857" s="28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</row>
    <row r="858">
      <c r="A858" s="280"/>
      <c r="B858" s="28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</row>
    <row r="859">
      <c r="A859" s="280"/>
      <c r="B859" s="28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</row>
    <row r="860">
      <c r="A860" s="280"/>
      <c r="B860" s="28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</row>
    <row r="861">
      <c r="A861" s="280"/>
      <c r="B861" s="28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</row>
    <row r="862">
      <c r="A862" s="280"/>
      <c r="B862" s="28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</row>
    <row r="863">
      <c r="A863" s="280"/>
      <c r="B863" s="28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</row>
    <row r="864">
      <c r="A864" s="280"/>
      <c r="B864" s="28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</row>
    <row r="865">
      <c r="A865" s="280"/>
      <c r="B865" s="28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</row>
    <row r="866">
      <c r="A866" s="280"/>
      <c r="B866" s="28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</row>
    <row r="867">
      <c r="A867" s="280"/>
      <c r="B867" s="28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</row>
    <row r="868">
      <c r="A868" s="280"/>
      <c r="B868" s="28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</row>
    <row r="869">
      <c r="A869" s="280"/>
      <c r="B869" s="28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</row>
    <row r="870">
      <c r="A870" s="280"/>
      <c r="B870" s="28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</row>
    <row r="871">
      <c r="A871" s="280"/>
      <c r="B871" s="28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</row>
    <row r="872">
      <c r="A872" s="280"/>
      <c r="B872" s="28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</row>
    <row r="873">
      <c r="A873" s="280"/>
      <c r="B873" s="28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</row>
    <row r="874">
      <c r="A874" s="280"/>
      <c r="B874" s="28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</row>
    <row r="875">
      <c r="A875" s="280"/>
      <c r="B875" s="28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</row>
    <row r="876">
      <c r="A876" s="280"/>
      <c r="B876" s="28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</row>
    <row r="877">
      <c r="A877" s="280"/>
      <c r="B877" s="28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</row>
    <row r="878">
      <c r="A878" s="280"/>
      <c r="B878" s="28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</row>
    <row r="879">
      <c r="A879" s="280"/>
      <c r="B879" s="28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</row>
    <row r="880">
      <c r="A880" s="280"/>
      <c r="B880" s="28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</row>
    <row r="881">
      <c r="A881" s="280"/>
      <c r="B881" s="28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</row>
    <row r="882">
      <c r="A882" s="280"/>
      <c r="B882" s="28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</row>
    <row r="883">
      <c r="A883" s="280"/>
      <c r="B883" s="28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</row>
    <row r="884">
      <c r="A884" s="280"/>
      <c r="B884" s="28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</row>
    <row r="885">
      <c r="A885" s="280"/>
      <c r="B885" s="28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</row>
    <row r="886">
      <c r="A886" s="280"/>
      <c r="B886" s="28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</row>
    <row r="887">
      <c r="A887" s="280"/>
      <c r="B887" s="28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</row>
    <row r="888">
      <c r="A888" s="280"/>
      <c r="B888" s="28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</row>
    <row r="889">
      <c r="A889" s="280"/>
      <c r="B889" s="28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</row>
    <row r="890">
      <c r="A890" s="280"/>
      <c r="B890" s="28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</row>
    <row r="891">
      <c r="A891" s="280"/>
      <c r="B891" s="28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</row>
    <row r="892">
      <c r="A892" s="280"/>
      <c r="B892" s="28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</row>
    <row r="893">
      <c r="A893" s="280"/>
      <c r="B893" s="28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</row>
    <row r="894">
      <c r="A894" s="280"/>
      <c r="B894" s="28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</row>
    <row r="895">
      <c r="A895" s="280"/>
      <c r="B895" s="28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</row>
    <row r="896">
      <c r="A896" s="280"/>
      <c r="B896" s="28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</row>
    <row r="897">
      <c r="A897" s="280"/>
      <c r="B897" s="28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</row>
    <row r="898">
      <c r="A898" s="280"/>
      <c r="B898" s="28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</row>
    <row r="899">
      <c r="A899" s="280"/>
      <c r="B899" s="28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</row>
    <row r="900">
      <c r="A900" s="280"/>
      <c r="B900" s="28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</row>
    <row r="901">
      <c r="A901" s="280"/>
      <c r="B901" s="28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</row>
    <row r="902">
      <c r="A902" s="280"/>
      <c r="B902" s="28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</row>
    <row r="903">
      <c r="A903" s="280"/>
      <c r="B903" s="28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</row>
    <row r="904">
      <c r="A904" s="280"/>
      <c r="B904" s="28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</row>
    <row r="905">
      <c r="A905" s="280"/>
      <c r="B905" s="28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</row>
    <row r="906">
      <c r="A906" s="280"/>
      <c r="B906" s="28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</row>
    <row r="907">
      <c r="A907" s="280"/>
      <c r="B907" s="28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</row>
    <row r="908">
      <c r="A908" s="280"/>
      <c r="B908" s="28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</row>
    <row r="909">
      <c r="A909" s="280"/>
      <c r="B909" s="28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</row>
    <row r="910">
      <c r="A910" s="280"/>
      <c r="B910" s="28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</row>
    <row r="911">
      <c r="A911" s="280"/>
      <c r="B911" s="28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</row>
    <row r="912">
      <c r="A912" s="280"/>
      <c r="B912" s="28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</row>
    <row r="913">
      <c r="A913" s="280"/>
      <c r="B913" s="28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</row>
    <row r="914">
      <c r="A914" s="280"/>
      <c r="B914" s="28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</row>
    <row r="915">
      <c r="A915" s="280"/>
      <c r="B915" s="28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</row>
    <row r="916">
      <c r="A916" s="280"/>
      <c r="B916" s="28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</row>
    <row r="917">
      <c r="A917" s="280"/>
      <c r="B917" s="28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</row>
    <row r="918">
      <c r="A918" s="280"/>
      <c r="B918" s="28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</row>
    <row r="919">
      <c r="A919" s="280"/>
      <c r="B919" s="28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</row>
    <row r="920">
      <c r="A920" s="280"/>
      <c r="B920" s="28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</row>
    <row r="921">
      <c r="A921" s="280"/>
      <c r="B921" s="28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</row>
    <row r="922">
      <c r="A922" s="280"/>
      <c r="B922" s="28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</row>
    <row r="923">
      <c r="A923" s="280"/>
      <c r="B923" s="28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</row>
    <row r="924">
      <c r="A924" s="280"/>
      <c r="B924" s="28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</row>
    <row r="925">
      <c r="A925" s="280"/>
      <c r="B925" s="28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</row>
    <row r="926">
      <c r="A926" s="280"/>
      <c r="B926" s="28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</row>
    <row r="927">
      <c r="A927" s="280"/>
      <c r="B927" s="28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</row>
    <row r="928">
      <c r="A928" s="280"/>
      <c r="B928" s="28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</row>
    <row r="929">
      <c r="A929" s="280"/>
      <c r="B929" s="28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</row>
    <row r="930">
      <c r="A930" s="280"/>
      <c r="B930" s="28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</row>
    <row r="931">
      <c r="A931" s="280"/>
      <c r="B931" s="28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</row>
    <row r="932">
      <c r="A932" s="280"/>
      <c r="B932" s="28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</row>
    <row r="933">
      <c r="A933" s="280"/>
      <c r="B933" s="28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</row>
    <row r="934">
      <c r="A934" s="280"/>
      <c r="B934" s="28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</row>
    <row r="935">
      <c r="A935" s="280"/>
      <c r="B935" s="28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</row>
    <row r="936">
      <c r="A936" s="280"/>
      <c r="B936" s="28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</row>
    <row r="937">
      <c r="A937" s="280"/>
      <c r="B937" s="28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</row>
    <row r="938">
      <c r="A938" s="280"/>
      <c r="B938" s="28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</row>
    <row r="939">
      <c r="A939" s="280"/>
      <c r="B939" s="28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</row>
    <row r="940">
      <c r="A940" s="280"/>
      <c r="B940" s="28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</row>
    <row r="941">
      <c r="A941" s="280"/>
      <c r="B941" s="28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</row>
    <row r="942">
      <c r="A942" s="280"/>
      <c r="B942" s="28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</row>
    <row r="943">
      <c r="A943" s="280"/>
      <c r="B943" s="28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</row>
    <row r="944">
      <c r="A944" s="280"/>
      <c r="B944" s="28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</row>
    <row r="945">
      <c r="A945" s="280"/>
      <c r="B945" s="28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</row>
    <row r="946">
      <c r="A946" s="280"/>
      <c r="B946" s="28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</row>
    <row r="947">
      <c r="A947" s="280"/>
      <c r="B947" s="28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</row>
    <row r="948">
      <c r="A948" s="280"/>
      <c r="B948" s="28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</row>
    <row r="949">
      <c r="A949" s="280"/>
      <c r="B949" s="28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</row>
    <row r="950">
      <c r="A950" s="280"/>
      <c r="B950" s="28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</row>
    <row r="951">
      <c r="A951" s="280"/>
      <c r="B951" s="28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</row>
    <row r="952">
      <c r="A952" s="280"/>
      <c r="B952" s="28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</row>
    <row r="953">
      <c r="A953" s="280"/>
      <c r="B953" s="28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</row>
    <row r="954">
      <c r="A954" s="280"/>
      <c r="B954" s="28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</row>
    <row r="955">
      <c r="A955" s="280"/>
      <c r="B955" s="28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</row>
    <row r="956">
      <c r="A956" s="280"/>
      <c r="B956" s="28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</row>
    <row r="957">
      <c r="A957" s="280"/>
      <c r="B957" s="28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</row>
    <row r="958">
      <c r="A958" s="280"/>
      <c r="B958" s="28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</row>
    <row r="959">
      <c r="A959" s="280"/>
      <c r="B959" s="28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</row>
    <row r="960">
      <c r="A960" s="280"/>
      <c r="B960" s="28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</row>
    <row r="961">
      <c r="A961" s="280"/>
      <c r="B961" s="28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</row>
    <row r="962">
      <c r="A962" s="280"/>
      <c r="B962" s="28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</row>
    <row r="963">
      <c r="A963" s="280"/>
      <c r="B963" s="28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</row>
    <row r="964">
      <c r="A964" s="280"/>
      <c r="B964" s="28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</row>
    <row r="965">
      <c r="A965" s="280"/>
      <c r="B965" s="28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</row>
    <row r="966">
      <c r="A966" s="280"/>
      <c r="B966" s="28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</row>
    <row r="967">
      <c r="A967" s="280"/>
      <c r="B967" s="28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</row>
    <row r="968">
      <c r="A968" s="280"/>
      <c r="B968" s="28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</row>
    <row r="969">
      <c r="A969" s="280"/>
      <c r="B969" s="28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</row>
    <row r="970">
      <c r="A970" s="280"/>
      <c r="B970" s="28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</row>
    <row r="971">
      <c r="A971" s="280"/>
      <c r="B971" s="28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</row>
    <row r="972">
      <c r="A972" s="280"/>
      <c r="B972" s="28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</row>
    <row r="973">
      <c r="A973" s="280"/>
      <c r="B973" s="28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</row>
    <row r="974">
      <c r="A974" s="280"/>
      <c r="B974" s="28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</row>
    <row r="975">
      <c r="A975" s="280"/>
      <c r="B975" s="28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</row>
    <row r="976">
      <c r="A976" s="280"/>
      <c r="B976" s="28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</row>
    <row r="977">
      <c r="A977" s="280"/>
      <c r="B977" s="28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</row>
    <row r="978">
      <c r="A978" s="280"/>
      <c r="B978" s="28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</row>
    <row r="979">
      <c r="A979" s="280"/>
      <c r="B979" s="28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</row>
    <row r="980">
      <c r="A980" s="280"/>
      <c r="B980" s="28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</row>
    <row r="981">
      <c r="A981" s="280"/>
      <c r="B981" s="28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</row>
    <row r="982">
      <c r="A982" s="280"/>
      <c r="B982" s="28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</row>
    <row r="983">
      <c r="A983" s="280"/>
      <c r="B983" s="28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</row>
    <row r="984">
      <c r="A984" s="280"/>
      <c r="B984" s="28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</row>
    <row r="985">
      <c r="A985" s="280"/>
      <c r="B985" s="28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</row>
    <row r="986">
      <c r="A986" s="280"/>
      <c r="B986" s="28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</row>
    <row r="987">
      <c r="A987" s="280"/>
      <c r="B987" s="28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</row>
    <row r="988">
      <c r="A988" s="280"/>
      <c r="B988" s="28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</row>
    <row r="989">
      <c r="A989" s="280"/>
      <c r="B989" s="28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</row>
    <row r="990">
      <c r="A990" s="280"/>
      <c r="B990" s="28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</row>
    <row r="991">
      <c r="A991" s="280"/>
      <c r="B991" s="28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</row>
    <row r="992">
      <c r="A992" s="280"/>
      <c r="B992" s="28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</row>
    <row r="993">
      <c r="A993" s="280"/>
      <c r="B993" s="28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</row>
    <row r="994">
      <c r="A994" s="280"/>
      <c r="B994" s="28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</row>
    <row r="995">
      <c r="A995" s="280"/>
      <c r="B995" s="28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</row>
    <row r="996">
      <c r="A996" s="280"/>
      <c r="B996" s="28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</row>
    <row r="997">
      <c r="A997" s="280"/>
      <c r="B997" s="28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</row>
  </sheetData>
  <mergeCells count="3">
    <mergeCell ref="A1:C1"/>
    <mergeCell ref="A2:C2"/>
    <mergeCell ref="A46:C4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8" max="8" width="16.88"/>
  </cols>
  <sheetData>
    <row r="1">
      <c r="A1" s="281"/>
      <c r="B1" s="282" t="s">
        <v>725</v>
      </c>
      <c r="D1" s="281"/>
      <c r="E1" s="281"/>
      <c r="F1" s="281"/>
      <c r="G1" s="281"/>
      <c r="H1" s="282" t="s">
        <v>726</v>
      </c>
      <c r="J1" s="281"/>
      <c r="K1" s="281"/>
    </row>
    <row r="2">
      <c r="A2" s="281"/>
      <c r="D2" s="281"/>
      <c r="E2" s="281"/>
      <c r="F2" s="281"/>
      <c r="G2" s="281"/>
      <c r="J2" s="281"/>
      <c r="K2" s="281"/>
    </row>
    <row r="3">
      <c r="A3" s="281" t="s">
        <v>33</v>
      </c>
      <c r="B3" s="281" t="s">
        <v>727</v>
      </c>
      <c r="C3" s="281" t="s">
        <v>728</v>
      </c>
      <c r="D3" s="281" t="s">
        <v>92</v>
      </c>
      <c r="E3" s="281" t="s">
        <v>93</v>
      </c>
      <c r="F3" s="281"/>
      <c r="G3" s="281" t="s">
        <v>33</v>
      </c>
      <c r="H3" s="281" t="s">
        <v>727</v>
      </c>
      <c r="I3" s="281" t="s">
        <v>728</v>
      </c>
      <c r="J3" s="281" t="s">
        <v>92</v>
      </c>
      <c r="K3" s="281" t="s">
        <v>93</v>
      </c>
    </row>
    <row r="4">
      <c r="A4" s="281"/>
      <c r="B4" s="281"/>
      <c r="C4" s="281"/>
      <c r="D4" s="281"/>
      <c r="E4" s="281"/>
      <c r="F4" s="281"/>
      <c r="G4" s="281"/>
      <c r="H4" s="281"/>
      <c r="I4" s="281"/>
      <c r="J4" s="281"/>
      <c r="K4" s="281"/>
    </row>
    <row r="5">
      <c r="A5" s="283">
        <v>46177.0</v>
      </c>
      <c r="B5" s="281" t="s">
        <v>729</v>
      </c>
      <c r="C5" s="284">
        <v>1.0</v>
      </c>
      <c r="D5" s="284">
        <v>1.0</v>
      </c>
      <c r="E5" s="281"/>
      <c r="F5" s="281"/>
      <c r="G5" s="283">
        <v>46180.0</v>
      </c>
      <c r="H5" s="281" t="s">
        <v>730</v>
      </c>
      <c r="I5" s="284">
        <v>8.0</v>
      </c>
      <c r="J5" s="284">
        <v>8.0</v>
      </c>
      <c r="K5" s="281"/>
    </row>
    <row r="6">
      <c r="A6" s="283">
        <v>46177.0</v>
      </c>
      <c r="B6" s="281" t="s">
        <v>731</v>
      </c>
      <c r="C6" s="284">
        <v>6.0</v>
      </c>
      <c r="D6" s="284">
        <f>D5+C6</f>
        <v>7</v>
      </c>
      <c r="E6" s="281"/>
      <c r="F6" s="281"/>
      <c r="G6" s="283">
        <v>46181.0</v>
      </c>
      <c r="H6" s="281" t="s">
        <v>732</v>
      </c>
      <c r="I6" s="284">
        <v>10.0</v>
      </c>
      <c r="J6" s="284">
        <f>J5+I6</f>
        <v>18</v>
      </c>
      <c r="K6" s="281"/>
    </row>
    <row r="7">
      <c r="A7" s="281"/>
      <c r="B7" s="281"/>
      <c r="C7" s="281"/>
      <c r="D7" s="281"/>
      <c r="E7" s="281"/>
      <c r="F7" s="281"/>
      <c r="G7" s="281"/>
      <c r="H7" s="281"/>
      <c r="I7" s="281"/>
      <c r="J7" s="281"/>
      <c r="K7" s="281"/>
    </row>
  </sheetData>
  <mergeCells count="2">
    <mergeCell ref="B1:C2"/>
    <mergeCell ref="H1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0"/>
    <col customWidth="1" min="2" max="2" width="20.13"/>
    <col customWidth="1" min="3" max="3" width="24.63"/>
    <col customWidth="1" min="4" max="4" width="14.13"/>
    <col customWidth="1" min="5" max="5" width="10.0"/>
    <col customWidth="1" min="6" max="6" width="8.88"/>
    <col customWidth="1" min="7" max="7" width="10.0"/>
    <col customWidth="1" min="8" max="8" width="12.13"/>
    <col customWidth="1" min="9" max="9" width="6.13"/>
    <col customWidth="1" min="10" max="10" width="14.38"/>
    <col customWidth="1" min="11" max="11" width="9.13"/>
    <col customWidth="1" min="12" max="12" width="20.38"/>
    <col customWidth="1" min="13" max="13" width="35.63"/>
    <col customWidth="1" min="14" max="14" width="14.25"/>
  </cols>
  <sheetData>
    <row r="1">
      <c r="A1" s="285"/>
      <c r="B1" s="286" t="s">
        <v>722</v>
      </c>
      <c r="C1" s="287" t="s">
        <v>733</v>
      </c>
      <c r="D1" s="287" t="s">
        <v>734</v>
      </c>
      <c r="E1" s="287"/>
      <c r="F1" s="287" t="s">
        <v>735</v>
      </c>
      <c r="G1" s="287" t="s">
        <v>736</v>
      </c>
      <c r="H1" s="287" t="s">
        <v>737</v>
      </c>
      <c r="I1" s="287" t="s">
        <v>738</v>
      </c>
      <c r="J1" s="287" t="s">
        <v>739</v>
      </c>
      <c r="K1" s="287" t="s">
        <v>740</v>
      </c>
      <c r="L1" s="287" t="s">
        <v>741</v>
      </c>
      <c r="M1" s="287" t="s">
        <v>742</v>
      </c>
      <c r="N1" s="287" t="s">
        <v>743</v>
      </c>
      <c r="O1" s="288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</row>
    <row r="2">
      <c r="A2" s="290" t="s">
        <v>744</v>
      </c>
      <c r="B2" s="156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</row>
    <row r="3">
      <c r="A3" s="290" t="s">
        <v>721</v>
      </c>
      <c r="B3" s="156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</row>
    <row r="4">
      <c r="A4" s="117">
        <v>1.0</v>
      </c>
      <c r="B4" s="97" t="s">
        <v>745</v>
      </c>
      <c r="C4" s="117">
        <v>1.923204818E9</v>
      </c>
      <c r="D4" s="294">
        <v>45400.0</v>
      </c>
      <c r="E4" s="117" t="s">
        <v>746</v>
      </c>
      <c r="F4" s="117"/>
      <c r="G4" s="117" t="s">
        <v>736</v>
      </c>
      <c r="H4" s="117" t="s">
        <v>747</v>
      </c>
      <c r="I4" s="117">
        <v>33.0</v>
      </c>
      <c r="J4" s="117" t="s">
        <v>748</v>
      </c>
      <c r="K4" s="117" t="s">
        <v>748</v>
      </c>
      <c r="L4" s="117" t="s">
        <v>749</v>
      </c>
      <c r="M4" s="117" t="s">
        <v>750</v>
      </c>
      <c r="N4" s="117">
        <v>1.91166789E9</v>
      </c>
      <c r="O4" s="292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</row>
    <row r="5">
      <c r="A5" s="117">
        <v>2.0</v>
      </c>
      <c r="B5" s="97" t="s">
        <v>751</v>
      </c>
      <c r="C5" s="117" t="s">
        <v>752</v>
      </c>
      <c r="D5" s="295">
        <v>45413.0</v>
      </c>
      <c r="E5" s="117" t="s">
        <v>746</v>
      </c>
      <c r="F5" s="117" t="s">
        <v>30</v>
      </c>
      <c r="G5" s="117"/>
      <c r="H5" s="117" t="s">
        <v>753</v>
      </c>
      <c r="I5" s="117">
        <v>15.0</v>
      </c>
      <c r="J5" s="117" t="s">
        <v>748</v>
      </c>
      <c r="K5" s="117" t="s">
        <v>748</v>
      </c>
      <c r="L5" s="117" t="s">
        <v>754</v>
      </c>
      <c r="M5" s="117" t="s">
        <v>755</v>
      </c>
      <c r="N5" s="296" t="s">
        <v>756</v>
      </c>
      <c r="O5" s="292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</row>
    <row r="6">
      <c r="A6" s="117">
        <v>3.0</v>
      </c>
      <c r="B6" s="97" t="s">
        <v>757</v>
      </c>
      <c r="C6" s="117">
        <v>1.671054407E9</v>
      </c>
      <c r="D6" s="294">
        <v>45414.0</v>
      </c>
      <c r="E6" s="117" t="s">
        <v>746</v>
      </c>
      <c r="F6" s="117" t="s">
        <v>30</v>
      </c>
      <c r="G6" s="117"/>
      <c r="H6" s="117" t="s">
        <v>758</v>
      </c>
      <c r="I6" s="117">
        <v>27.0</v>
      </c>
      <c r="J6" s="117" t="s">
        <v>748</v>
      </c>
      <c r="K6" s="117" t="s">
        <v>748</v>
      </c>
      <c r="L6" s="117" t="s">
        <v>759</v>
      </c>
      <c r="M6" s="117" t="s">
        <v>760</v>
      </c>
      <c r="N6" s="117">
        <v>1.671054407E9</v>
      </c>
      <c r="O6" s="292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</row>
    <row r="7">
      <c r="A7" s="117">
        <v>4.0</v>
      </c>
      <c r="B7" s="97" t="s">
        <v>761</v>
      </c>
      <c r="C7" s="117">
        <v>1.912146308E9</v>
      </c>
      <c r="D7" s="294">
        <v>45417.0</v>
      </c>
      <c r="E7" s="117" t="s">
        <v>746</v>
      </c>
      <c r="F7" s="117"/>
      <c r="G7" s="117" t="s">
        <v>736</v>
      </c>
      <c r="H7" s="117" t="s">
        <v>762</v>
      </c>
      <c r="I7" s="117">
        <v>37.0</v>
      </c>
      <c r="J7" s="117" t="s">
        <v>748</v>
      </c>
      <c r="K7" s="117" t="s">
        <v>748</v>
      </c>
      <c r="L7" s="291"/>
      <c r="M7" s="117" t="s">
        <v>763</v>
      </c>
      <c r="N7" s="117">
        <v>1.676594265E9</v>
      </c>
      <c r="O7" s="292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</row>
    <row r="8">
      <c r="A8" s="117">
        <v>5.0</v>
      </c>
      <c r="B8" s="297" t="s">
        <v>764</v>
      </c>
      <c r="C8" s="298">
        <v>1.518931352E9</v>
      </c>
      <c r="D8" s="299">
        <v>45421.0</v>
      </c>
      <c r="E8" s="117" t="s">
        <v>746</v>
      </c>
      <c r="F8" s="117" t="s">
        <v>30</v>
      </c>
      <c r="G8" s="117"/>
      <c r="H8" s="117" t="s">
        <v>765</v>
      </c>
      <c r="I8" s="291">
        <f>13+24</f>
        <v>37</v>
      </c>
      <c r="J8" s="117" t="s">
        <v>748</v>
      </c>
      <c r="K8" s="117" t="s">
        <v>748</v>
      </c>
      <c r="L8" s="117" t="s">
        <v>766</v>
      </c>
      <c r="M8" s="117" t="s">
        <v>767</v>
      </c>
      <c r="N8" s="117">
        <v>1.735827797E9</v>
      </c>
      <c r="O8" s="292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</row>
    <row r="9">
      <c r="A9" s="117">
        <v>6.0</v>
      </c>
      <c r="B9" s="297" t="s">
        <v>768</v>
      </c>
      <c r="C9" s="298">
        <v>1.816006301E9</v>
      </c>
      <c r="D9" s="299" t="s">
        <v>769</v>
      </c>
      <c r="E9" s="117" t="s">
        <v>746</v>
      </c>
      <c r="F9" s="117"/>
      <c r="G9" s="117" t="s">
        <v>736</v>
      </c>
      <c r="H9" s="117" t="s">
        <v>770</v>
      </c>
      <c r="I9" s="117">
        <v>36.0</v>
      </c>
      <c r="J9" s="117" t="s">
        <v>748</v>
      </c>
      <c r="K9" s="117" t="s">
        <v>748</v>
      </c>
      <c r="L9" s="117" t="s">
        <v>771</v>
      </c>
      <c r="M9" s="117" t="s">
        <v>772</v>
      </c>
      <c r="N9" s="117">
        <v>1.816006301E9</v>
      </c>
      <c r="O9" s="292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</row>
    <row r="10">
      <c r="A10" s="117">
        <v>7.0</v>
      </c>
      <c r="B10" s="97" t="s">
        <v>773</v>
      </c>
      <c r="C10" s="117">
        <v>1.727344857E9</v>
      </c>
      <c r="D10" s="294">
        <v>45444.0</v>
      </c>
      <c r="E10" s="117" t="s">
        <v>746</v>
      </c>
      <c r="F10" s="117"/>
      <c r="G10" s="117" t="s">
        <v>736</v>
      </c>
      <c r="H10" s="117" t="s">
        <v>774</v>
      </c>
      <c r="I10" s="117">
        <v>43.0</v>
      </c>
      <c r="J10" s="117" t="s">
        <v>748</v>
      </c>
      <c r="K10" s="117" t="s">
        <v>748</v>
      </c>
      <c r="L10" s="117" t="s">
        <v>775</v>
      </c>
      <c r="M10" s="117" t="s">
        <v>776</v>
      </c>
      <c r="N10" s="117">
        <v>1.727347857E9</v>
      </c>
      <c r="O10" s="292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</row>
    <row r="11">
      <c r="A11" s="117">
        <v>8.0</v>
      </c>
      <c r="B11" s="97" t="s">
        <v>777</v>
      </c>
      <c r="C11" s="117">
        <v>1.62941308E9</v>
      </c>
      <c r="D11" s="294">
        <v>45445.0</v>
      </c>
      <c r="E11" s="117" t="s">
        <v>746</v>
      </c>
      <c r="F11" s="117"/>
      <c r="G11" s="117" t="s">
        <v>736</v>
      </c>
      <c r="H11" s="117" t="s">
        <v>778</v>
      </c>
      <c r="I11" s="117">
        <v>21.0</v>
      </c>
      <c r="J11" s="117" t="s">
        <v>748</v>
      </c>
      <c r="K11" s="117" t="s">
        <v>748</v>
      </c>
      <c r="L11" s="117" t="s">
        <v>779</v>
      </c>
      <c r="M11" s="117" t="s">
        <v>780</v>
      </c>
      <c r="N11" s="117">
        <v>1.304763734E9</v>
      </c>
      <c r="O11" s="292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</row>
    <row r="12">
      <c r="A12" s="117">
        <v>9.0</v>
      </c>
      <c r="B12" s="97" t="s">
        <v>781</v>
      </c>
      <c r="C12" s="117">
        <v>1.886402774E9</v>
      </c>
      <c r="D12" s="294">
        <v>45447.0</v>
      </c>
      <c r="E12" s="117" t="s">
        <v>782</v>
      </c>
      <c r="F12" s="117"/>
      <c r="G12" s="117" t="s">
        <v>736</v>
      </c>
      <c r="H12" s="117" t="s">
        <v>783</v>
      </c>
      <c r="I12" s="117">
        <v>18.0</v>
      </c>
      <c r="J12" s="117" t="s">
        <v>748</v>
      </c>
      <c r="K12" s="117" t="s">
        <v>748</v>
      </c>
      <c r="L12" s="117" t="s">
        <v>784</v>
      </c>
      <c r="M12" s="117" t="s">
        <v>785</v>
      </c>
      <c r="N12" s="117" t="s">
        <v>786</v>
      </c>
      <c r="O12" s="292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</row>
    <row r="13">
      <c r="A13" s="117">
        <v>10.0</v>
      </c>
      <c r="B13" s="97" t="s">
        <v>787</v>
      </c>
      <c r="C13" s="117">
        <v>1.71137935E9</v>
      </c>
      <c r="D13" s="294">
        <v>45451.0</v>
      </c>
      <c r="E13" s="117" t="s">
        <v>746</v>
      </c>
      <c r="F13" s="117" t="s">
        <v>30</v>
      </c>
      <c r="G13" s="117"/>
      <c r="H13" s="117" t="s">
        <v>788</v>
      </c>
      <c r="I13" s="117">
        <v>25.0</v>
      </c>
      <c r="J13" s="117" t="s">
        <v>748</v>
      </c>
      <c r="K13" s="117" t="s">
        <v>748</v>
      </c>
      <c r="L13" s="117" t="s">
        <v>789</v>
      </c>
      <c r="M13" s="117" t="s">
        <v>790</v>
      </c>
      <c r="N13" s="117">
        <v>1.71137935E9</v>
      </c>
      <c r="O13" s="292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</row>
    <row r="14">
      <c r="A14" s="117">
        <v>11.0</v>
      </c>
      <c r="B14" s="97" t="s">
        <v>791</v>
      </c>
      <c r="C14" s="117">
        <v>1.764223436E9</v>
      </c>
      <c r="D14" s="294">
        <v>45451.0</v>
      </c>
      <c r="E14" s="117" t="s">
        <v>746</v>
      </c>
      <c r="F14" s="117"/>
      <c r="G14" s="117" t="s">
        <v>736</v>
      </c>
      <c r="H14" s="117" t="s">
        <v>792</v>
      </c>
      <c r="I14" s="117">
        <v>23.0</v>
      </c>
      <c r="J14" s="117" t="s">
        <v>748</v>
      </c>
      <c r="K14" s="117" t="s">
        <v>748</v>
      </c>
      <c r="L14" s="291"/>
      <c r="M14" s="117" t="s">
        <v>793</v>
      </c>
      <c r="N14" s="117">
        <v>1.645216323E9</v>
      </c>
      <c r="O14" s="292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</row>
    <row r="15">
      <c r="A15" s="117">
        <v>12.0</v>
      </c>
      <c r="B15" s="176" t="s">
        <v>794</v>
      </c>
      <c r="C15" s="298">
        <v>1.705011802E9</v>
      </c>
      <c r="D15" s="299" t="s">
        <v>795</v>
      </c>
      <c r="E15" s="117" t="s">
        <v>746</v>
      </c>
      <c r="F15" s="117"/>
      <c r="G15" s="117" t="s">
        <v>736</v>
      </c>
      <c r="H15" s="117" t="s">
        <v>796</v>
      </c>
      <c r="I15" s="117">
        <v>19.0</v>
      </c>
      <c r="J15" s="117" t="s">
        <v>748</v>
      </c>
      <c r="K15" s="117" t="s">
        <v>748</v>
      </c>
      <c r="L15" s="117" t="s">
        <v>797</v>
      </c>
      <c r="M15" s="117"/>
      <c r="N15" s="117"/>
      <c r="O15" s="292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</row>
    <row r="16">
      <c r="A16" s="117">
        <v>13.0</v>
      </c>
      <c r="B16" s="97" t="s">
        <v>798</v>
      </c>
      <c r="C16" s="117">
        <v>1.894657872E9</v>
      </c>
      <c r="D16" s="294">
        <v>45465.0</v>
      </c>
      <c r="E16" s="117" t="s">
        <v>746</v>
      </c>
      <c r="F16" s="117" t="s">
        <v>30</v>
      </c>
      <c r="G16" s="117"/>
      <c r="H16" s="117" t="s">
        <v>799</v>
      </c>
      <c r="I16" s="117">
        <v>22.0</v>
      </c>
      <c r="J16" s="117" t="s">
        <v>800</v>
      </c>
      <c r="K16" s="117" t="s">
        <v>800</v>
      </c>
      <c r="L16" s="117" t="s">
        <v>801</v>
      </c>
      <c r="M16" s="117" t="s">
        <v>802</v>
      </c>
      <c r="N16" s="117">
        <v>1.711171212E9</v>
      </c>
      <c r="O16" s="292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</row>
    <row r="17">
      <c r="A17" s="117">
        <v>14.0</v>
      </c>
      <c r="B17" s="297" t="s">
        <v>803</v>
      </c>
      <c r="C17" s="300">
        <v>1.9190247E8</v>
      </c>
      <c r="D17" s="301">
        <v>45465.0</v>
      </c>
      <c r="E17" s="117" t="s">
        <v>746</v>
      </c>
      <c r="F17" s="117" t="s">
        <v>30</v>
      </c>
      <c r="G17" s="300"/>
      <c r="H17" s="300" t="s">
        <v>804</v>
      </c>
      <c r="I17" s="117">
        <v>15.0</v>
      </c>
      <c r="J17" s="117" t="s">
        <v>800</v>
      </c>
      <c r="K17" s="117" t="s">
        <v>800</v>
      </c>
      <c r="L17" s="117" t="s">
        <v>805</v>
      </c>
      <c r="M17" s="300" t="s">
        <v>806</v>
      </c>
      <c r="N17" s="300">
        <v>1.894657872E9</v>
      </c>
      <c r="O17" s="292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</row>
    <row r="18">
      <c r="A18" s="117">
        <v>15.0</v>
      </c>
      <c r="B18" s="97" t="s">
        <v>807</v>
      </c>
      <c r="C18" s="117">
        <v>1.722058735E9</v>
      </c>
      <c r="D18" s="294">
        <v>45465.0</v>
      </c>
      <c r="E18" s="117" t="s">
        <v>746</v>
      </c>
      <c r="F18" s="117"/>
      <c r="G18" s="117" t="s">
        <v>736</v>
      </c>
      <c r="H18" s="117" t="s">
        <v>808</v>
      </c>
      <c r="I18" s="117">
        <v>20.0</v>
      </c>
      <c r="J18" s="117" t="s">
        <v>800</v>
      </c>
      <c r="K18" s="117" t="s">
        <v>800</v>
      </c>
      <c r="L18" s="117" t="s">
        <v>809</v>
      </c>
      <c r="M18" s="300" t="s">
        <v>810</v>
      </c>
      <c r="N18" s="300">
        <v>1.722058735E9</v>
      </c>
      <c r="O18" s="292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</row>
    <row r="19">
      <c r="A19" s="117">
        <v>16.0</v>
      </c>
      <c r="B19" s="97" t="s">
        <v>811</v>
      </c>
      <c r="C19" s="117">
        <v>1.71242417E9</v>
      </c>
      <c r="D19" s="294">
        <v>45475.0</v>
      </c>
      <c r="E19" s="117" t="s">
        <v>782</v>
      </c>
      <c r="F19" s="117" t="s">
        <v>30</v>
      </c>
      <c r="G19" s="117"/>
      <c r="H19" s="117"/>
      <c r="I19" s="117">
        <v>46.0</v>
      </c>
      <c r="J19" s="117" t="s">
        <v>800</v>
      </c>
      <c r="K19" s="117" t="s">
        <v>800</v>
      </c>
      <c r="L19" s="291"/>
      <c r="M19" s="300" t="s">
        <v>812</v>
      </c>
      <c r="N19" s="291"/>
      <c r="O19" s="292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</row>
    <row r="20">
      <c r="A20" s="117">
        <v>17.0</v>
      </c>
      <c r="B20" s="97" t="s">
        <v>813</v>
      </c>
      <c r="C20" s="117">
        <v>1.894895662E9</v>
      </c>
      <c r="D20" s="294">
        <v>45487.0</v>
      </c>
      <c r="E20" s="117" t="s">
        <v>746</v>
      </c>
      <c r="F20" s="117"/>
      <c r="G20" s="117" t="s">
        <v>736</v>
      </c>
      <c r="H20" s="117" t="s">
        <v>814</v>
      </c>
      <c r="I20" s="117">
        <v>18.0</v>
      </c>
      <c r="J20" s="117" t="s">
        <v>800</v>
      </c>
      <c r="K20" s="117" t="s">
        <v>800</v>
      </c>
      <c r="L20" s="117" t="s">
        <v>815</v>
      </c>
      <c r="M20" s="117" t="s">
        <v>816</v>
      </c>
      <c r="N20" s="117">
        <v>1.894895662E9</v>
      </c>
      <c r="O20" s="292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</row>
    <row r="21">
      <c r="A21" s="117">
        <v>18.0</v>
      </c>
      <c r="B21" s="97" t="s">
        <v>817</v>
      </c>
      <c r="C21" s="117">
        <v>1.911558726E9</v>
      </c>
      <c r="D21" s="294">
        <v>45487.0</v>
      </c>
      <c r="E21" s="117" t="s">
        <v>818</v>
      </c>
      <c r="F21" s="291"/>
      <c r="G21" s="117" t="s">
        <v>736</v>
      </c>
      <c r="H21" s="291"/>
      <c r="I21" s="117">
        <v>40.0</v>
      </c>
      <c r="J21" s="117" t="s">
        <v>800</v>
      </c>
      <c r="K21" s="117" t="s">
        <v>800</v>
      </c>
      <c r="L21" s="291"/>
      <c r="M21" s="117" t="s">
        <v>819</v>
      </c>
      <c r="N21" s="291"/>
      <c r="O21" s="292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</row>
    <row r="22">
      <c r="A22" s="117">
        <v>19.0</v>
      </c>
      <c r="B22" s="302" t="s">
        <v>820</v>
      </c>
      <c r="C22" s="298">
        <v>1.94525801E9</v>
      </c>
      <c r="D22" s="303">
        <v>45504.0</v>
      </c>
      <c r="E22" s="117" t="s">
        <v>746</v>
      </c>
      <c r="F22" s="298"/>
      <c r="G22" s="117" t="s">
        <v>736</v>
      </c>
      <c r="H22" s="298" t="s">
        <v>821</v>
      </c>
      <c r="I22" s="298">
        <v>21.0</v>
      </c>
      <c r="J22" s="117" t="s">
        <v>800</v>
      </c>
      <c r="K22" s="117" t="s">
        <v>800</v>
      </c>
      <c r="L22" s="298" t="s">
        <v>822</v>
      </c>
      <c r="M22" s="298" t="s">
        <v>823</v>
      </c>
      <c r="N22" s="298">
        <v>1.818010195E9</v>
      </c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</row>
    <row r="23">
      <c r="A23" s="298">
        <v>20.0</v>
      </c>
      <c r="B23" s="302" t="s">
        <v>824</v>
      </c>
      <c r="C23" s="298">
        <v>1.767836532E9</v>
      </c>
      <c r="D23" s="304">
        <v>45505.0</v>
      </c>
      <c r="E23" s="117" t="s">
        <v>746</v>
      </c>
      <c r="F23" s="298" t="s">
        <v>30</v>
      </c>
      <c r="G23" s="298"/>
      <c r="H23" s="298" t="s">
        <v>825</v>
      </c>
      <c r="I23" s="298">
        <v>27.0</v>
      </c>
      <c r="J23" s="298" t="s">
        <v>800</v>
      </c>
      <c r="K23" s="117" t="s">
        <v>800</v>
      </c>
      <c r="L23" s="298" t="s">
        <v>826</v>
      </c>
      <c r="M23" s="298" t="s">
        <v>827</v>
      </c>
      <c r="N23" s="305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</row>
    <row r="24">
      <c r="A24" s="298">
        <v>21.0</v>
      </c>
      <c r="B24" s="302" t="s">
        <v>828</v>
      </c>
      <c r="C24" s="298">
        <v>1.405503641E9</v>
      </c>
      <c r="D24" s="304">
        <v>45511.0</v>
      </c>
      <c r="E24" s="117" t="s">
        <v>746</v>
      </c>
      <c r="F24" s="298" t="s">
        <v>30</v>
      </c>
      <c r="G24" s="298"/>
      <c r="H24" s="298" t="s">
        <v>829</v>
      </c>
      <c r="I24" s="298">
        <v>28.0</v>
      </c>
      <c r="J24" s="298" t="s">
        <v>800</v>
      </c>
      <c r="K24" s="117" t="s">
        <v>800</v>
      </c>
      <c r="L24" s="298" t="s">
        <v>830</v>
      </c>
      <c r="M24" s="298" t="s">
        <v>831</v>
      </c>
      <c r="N24" s="298">
        <v>1.521527607E9</v>
      </c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</row>
    <row r="25">
      <c r="A25" s="298">
        <v>22.0</v>
      </c>
      <c r="B25" s="302" t="s">
        <v>832</v>
      </c>
      <c r="C25" s="298">
        <v>1.511302604E9</v>
      </c>
      <c r="D25" s="304">
        <v>45536.0</v>
      </c>
      <c r="E25" s="117" t="s">
        <v>782</v>
      </c>
      <c r="F25" s="298" t="s">
        <v>30</v>
      </c>
      <c r="G25" s="298"/>
      <c r="H25" s="298" t="s">
        <v>833</v>
      </c>
      <c r="I25" s="298">
        <v>20.0</v>
      </c>
      <c r="J25" s="298" t="s">
        <v>800</v>
      </c>
      <c r="K25" s="117" t="s">
        <v>800</v>
      </c>
      <c r="L25" s="298" t="s">
        <v>834</v>
      </c>
      <c r="M25" s="298" t="s">
        <v>835</v>
      </c>
      <c r="N25" s="305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</row>
    <row r="26">
      <c r="A26" s="298">
        <v>23.0</v>
      </c>
      <c r="B26" s="302" t="s">
        <v>836</v>
      </c>
      <c r="C26" s="298">
        <v>1.919754996E9</v>
      </c>
      <c r="D26" s="304">
        <v>45528.0</v>
      </c>
      <c r="E26" s="117" t="s">
        <v>782</v>
      </c>
      <c r="F26" s="298" t="s">
        <v>30</v>
      </c>
      <c r="G26" s="298"/>
      <c r="H26" s="298" t="s">
        <v>837</v>
      </c>
      <c r="I26" s="298">
        <v>21.0</v>
      </c>
      <c r="J26" s="298" t="s">
        <v>800</v>
      </c>
      <c r="K26" s="117" t="s">
        <v>800</v>
      </c>
      <c r="L26" s="298" t="s">
        <v>838</v>
      </c>
      <c r="M26" s="298" t="s">
        <v>839</v>
      </c>
      <c r="N26" s="298">
        <v>1.878264844E9</v>
      </c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</row>
    <row r="27">
      <c r="A27" s="298">
        <v>24.0</v>
      </c>
      <c r="B27" s="302" t="s">
        <v>840</v>
      </c>
      <c r="C27" s="298">
        <v>1.878264244E9</v>
      </c>
      <c r="D27" s="304">
        <v>45536.0</v>
      </c>
      <c r="E27" s="117" t="s">
        <v>782</v>
      </c>
      <c r="F27" s="298" t="s">
        <v>30</v>
      </c>
      <c r="G27" s="298"/>
      <c r="H27" s="298" t="s">
        <v>841</v>
      </c>
      <c r="I27" s="298">
        <v>21.0</v>
      </c>
      <c r="J27" s="298" t="s">
        <v>800</v>
      </c>
      <c r="K27" s="117" t="s">
        <v>800</v>
      </c>
      <c r="L27" s="298" t="s">
        <v>842</v>
      </c>
      <c r="M27" s="298" t="s">
        <v>843</v>
      </c>
      <c r="N27" s="305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</row>
    <row r="28">
      <c r="A28" s="298">
        <v>25.0</v>
      </c>
      <c r="B28" s="302" t="s">
        <v>844</v>
      </c>
      <c r="C28" s="298" t="s">
        <v>845</v>
      </c>
      <c r="D28" s="304">
        <v>45529.0</v>
      </c>
      <c r="E28" s="117" t="s">
        <v>782</v>
      </c>
      <c r="F28" s="298" t="s">
        <v>30</v>
      </c>
      <c r="G28" s="298"/>
      <c r="H28" s="298" t="s">
        <v>846</v>
      </c>
      <c r="I28" s="298">
        <v>19.0</v>
      </c>
      <c r="J28" s="298" t="s">
        <v>800</v>
      </c>
      <c r="K28" s="117" t="s">
        <v>800</v>
      </c>
      <c r="L28" s="298" t="s">
        <v>847</v>
      </c>
      <c r="M28" s="298" t="s">
        <v>848</v>
      </c>
      <c r="N28" s="305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</row>
    <row r="29">
      <c r="A29" s="298">
        <v>26.0</v>
      </c>
      <c r="B29" s="306" t="s">
        <v>849</v>
      </c>
      <c r="C29" s="298" t="s">
        <v>850</v>
      </c>
      <c r="D29" s="298" t="s">
        <v>349</v>
      </c>
      <c r="E29" s="298" t="s">
        <v>746</v>
      </c>
      <c r="F29" s="298" t="s">
        <v>30</v>
      </c>
      <c r="G29" s="298"/>
      <c r="H29" s="298" t="s">
        <v>851</v>
      </c>
      <c r="I29" s="298">
        <v>15.0</v>
      </c>
      <c r="J29" s="298" t="s">
        <v>800</v>
      </c>
      <c r="K29" s="298" t="s">
        <v>800</v>
      </c>
      <c r="L29" s="298" t="s">
        <v>852</v>
      </c>
      <c r="M29" s="298" t="s">
        <v>853</v>
      </c>
      <c r="N29" s="298">
        <v>1.76070326E8</v>
      </c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</row>
    <row r="30">
      <c r="A30" s="298">
        <v>27.0</v>
      </c>
      <c r="B30" s="306" t="s">
        <v>854</v>
      </c>
      <c r="C30" s="298">
        <v>1.799929008E9</v>
      </c>
      <c r="D30" s="298" t="s">
        <v>365</v>
      </c>
      <c r="E30" s="298" t="s">
        <v>746</v>
      </c>
      <c r="F30" s="298" t="s">
        <v>30</v>
      </c>
      <c r="G30" s="298"/>
      <c r="H30" s="298" t="s">
        <v>855</v>
      </c>
      <c r="I30" s="298">
        <v>34.0</v>
      </c>
      <c r="J30" s="298" t="s">
        <v>800</v>
      </c>
      <c r="K30" s="298" t="s">
        <v>800</v>
      </c>
      <c r="L30" s="298" t="s">
        <v>856</v>
      </c>
      <c r="M30" s="298" t="s">
        <v>857</v>
      </c>
      <c r="N30" s="305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</row>
    <row r="31">
      <c r="A31" s="298">
        <v>28.0</v>
      </c>
      <c r="B31" s="302" t="s">
        <v>858</v>
      </c>
      <c r="C31" s="298">
        <v>1.924518944E9</v>
      </c>
      <c r="D31" s="304">
        <v>45550.0</v>
      </c>
      <c r="E31" s="298" t="s">
        <v>746</v>
      </c>
      <c r="F31" s="298" t="s">
        <v>30</v>
      </c>
      <c r="G31" s="298"/>
      <c r="H31" s="298" t="s">
        <v>859</v>
      </c>
      <c r="I31" s="298">
        <v>25.0</v>
      </c>
      <c r="J31" s="298" t="s">
        <v>800</v>
      </c>
      <c r="K31" s="298" t="s">
        <v>800</v>
      </c>
      <c r="L31" s="305"/>
      <c r="M31" s="298" t="s">
        <v>860</v>
      </c>
      <c r="N31" s="298">
        <v>1.720242196E9</v>
      </c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</row>
    <row r="32">
      <c r="A32" s="298">
        <v>29.0</v>
      </c>
      <c r="B32" s="302" t="s">
        <v>861</v>
      </c>
      <c r="C32" s="298">
        <v>1.777363627E9</v>
      </c>
      <c r="D32" s="298" t="s">
        <v>374</v>
      </c>
      <c r="E32" s="298" t="s">
        <v>862</v>
      </c>
      <c r="F32" s="298" t="s">
        <v>30</v>
      </c>
      <c r="G32" s="305"/>
      <c r="H32" s="298" t="s">
        <v>863</v>
      </c>
      <c r="I32" s="298">
        <v>24.0</v>
      </c>
      <c r="J32" s="298" t="s">
        <v>800</v>
      </c>
      <c r="K32" s="298" t="s">
        <v>800</v>
      </c>
      <c r="L32" s="298" t="s">
        <v>864</v>
      </c>
      <c r="M32" s="305"/>
      <c r="N32" s="298">
        <v>1.742013626E9</v>
      </c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</row>
    <row r="33">
      <c r="A33" s="298">
        <v>30.0</v>
      </c>
      <c r="B33" s="302" t="s">
        <v>865</v>
      </c>
      <c r="C33" s="298">
        <v>1.683728823E9</v>
      </c>
      <c r="D33" s="298" t="s">
        <v>374</v>
      </c>
      <c r="E33" s="298" t="s">
        <v>746</v>
      </c>
      <c r="F33" s="298" t="s">
        <v>30</v>
      </c>
      <c r="G33" s="305"/>
      <c r="H33" s="305"/>
      <c r="I33" s="305"/>
      <c r="J33" s="298" t="s">
        <v>800</v>
      </c>
      <c r="K33" s="298" t="s">
        <v>800</v>
      </c>
      <c r="L33" s="305"/>
      <c r="M33" s="298" t="s">
        <v>866</v>
      </c>
      <c r="N33" s="305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</row>
    <row r="34">
      <c r="A34" s="298">
        <v>31.0</v>
      </c>
      <c r="B34" s="302" t="s">
        <v>867</v>
      </c>
      <c r="C34" s="298">
        <v>1.838154941E9</v>
      </c>
      <c r="D34" s="298" t="s">
        <v>377</v>
      </c>
      <c r="E34" s="298" t="s">
        <v>746</v>
      </c>
      <c r="F34" s="298" t="s">
        <v>30</v>
      </c>
      <c r="G34" s="305"/>
      <c r="H34" s="298" t="s">
        <v>868</v>
      </c>
      <c r="I34" s="305"/>
      <c r="J34" s="298" t="s">
        <v>800</v>
      </c>
      <c r="K34" s="298" t="s">
        <v>800</v>
      </c>
      <c r="L34" s="298" t="s">
        <v>869</v>
      </c>
      <c r="M34" s="298" t="s">
        <v>870</v>
      </c>
      <c r="N34" s="305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</row>
    <row r="35">
      <c r="A35" s="298">
        <v>32.0</v>
      </c>
      <c r="B35" s="302" t="s">
        <v>871</v>
      </c>
      <c r="C35" s="298">
        <v>1.764866533E9</v>
      </c>
      <c r="D35" s="298" t="s">
        <v>382</v>
      </c>
      <c r="E35" s="298" t="s">
        <v>782</v>
      </c>
      <c r="F35" s="298" t="s">
        <v>30</v>
      </c>
      <c r="G35" s="305"/>
      <c r="H35" s="298" t="s">
        <v>872</v>
      </c>
      <c r="I35" s="305"/>
      <c r="J35" s="298" t="s">
        <v>800</v>
      </c>
      <c r="K35" s="298" t="s">
        <v>800</v>
      </c>
      <c r="L35" s="298" t="s">
        <v>873</v>
      </c>
      <c r="M35" s="298" t="s">
        <v>874</v>
      </c>
      <c r="N35" s="305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</row>
    <row r="36">
      <c r="A36" s="298">
        <v>33.0</v>
      </c>
      <c r="B36" s="302" t="s">
        <v>875</v>
      </c>
      <c r="C36" s="298">
        <v>1.300577963E9</v>
      </c>
      <c r="D36" s="298" t="s">
        <v>382</v>
      </c>
      <c r="E36" s="298" t="s">
        <v>782</v>
      </c>
      <c r="F36" s="298" t="s">
        <v>30</v>
      </c>
      <c r="G36" s="305"/>
      <c r="H36" s="298" t="s">
        <v>382</v>
      </c>
      <c r="I36" s="305"/>
      <c r="J36" s="298" t="s">
        <v>800</v>
      </c>
      <c r="K36" s="298" t="s">
        <v>800</v>
      </c>
      <c r="L36" s="298" t="s">
        <v>876</v>
      </c>
      <c r="M36" s="298" t="s">
        <v>877</v>
      </c>
      <c r="N36" s="305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</row>
    <row r="37">
      <c r="A37" s="298">
        <v>34.0</v>
      </c>
      <c r="B37" s="302" t="s">
        <v>878</v>
      </c>
      <c r="C37" s="298">
        <v>1.917642791E9</v>
      </c>
      <c r="D37" s="298" t="s">
        <v>401</v>
      </c>
      <c r="E37" s="298" t="s">
        <v>746</v>
      </c>
      <c r="F37" s="298" t="s">
        <v>30</v>
      </c>
      <c r="G37" s="305"/>
      <c r="H37" s="298" t="s">
        <v>879</v>
      </c>
      <c r="I37" s="305"/>
      <c r="J37" s="298" t="s">
        <v>800</v>
      </c>
      <c r="K37" s="298" t="s">
        <v>800</v>
      </c>
      <c r="L37" s="298" t="s">
        <v>880</v>
      </c>
      <c r="M37" s="298" t="s">
        <v>881</v>
      </c>
      <c r="N37" s="305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</row>
    <row r="38">
      <c r="A38" s="298">
        <v>35.0</v>
      </c>
      <c r="B38" s="302" t="s">
        <v>882</v>
      </c>
      <c r="C38" s="298">
        <v>1.639776754E9</v>
      </c>
      <c r="D38" s="298" t="s">
        <v>883</v>
      </c>
      <c r="E38" s="298" t="s">
        <v>746</v>
      </c>
      <c r="F38" s="298" t="s">
        <v>30</v>
      </c>
      <c r="G38" s="305"/>
      <c r="H38" s="298" t="s">
        <v>884</v>
      </c>
      <c r="I38" s="305"/>
      <c r="J38" s="298" t="s">
        <v>800</v>
      </c>
      <c r="K38" s="298" t="s">
        <v>800</v>
      </c>
      <c r="L38" s="298" t="s">
        <v>885</v>
      </c>
      <c r="M38" s="298" t="s">
        <v>886</v>
      </c>
      <c r="N38" s="298">
        <v>1.799782057E9</v>
      </c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</row>
    <row r="39">
      <c r="A39" s="298">
        <v>36.0</v>
      </c>
      <c r="B39" s="302" t="s">
        <v>887</v>
      </c>
      <c r="C39" s="298">
        <v>1.732703732E9</v>
      </c>
      <c r="D39" s="298" t="s">
        <v>414</v>
      </c>
      <c r="E39" s="298" t="s">
        <v>746</v>
      </c>
      <c r="F39" s="298" t="s">
        <v>30</v>
      </c>
      <c r="G39" s="305"/>
      <c r="H39" s="298" t="s">
        <v>888</v>
      </c>
      <c r="I39" s="305"/>
      <c r="J39" s="298" t="s">
        <v>800</v>
      </c>
      <c r="K39" s="298" t="s">
        <v>889</v>
      </c>
      <c r="L39" s="298" t="s">
        <v>890</v>
      </c>
      <c r="M39" s="298" t="s">
        <v>891</v>
      </c>
      <c r="N39" s="298">
        <v>1.552601833E9</v>
      </c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</row>
    <row r="40">
      <c r="A40" s="298">
        <v>37.0</v>
      </c>
      <c r="B40" s="302" t="s">
        <v>892</v>
      </c>
      <c r="C40" s="298">
        <v>1.736123699E9</v>
      </c>
      <c r="D40" s="298" t="s">
        <v>410</v>
      </c>
      <c r="E40" s="298" t="s">
        <v>746</v>
      </c>
      <c r="F40" s="298" t="s">
        <v>30</v>
      </c>
      <c r="G40" s="305"/>
      <c r="H40" s="298" t="s">
        <v>893</v>
      </c>
      <c r="I40" s="305"/>
      <c r="J40" s="298" t="s">
        <v>800</v>
      </c>
      <c r="K40" s="298" t="s">
        <v>800</v>
      </c>
      <c r="L40" s="298" t="s">
        <v>894</v>
      </c>
      <c r="M40" s="298" t="s">
        <v>895</v>
      </c>
      <c r="N40" s="305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</row>
    <row r="41">
      <c r="A41" s="298">
        <v>38.0</v>
      </c>
      <c r="B41" s="302" t="s">
        <v>896</v>
      </c>
      <c r="C41" s="298">
        <v>1.878110106E9</v>
      </c>
      <c r="D41" s="298" t="s">
        <v>423</v>
      </c>
      <c r="E41" s="298" t="s">
        <v>746</v>
      </c>
      <c r="F41" s="298" t="s">
        <v>30</v>
      </c>
      <c r="G41" s="305"/>
      <c r="H41" s="298" t="s">
        <v>897</v>
      </c>
      <c r="I41" s="305"/>
      <c r="J41" s="298" t="s">
        <v>800</v>
      </c>
      <c r="K41" s="298" t="s">
        <v>800</v>
      </c>
      <c r="L41" s="298" t="s">
        <v>898</v>
      </c>
      <c r="M41" s="298" t="s">
        <v>899</v>
      </c>
      <c r="N41" s="305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</row>
    <row r="42">
      <c r="A42" s="298">
        <v>39.0</v>
      </c>
      <c r="B42" s="302" t="s">
        <v>900</v>
      </c>
      <c r="C42" s="298">
        <v>1.707771387E9</v>
      </c>
      <c r="D42" s="298" t="s">
        <v>423</v>
      </c>
      <c r="E42" s="298" t="s">
        <v>746</v>
      </c>
      <c r="F42" s="298" t="s">
        <v>30</v>
      </c>
      <c r="G42" s="305"/>
      <c r="H42" s="298" t="s">
        <v>901</v>
      </c>
      <c r="I42" s="305"/>
      <c r="J42" s="298" t="s">
        <v>800</v>
      </c>
      <c r="K42" s="298" t="s">
        <v>800</v>
      </c>
      <c r="L42" s="298" t="s">
        <v>902</v>
      </c>
      <c r="M42" s="298" t="s">
        <v>903</v>
      </c>
      <c r="N42" s="305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</row>
    <row r="43">
      <c r="A43" s="298">
        <v>40.0</v>
      </c>
      <c r="B43" s="302" t="s">
        <v>904</v>
      </c>
      <c r="C43" s="298">
        <v>1.711172413E9</v>
      </c>
      <c r="D43" s="298" t="s">
        <v>905</v>
      </c>
      <c r="E43" s="298" t="s">
        <v>746</v>
      </c>
      <c r="F43" s="298" t="s">
        <v>30</v>
      </c>
      <c r="G43" s="305"/>
      <c r="H43" s="298" t="s">
        <v>906</v>
      </c>
      <c r="I43" s="305"/>
      <c r="J43" s="298" t="s">
        <v>907</v>
      </c>
      <c r="K43" s="298" t="s">
        <v>889</v>
      </c>
      <c r="L43" s="298" t="s">
        <v>908</v>
      </c>
      <c r="M43" s="298" t="s">
        <v>909</v>
      </c>
      <c r="N43" s="298">
        <v>1.913462347E9</v>
      </c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</row>
    <row r="44">
      <c r="A44" s="298">
        <v>41.0</v>
      </c>
      <c r="B44" s="302" t="s">
        <v>910</v>
      </c>
      <c r="C44" s="298">
        <v>1.818607336E9</v>
      </c>
      <c r="D44" s="298" t="s">
        <v>442</v>
      </c>
      <c r="E44" s="298" t="s">
        <v>911</v>
      </c>
      <c r="F44" s="298" t="s">
        <v>30</v>
      </c>
      <c r="G44" s="305"/>
      <c r="H44" s="298" t="s">
        <v>912</v>
      </c>
      <c r="I44" s="305"/>
      <c r="J44" s="298" t="s">
        <v>913</v>
      </c>
      <c r="K44" s="298" t="s">
        <v>889</v>
      </c>
      <c r="L44" s="298" t="s">
        <v>914</v>
      </c>
      <c r="M44" s="298" t="s">
        <v>915</v>
      </c>
      <c r="N44" s="298">
        <v>1.91442707E9</v>
      </c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</row>
    <row r="45">
      <c r="A45" s="298">
        <v>42.0</v>
      </c>
      <c r="B45" s="302" t="s">
        <v>916</v>
      </c>
      <c r="C45" s="298">
        <v>1.955502025E9</v>
      </c>
      <c r="D45" s="298" t="s">
        <v>917</v>
      </c>
      <c r="E45" s="298" t="s">
        <v>911</v>
      </c>
      <c r="F45" s="298" t="s">
        <v>30</v>
      </c>
      <c r="G45" s="305"/>
      <c r="H45" s="298" t="s">
        <v>918</v>
      </c>
      <c r="I45" s="305"/>
      <c r="J45" s="298" t="s">
        <v>800</v>
      </c>
      <c r="K45" s="298" t="s">
        <v>800</v>
      </c>
      <c r="L45" s="298" t="s">
        <v>919</v>
      </c>
      <c r="M45" s="298" t="s">
        <v>920</v>
      </c>
      <c r="N45" s="305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</row>
    <row r="46">
      <c r="A46" s="298">
        <v>43.0</v>
      </c>
      <c r="B46" s="302" t="s">
        <v>921</v>
      </c>
      <c r="C46" s="305"/>
      <c r="D46" s="298" t="s">
        <v>922</v>
      </c>
      <c r="E46" s="298" t="s">
        <v>911</v>
      </c>
      <c r="F46" s="298" t="s">
        <v>30</v>
      </c>
      <c r="G46" s="305"/>
      <c r="H46" s="298" t="s">
        <v>923</v>
      </c>
      <c r="I46" s="305"/>
      <c r="J46" s="298" t="s">
        <v>800</v>
      </c>
      <c r="K46" s="298" t="s">
        <v>800</v>
      </c>
      <c r="L46" s="298" t="s">
        <v>904</v>
      </c>
      <c r="M46" s="298" t="s">
        <v>924</v>
      </c>
      <c r="N46" s="305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</row>
    <row r="47">
      <c r="A47" s="298">
        <v>44.0</v>
      </c>
      <c r="B47" s="302" t="s">
        <v>925</v>
      </c>
      <c r="C47" s="298">
        <v>1.609109617E9</v>
      </c>
      <c r="D47" s="298" t="s">
        <v>926</v>
      </c>
      <c r="E47" s="298" t="s">
        <v>911</v>
      </c>
      <c r="F47" s="298" t="s">
        <v>30</v>
      </c>
      <c r="G47" s="305"/>
      <c r="H47" s="298" t="s">
        <v>927</v>
      </c>
      <c r="I47" s="305"/>
      <c r="J47" s="298" t="s">
        <v>800</v>
      </c>
      <c r="K47" s="298" t="s">
        <v>800</v>
      </c>
      <c r="L47" s="305"/>
      <c r="M47" s="298" t="s">
        <v>928</v>
      </c>
      <c r="N47" s="305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</row>
    <row r="48">
      <c r="A48" s="298">
        <v>45.0</v>
      </c>
      <c r="B48" s="302" t="s">
        <v>929</v>
      </c>
      <c r="C48" s="298">
        <v>1.913462347E9</v>
      </c>
      <c r="D48" s="298" t="s">
        <v>930</v>
      </c>
      <c r="E48" s="298" t="s">
        <v>911</v>
      </c>
      <c r="F48" s="298" t="s">
        <v>30</v>
      </c>
      <c r="G48" s="305"/>
      <c r="H48" s="298" t="s">
        <v>931</v>
      </c>
      <c r="I48" s="305"/>
      <c r="J48" s="298" t="s">
        <v>932</v>
      </c>
      <c r="K48" s="298" t="s">
        <v>800</v>
      </c>
      <c r="L48" s="298" t="s">
        <v>904</v>
      </c>
      <c r="M48" s="298" t="s">
        <v>924</v>
      </c>
      <c r="N48" s="305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</row>
    <row r="49">
      <c r="A49" s="298">
        <v>46.0</v>
      </c>
      <c r="B49" s="302" t="s">
        <v>933</v>
      </c>
      <c r="C49" s="298">
        <v>1.928529048E9</v>
      </c>
      <c r="D49" s="298" t="s">
        <v>934</v>
      </c>
      <c r="E49" s="298" t="s">
        <v>911</v>
      </c>
      <c r="F49" s="298" t="s">
        <v>30</v>
      </c>
      <c r="G49" s="305"/>
      <c r="H49" s="298" t="s">
        <v>935</v>
      </c>
      <c r="I49" s="305"/>
      <c r="J49" s="298" t="s">
        <v>800</v>
      </c>
      <c r="K49" s="298" t="s">
        <v>800</v>
      </c>
      <c r="L49" s="305"/>
      <c r="M49" s="298" t="s">
        <v>936</v>
      </c>
      <c r="N49" s="298">
        <v>1.939909745E9</v>
      </c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</row>
    <row r="50">
      <c r="A50" s="298">
        <v>44.0</v>
      </c>
      <c r="B50" s="302" t="s">
        <v>937</v>
      </c>
      <c r="C50" s="298">
        <v>1.71173975E9</v>
      </c>
      <c r="D50" s="298" t="s">
        <v>938</v>
      </c>
      <c r="E50" s="298" t="s">
        <v>939</v>
      </c>
      <c r="F50" s="298" t="s">
        <v>30</v>
      </c>
      <c r="G50" s="305"/>
      <c r="H50" s="298" t="s">
        <v>940</v>
      </c>
      <c r="I50" s="305"/>
      <c r="J50" s="298" t="s">
        <v>941</v>
      </c>
      <c r="K50" s="298" t="s">
        <v>800</v>
      </c>
      <c r="L50" s="298" t="s">
        <v>942</v>
      </c>
      <c r="M50" s="298" t="s">
        <v>943</v>
      </c>
      <c r="N50" s="298">
        <v>1.711529435E9</v>
      </c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</row>
    <row r="51">
      <c r="A51" s="298">
        <v>45.0</v>
      </c>
      <c r="B51" s="302" t="s">
        <v>944</v>
      </c>
      <c r="C51" s="298">
        <v>1.55488519E9</v>
      </c>
      <c r="D51" s="298" t="s">
        <v>945</v>
      </c>
      <c r="E51" s="298" t="s">
        <v>939</v>
      </c>
      <c r="F51" s="298" t="s">
        <v>30</v>
      </c>
      <c r="G51" s="305"/>
      <c r="H51" s="298" t="s">
        <v>946</v>
      </c>
      <c r="I51" s="305"/>
      <c r="J51" s="298" t="s">
        <v>947</v>
      </c>
      <c r="K51" s="298" t="s">
        <v>800</v>
      </c>
      <c r="L51" s="298" t="s">
        <v>948</v>
      </c>
      <c r="M51" s="298" t="s">
        <v>924</v>
      </c>
      <c r="N51" s="298">
        <v>1.913462347E9</v>
      </c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  <c r="AC51" s="293"/>
      <c r="AD51" s="293"/>
    </row>
    <row r="52">
      <c r="A52" s="298">
        <v>46.0</v>
      </c>
      <c r="B52" s="302" t="s">
        <v>949</v>
      </c>
      <c r="C52" s="298">
        <v>1.700827061E9</v>
      </c>
      <c r="D52" s="298" t="s">
        <v>950</v>
      </c>
      <c r="E52" s="298" t="s">
        <v>911</v>
      </c>
      <c r="F52" s="298" t="s">
        <v>30</v>
      </c>
      <c r="G52" s="305"/>
      <c r="H52" s="298" t="s">
        <v>951</v>
      </c>
      <c r="I52" s="305"/>
      <c r="J52" s="298" t="s">
        <v>800</v>
      </c>
      <c r="K52" s="298" t="s">
        <v>800</v>
      </c>
      <c r="L52" s="305"/>
      <c r="M52" s="298" t="s">
        <v>952</v>
      </c>
      <c r="N52" s="298">
        <v>1.711240246E9</v>
      </c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</row>
    <row r="53">
      <c r="A53" s="305"/>
      <c r="B53" s="307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</row>
    <row r="54">
      <c r="A54" s="293"/>
      <c r="B54" s="308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  <c r="AC54" s="293"/>
      <c r="AD54" s="293"/>
    </row>
    <row r="55">
      <c r="A55" s="293"/>
      <c r="B55" s="308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</row>
    <row r="56">
      <c r="A56" s="293"/>
      <c r="B56" s="308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  <c r="AC56" s="293"/>
      <c r="AD56" s="293"/>
    </row>
    <row r="57">
      <c r="A57" s="293"/>
      <c r="B57" s="308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  <c r="AB57" s="293"/>
      <c r="AC57" s="293"/>
      <c r="AD57" s="293"/>
    </row>
    <row r="58">
      <c r="A58" s="293"/>
      <c r="B58" s="308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  <c r="AC58" s="293"/>
      <c r="AD58" s="293"/>
    </row>
    <row r="59">
      <c r="A59" s="293"/>
      <c r="B59" s="308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</row>
    <row r="60">
      <c r="A60" s="293"/>
      <c r="B60" s="308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  <c r="AB60" s="293"/>
      <c r="AC60" s="293"/>
      <c r="AD60" s="293"/>
    </row>
    <row r="61">
      <c r="A61" s="293"/>
      <c r="B61" s="308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3"/>
      <c r="AD61" s="293"/>
    </row>
    <row r="62">
      <c r="A62" s="293"/>
      <c r="B62" s="308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  <c r="AC62" s="293"/>
      <c r="AD62" s="293"/>
    </row>
    <row r="63">
      <c r="A63" s="293"/>
      <c r="B63" s="308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</row>
    <row r="64">
      <c r="A64" s="293"/>
      <c r="B64" s="308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</row>
    <row r="65">
      <c r="A65" s="293"/>
      <c r="B65" s="308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  <c r="AB65" s="293"/>
      <c r="AC65" s="293"/>
      <c r="AD65" s="293"/>
    </row>
    <row r="66">
      <c r="A66" s="293"/>
      <c r="B66" s="308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</row>
    <row r="67">
      <c r="A67" s="293"/>
      <c r="B67" s="308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  <c r="AC67" s="293"/>
      <c r="AD67" s="293"/>
    </row>
    <row r="68">
      <c r="A68" s="293"/>
      <c r="B68" s="308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  <c r="AC68" s="293"/>
      <c r="AD68" s="293"/>
    </row>
    <row r="69">
      <c r="A69" s="293"/>
      <c r="B69" s="308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3"/>
      <c r="AD69" s="293"/>
    </row>
    <row r="70">
      <c r="A70" s="293"/>
      <c r="B70" s="308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</row>
    <row r="71">
      <c r="A71" s="293"/>
      <c r="B71" s="308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  <c r="AC71" s="293"/>
      <c r="AD71" s="293"/>
    </row>
    <row r="72">
      <c r="A72" s="293"/>
      <c r="B72" s="308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  <c r="AC72" s="293"/>
      <c r="AD72" s="293"/>
    </row>
    <row r="73">
      <c r="A73" s="293"/>
      <c r="B73" s="308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  <c r="AC73" s="293"/>
      <c r="AD73" s="293"/>
    </row>
    <row r="74">
      <c r="A74" s="293"/>
      <c r="B74" s="308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</row>
    <row r="75">
      <c r="A75" s="293"/>
      <c r="B75" s="308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3"/>
      <c r="AD75" s="293"/>
    </row>
    <row r="76">
      <c r="A76" s="293"/>
      <c r="B76" s="308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</row>
    <row r="77">
      <c r="A77" s="293"/>
      <c r="B77" s="308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</row>
    <row r="78">
      <c r="A78" s="293"/>
      <c r="B78" s="308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</row>
    <row r="79">
      <c r="A79" s="293"/>
      <c r="B79" s="308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</row>
    <row r="80">
      <c r="A80" s="293"/>
      <c r="B80" s="308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</row>
    <row r="81">
      <c r="A81" s="293"/>
      <c r="B81" s="308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  <c r="AC81" s="293"/>
      <c r="AD81" s="293"/>
    </row>
    <row r="82">
      <c r="A82" s="293"/>
      <c r="B82" s="308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  <c r="AC82" s="293"/>
      <c r="AD82" s="293"/>
    </row>
    <row r="83">
      <c r="A83" s="293"/>
      <c r="B83" s="308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</row>
    <row r="84">
      <c r="A84" s="293"/>
      <c r="B84" s="308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</row>
    <row r="85">
      <c r="A85" s="293"/>
      <c r="B85" s="308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</row>
    <row r="86">
      <c r="A86" s="293"/>
      <c r="B86" s="308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  <c r="AC86" s="293"/>
      <c r="AD86" s="293"/>
    </row>
    <row r="87">
      <c r="A87" s="293"/>
      <c r="B87" s="308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</row>
    <row r="88">
      <c r="A88" s="293"/>
      <c r="B88" s="308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  <c r="AC88" s="293"/>
      <c r="AD88" s="293"/>
    </row>
    <row r="89">
      <c r="A89" s="293"/>
      <c r="B89" s="308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</row>
    <row r="90">
      <c r="A90" s="293"/>
      <c r="B90" s="308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  <c r="AC90" s="293"/>
      <c r="AD90" s="293"/>
    </row>
    <row r="91">
      <c r="A91" s="293"/>
      <c r="B91" s="308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293"/>
    </row>
    <row r="92">
      <c r="A92" s="293"/>
      <c r="B92" s="308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</row>
    <row r="93">
      <c r="A93" s="293"/>
      <c r="B93" s="308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D93" s="293"/>
    </row>
    <row r="94">
      <c r="A94" s="293"/>
      <c r="B94" s="308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  <c r="AC94" s="293"/>
      <c r="AD94" s="293"/>
    </row>
    <row r="95">
      <c r="A95" s="293"/>
      <c r="B95" s="308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  <c r="AC95" s="293"/>
      <c r="AD95" s="293"/>
    </row>
    <row r="96">
      <c r="A96" s="293"/>
      <c r="B96" s="308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</row>
    <row r="97">
      <c r="A97" s="293"/>
      <c r="B97" s="308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</row>
    <row r="98">
      <c r="A98" s="293"/>
      <c r="B98" s="308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</row>
    <row r="99">
      <c r="A99" s="293"/>
      <c r="B99" s="308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</row>
    <row r="100">
      <c r="A100" s="293"/>
      <c r="B100" s="308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</row>
    <row r="101">
      <c r="A101" s="293"/>
      <c r="B101" s="308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</row>
    <row r="102">
      <c r="A102" s="293"/>
      <c r="B102" s="308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</row>
    <row r="103">
      <c r="A103" s="293"/>
      <c r="B103" s="308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</row>
    <row r="104">
      <c r="A104" s="293"/>
      <c r="B104" s="308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</row>
    <row r="105">
      <c r="A105" s="293"/>
      <c r="B105" s="308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</row>
    <row r="106">
      <c r="A106" s="293"/>
      <c r="B106" s="308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</row>
    <row r="107">
      <c r="A107" s="293"/>
      <c r="B107" s="308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</row>
    <row r="108">
      <c r="A108" s="293"/>
      <c r="B108" s="308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</row>
    <row r="109">
      <c r="A109" s="293"/>
      <c r="B109" s="308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</row>
    <row r="110">
      <c r="A110" s="293"/>
      <c r="B110" s="308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  <c r="AB110" s="293"/>
      <c r="AC110" s="293"/>
      <c r="AD110" s="293"/>
    </row>
    <row r="111">
      <c r="A111" s="293"/>
      <c r="B111" s="308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  <c r="AB111" s="293"/>
      <c r="AC111" s="293"/>
      <c r="AD111" s="293"/>
    </row>
    <row r="112">
      <c r="A112" s="293"/>
      <c r="B112" s="308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93"/>
      <c r="AB112" s="293"/>
      <c r="AC112" s="293"/>
      <c r="AD112" s="293"/>
    </row>
    <row r="113">
      <c r="A113" s="293"/>
      <c r="B113" s="308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93"/>
      <c r="AB113" s="293"/>
      <c r="AC113" s="293"/>
      <c r="AD113" s="293"/>
    </row>
    <row r="114">
      <c r="A114" s="293"/>
      <c r="B114" s="308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93"/>
      <c r="AB114" s="293"/>
      <c r="AC114" s="293"/>
      <c r="AD114" s="293"/>
    </row>
    <row r="115">
      <c r="A115" s="293"/>
      <c r="B115" s="308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293"/>
    </row>
    <row r="116">
      <c r="A116" s="293"/>
      <c r="B116" s="308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  <c r="AB116" s="293"/>
      <c r="AC116" s="293"/>
      <c r="AD116" s="293"/>
    </row>
    <row r="117">
      <c r="A117" s="293"/>
      <c r="B117" s="308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93"/>
      <c r="AB117" s="293"/>
      <c r="AC117" s="293"/>
      <c r="AD117" s="293"/>
    </row>
    <row r="118">
      <c r="A118" s="293"/>
      <c r="B118" s="308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93"/>
      <c r="AB118" s="293"/>
      <c r="AC118" s="293"/>
      <c r="AD118" s="293"/>
    </row>
    <row r="119">
      <c r="A119" s="293"/>
      <c r="B119" s="308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  <c r="AA119" s="293"/>
      <c r="AB119" s="293"/>
      <c r="AC119" s="293"/>
      <c r="AD119" s="293"/>
    </row>
    <row r="120">
      <c r="A120" s="293"/>
      <c r="B120" s="308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93"/>
      <c r="AB120" s="293"/>
      <c r="AC120" s="293"/>
      <c r="AD120" s="293"/>
    </row>
    <row r="121">
      <c r="A121" s="293"/>
      <c r="B121" s="308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V121" s="293"/>
      <c r="W121" s="293"/>
      <c r="X121" s="293"/>
      <c r="Y121" s="293"/>
      <c r="Z121" s="293"/>
      <c r="AA121" s="293"/>
      <c r="AB121" s="293"/>
      <c r="AC121" s="293"/>
      <c r="AD121" s="293"/>
    </row>
    <row r="122">
      <c r="A122" s="293"/>
      <c r="B122" s="308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93"/>
      <c r="AB122" s="293"/>
      <c r="AC122" s="293"/>
      <c r="AD122" s="293"/>
    </row>
    <row r="123">
      <c r="A123" s="293"/>
      <c r="B123" s="308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93"/>
      <c r="AB123" s="293"/>
      <c r="AC123" s="293"/>
      <c r="AD123" s="293"/>
    </row>
    <row r="124">
      <c r="A124" s="293"/>
      <c r="B124" s="308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93"/>
      <c r="AB124" s="293"/>
      <c r="AC124" s="293"/>
      <c r="AD124" s="293"/>
    </row>
    <row r="125">
      <c r="A125" s="293"/>
      <c r="B125" s="308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  <c r="Y125" s="293"/>
      <c r="Z125" s="293"/>
      <c r="AA125" s="293"/>
      <c r="AB125" s="293"/>
      <c r="AC125" s="293"/>
      <c r="AD125" s="293"/>
    </row>
    <row r="126">
      <c r="A126" s="293"/>
      <c r="B126" s="308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  <c r="Y126" s="293"/>
      <c r="Z126" s="293"/>
      <c r="AA126" s="293"/>
      <c r="AB126" s="293"/>
      <c r="AC126" s="293"/>
      <c r="AD126" s="293"/>
    </row>
    <row r="127">
      <c r="A127" s="293"/>
      <c r="B127" s="308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293"/>
      <c r="R127" s="293"/>
      <c r="S127" s="293"/>
      <c r="T127" s="293"/>
      <c r="U127" s="293"/>
      <c r="V127" s="293"/>
      <c r="W127" s="293"/>
      <c r="X127" s="293"/>
      <c r="Y127" s="293"/>
      <c r="Z127" s="293"/>
      <c r="AA127" s="293"/>
      <c r="AB127" s="293"/>
      <c r="AC127" s="293"/>
      <c r="AD127" s="293"/>
    </row>
    <row r="128">
      <c r="A128" s="293"/>
      <c r="B128" s="308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93"/>
      <c r="AB128" s="293"/>
      <c r="AC128" s="293"/>
      <c r="AD128" s="293"/>
    </row>
    <row r="129">
      <c r="A129" s="293"/>
      <c r="B129" s="308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293"/>
      <c r="AD129" s="293"/>
    </row>
    <row r="130">
      <c r="A130" s="293"/>
      <c r="B130" s="308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  <c r="Y130" s="293"/>
      <c r="Z130" s="293"/>
      <c r="AA130" s="293"/>
      <c r="AB130" s="293"/>
      <c r="AC130" s="293"/>
      <c r="AD130" s="293"/>
    </row>
    <row r="131">
      <c r="A131" s="293"/>
      <c r="B131" s="308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  <c r="Y131" s="293"/>
      <c r="Z131" s="293"/>
      <c r="AA131" s="293"/>
      <c r="AB131" s="293"/>
      <c r="AC131" s="293"/>
      <c r="AD131" s="293"/>
    </row>
    <row r="132">
      <c r="A132" s="293"/>
      <c r="B132" s="308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93"/>
      <c r="AB132" s="293"/>
      <c r="AC132" s="293"/>
      <c r="AD132" s="293"/>
    </row>
    <row r="133">
      <c r="A133" s="293"/>
      <c r="B133" s="308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93"/>
      <c r="AB133" s="293"/>
      <c r="AC133" s="293"/>
      <c r="AD133" s="293"/>
    </row>
    <row r="134">
      <c r="A134" s="293"/>
      <c r="B134" s="308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3"/>
      <c r="P134" s="293"/>
      <c r="Q134" s="293"/>
      <c r="R134" s="293"/>
      <c r="S134" s="293"/>
      <c r="T134" s="293"/>
      <c r="U134" s="293"/>
      <c r="V134" s="293"/>
      <c r="W134" s="293"/>
      <c r="X134" s="293"/>
      <c r="Y134" s="293"/>
      <c r="Z134" s="293"/>
      <c r="AA134" s="293"/>
      <c r="AB134" s="293"/>
      <c r="AC134" s="293"/>
      <c r="AD134" s="293"/>
    </row>
    <row r="135">
      <c r="A135" s="293"/>
      <c r="B135" s="308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</row>
    <row r="136">
      <c r="A136" s="293"/>
      <c r="B136" s="308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93"/>
      <c r="AB136" s="293"/>
      <c r="AC136" s="293"/>
      <c r="AD136" s="293"/>
    </row>
    <row r="137">
      <c r="A137" s="293"/>
      <c r="B137" s="308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  <c r="Y137" s="293"/>
      <c r="Z137" s="293"/>
      <c r="AA137" s="293"/>
      <c r="AB137" s="293"/>
      <c r="AC137" s="293"/>
      <c r="AD137" s="293"/>
    </row>
    <row r="138">
      <c r="A138" s="293"/>
      <c r="B138" s="308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93"/>
      <c r="AB138" s="293"/>
      <c r="AC138" s="293"/>
      <c r="AD138" s="293"/>
    </row>
    <row r="139">
      <c r="A139" s="293"/>
      <c r="B139" s="308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93"/>
      <c r="AB139" s="293"/>
      <c r="AC139" s="293"/>
      <c r="AD139" s="293"/>
    </row>
    <row r="140">
      <c r="A140" s="293"/>
      <c r="B140" s="308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  <c r="AA140" s="293"/>
      <c r="AB140" s="293"/>
      <c r="AC140" s="293"/>
      <c r="AD140" s="293"/>
    </row>
    <row r="141">
      <c r="A141" s="293"/>
      <c r="B141" s="308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93"/>
      <c r="AB141" s="293"/>
      <c r="AC141" s="293"/>
      <c r="AD141" s="293"/>
    </row>
    <row r="142">
      <c r="A142" s="293"/>
      <c r="B142" s="308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93"/>
      <c r="AB142" s="293"/>
      <c r="AC142" s="293"/>
      <c r="AD142" s="293"/>
    </row>
    <row r="143">
      <c r="A143" s="293"/>
      <c r="B143" s="308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93"/>
      <c r="AB143" s="293"/>
      <c r="AC143" s="293"/>
      <c r="AD143" s="293"/>
    </row>
    <row r="144">
      <c r="A144" s="293"/>
      <c r="B144" s="308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93"/>
      <c r="AB144" s="293"/>
      <c r="AC144" s="293"/>
      <c r="AD144" s="293"/>
    </row>
    <row r="145">
      <c r="A145" s="293"/>
      <c r="B145" s="308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93"/>
      <c r="AB145" s="293"/>
      <c r="AC145" s="293"/>
      <c r="AD145" s="293"/>
    </row>
    <row r="146">
      <c r="A146" s="293"/>
      <c r="B146" s="308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  <c r="AA146" s="293"/>
      <c r="AB146" s="293"/>
      <c r="AC146" s="293"/>
      <c r="AD146" s="293"/>
    </row>
    <row r="147">
      <c r="A147" s="293"/>
      <c r="B147" s="308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</row>
    <row r="148">
      <c r="A148" s="293"/>
      <c r="B148" s="308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93"/>
      <c r="AB148" s="293"/>
      <c r="AC148" s="293"/>
      <c r="AD148" s="293"/>
    </row>
    <row r="149">
      <c r="A149" s="293"/>
      <c r="B149" s="308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93"/>
      <c r="AB149" s="293"/>
      <c r="AC149" s="293"/>
      <c r="AD149" s="293"/>
    </row>
    <row r="150">
      <c r="A150" s="293"/>
      <c r="B150" s="308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93"/>
      <c r="AB150" s="293"/>
      <c r="AC150" s="293"/>
      <c r="AD150" s="293"/>
    </row>
    <row r="151">
      <c r="A151" s="293"/>
      <c r="B151" s="308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93"/>
      <c r="AB151" s="293"/>
      <c r="AC151" s="293"/>
      <c r="AD151" s="293"/>
    </row>
    <row r="152">
      <c r="A152" s="293"/>
      <c r="B152" s="308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93"/>
      <c r="AB152" s="293"/>
      <c r="AC152" s="293"/>
      <c r="AD152" s="293"/>
    </row>
    <row r="153">
      <c r="A153" s="293"/>
      <c r="B153" s="308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93"/>
      <c r="AB153" s="293"/>
      <c r="AC153" s="293"/>
      <c r="AD153" s="293"/>
    </row>
    <row r="154">
      <c r="A154" s="293"/>
      <c r="B154" s="308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93"/>
      <c r="AB154" s="293"/>
      <c r="AC154" s="293"/>
      <c r="AD154" s="293"/>
    </row>
    <row r="155">
      <c r="A155" s="293"/>
      <c r="B155" s="308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93"/>
      <c r="AB155" s="293"/>
      <c r="AC155" s="293"/>
      <c r="AD155" s="293"/>
    </row>
    <row r="156">
      <c r="A156" s="293"/>
      <c r="B156" s="308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93"/>
      <c r="AB156" s="293"/>
      <c r="AC156" s="293"/>
      <c r="AD156" s="293"/>
    </row>
    <row r="157">
      <c r="A157" s="293"/>
      <c r="B157" s="308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293"/>
      <c r="R157" s="293"/>
      <c r="S157" s="293"/>
      <c r="T157" s="293"/>
      <c r="U157" s="293"/>
      <c r="V157" s="293"/>
      <c r="W157" s="293"/>
      <c r="X157" s="293"/>
      <c r="Y157" s="293"/>
      <c r="Z157" s="293"/>
      <c r="AA157" s="293"/>
      <c r="AB157" s="293"/>
      <c r="AC157" s="293"/>
      <c r="AD157" s="293"/>
    </row>
    <row r="158">
      <c r="A158" s="293"/>
      <c r="B158" s="308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</row>
    <row r="159">
      <c r="A159" s="293"/>
      <c r="B159" s="308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93"/>
      <c r="AB159" s="293"/>
      <c r="AC159" s="293"/>
      <c r="AD159" s="293"/>
    </row>
    <row r="160">
      <c r="A160" s="293"/>
      <c r="B160" s="308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93"/>
      <c r="AB160" s="293"/>
      <c r="AC160" s="293"/>
      <c r="AD160" s="293"/>
    </row>
    <row r="161">
      <c r="A161" s="293"/>
      <c r="B161" s="308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93"/>
      <c r="AB161" s="293"/>
      <c r="AC161" s="293"/>
      <c r="AD161" s="293"/>
    </row>
    <row r="162">
      <c r="A162" s="293"/>
      <c r="B162" s="308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3"/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  <c r="AA162" s="293"/>
      <c r="AB162" s="293"/>
      <c r="AC162" s="293"/>
      <c r="AD162" s="293"/>
    </row>
    <row r="163">
      <c r="A163" s="293"/>
      <c r="B163" s="308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93"/>
      <c r="AB163" s="293"/>
      <c r="AC163" s="293"/>
      <c r="AD163" s="293"/>
    </row>
    <row r="164">
      <c r="A164" s="293"/>
      <c r="B164" s="308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93"/>
      <c r="AB164" s="293"/>
      <c r="AC164" s="293"/>
      <c r="AD164" s="293"/>
    </row>
    <row r="165">
      <c r="A165" s="293"/>
      <c r="B165" s="308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93"/>
      <c r="AB165" s="293"/>
      <c r="AC165" s="293"/>
      <c r="AD165" s="293"/>
    </row>
    <row r="166">
      <c r="A166" s="293"/>
      <c r="B166" s="308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93"/>
      <c r="AB166" s="293"/>
      <c r="AC166" s="293"/>
      <c r="AD166" s="293"/>
    </row>
    <row r="167">
      <c r="A167" s="293"/>
      <c r="B167" s="308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3"/>
      <c r="P167" s="293"/>
      <c r="Q167" s="293"/>
      <c r="R167" s="293"/>
      <c r="S167" s="293"/>
      <c r="T167" s="293"/>
      <c r="U167" s="293"/>
      <c r="V167" s="293"/>
      <c r="W167" s="293"/>
      <c r="X167" s="293"/>
      <c r="Y167" s="293"/>
      <c r="Z167" s="293"/>
      <c r="AA167" s="293"/>
      <c r="AB167" s="293"/>
      <c r="AC167" s="293"/>
      <c r="AD167" s="293"/>
    </row>
    <row r="168">
      <c r="A168" s="293"/>
      <c r="B168" s="308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3"/>
      <c r="P168" s="293"/>
      <c r="Q168" s="293"/>
      <c r="R168" s="293"/>
      <c r="S168" s="293"/>
      <c r="T168" s="293"/>
      <c r="U168" s="293"/>
      <c r="V168" s="293"/>
      <c r="W168" s="293"/>
      <c r="X168" s="293"/>
      <c r="Y168" s="293"/>
      <c r="Z168" s="293"/>
      <c r="AA168" s="293"/>
      <c r="AB168" s="293"/>
      <c r="AC168" s="293"/>
      <c r="AD168" s="293"/>
    </row>
    <row r="169">
      <c r="A169" s="293"/>
      <c r="B169" s="308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93"/>
      <c r="AB169" s="293"/>
      <c r="AC169" s="293"/>
      <c r="AD169" s="293"/>
    </row>
    <row r="170">
      <c r="A170" s="293"/>
      <c r="B170" s="308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93"/>
      <c r="AB170" s="293"/>
      <c r="AC170" s="293"/>
      <c r="AD170" s="293"/>
    </row>
    <row r="171">
      <c r="A171" s="293"/>
      <c r="B171" s="308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93"/>
      <c r="AB171" s="293"/>
      <c r="AC171" s="293"/>
      <c r="AD171" s="293"/>
    </row>
    <row r="172">
      <c r="A172" s="293"/>
      <c r="B172" s="308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93"/>
      <c r="AB172" s="293"/>
      <c r="AC172" s="293"/>
      <c r="AD172" s="293"/>
    </row>
    <row r="173">
      <c r="A173" s="293"/>
      <c r="B173" s="308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3"/>
      <c r="P173" s="293"/>
      <c r="Q173" s="293"/>
      <c r="R173" s="293"/>
      <c r="S173" s="293"/>
      <c r="T173" s="293"/>
      <c r="U173" s="293"/>
      <c r="V173" s="293"/>
      <c r="W173" s="293"/>
      <c r="X173" s="293"/>
      <c r="Y173" s="293"/>
      <c r="Z173" s="293"/>
      <c r="AA173" s="293"/>
      <c r="AB173" s="293"/>
      <c r="AC173" s="293"/>
      <c r="AD173" s="293"/>
    </row>
    <row r="174">
      <c r="A174" s="293"/>
      <c r="B174" s="308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93"/>
      <c r="AB174" s="293"/>
      <c r="AC174" s="293"/>
      <c r="AD174" s="293"/>
    </row>
    <row r="175">
      <c r="A175" s="293"/>
      <c r="B175" s="308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  <c r="AB175" s="293"/>
      <c r="AC175" s="293"/>
      <c r="AD175" s="293"/>
    </row>
    <row r="176">
      <c r="A176" s="293"/>
      <c r="B176" s="308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93"/>
      <c r="AB176" s="293"/>
      <c r="AC176" s="293"/>
      <c r="AD176" s="293"/>
    </row>
    <row r="177">
      <c r="A177" s="293"/>
      <c r="B177" s="308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93"/>
      <c r="AB177" s="293"/>
      <c r="AC177" s="293"/>
      <c r="AD177" s="293"/>
    </row>
    <row r="178">
      <c r="A178" s="293"/>
      <c r="B178" s="308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93"/>
      <c r="AB178" s="293"/>
      <c r="AC178" s="293"/>
      <c r="AD178" s="293"/>
    </row>
    <row r="179">
      <c r="A179" s="293"/>
      <c r="B179" s="308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93"/>
      <c r="AB179" s="293"/>
      <c r="AC179" s="293"/>
      <c r="AD179" s="293"/>
    </row>
    <row r="180">
      <c r="A180" s="293"/>
      <c r="B180" s="308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93"/>
      <c r="AB180" s="293"/>
      <c r="AC180" s="293"/>
      <c r="AD180" s="293"/>
    </row>
    <row r="181">
      <c r="A181" s="293"/>
      <c r="B181" s="308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</row>
    <row r="182">
      <c r="A182" s="293"/>
      <c r="B182" s="308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93"/>
      <c r="AB182" s="293"/>
      <c r="AC182" s="293"/>
      <c r="AD182" s="293"/>
    </row>
    <row r="183">
      <c r="A183" s="293"/>
      <c r="B183" s="308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93"/>
      <c r="AB183" s="293"/>
      <c r="AC183" s="293"/>
      <c r="AD183" s="293"/>
    </row>
    <row r="184">
      <c r="A184" s="293"/>
      <c r="B184" s="308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3"/>
      <c r="P184" s="293"/>
      <c r="Q184" s="293"/>
      <c r="R184" s="293"/>
      <c r="S184" s="293"/>
      <c r="T184" s="293"/>
      <c r="U184" s="293"/>
      <c r="V184" s="293"/>
      <c r="W184" s="293"/>
      <c r="X184" s="293"/>
      <c r="Y184" s="293"/>
      <c r="Z184" s="293"/>
      <c r="AA184" s="293"/>
      <c r="AB184" s="293"/>
      <c r="AC184" s="293"/>
      <c r="AD184" s="293"/>
    </row>
    <row r="185">
      <c r="A185" s="293"/>
      <c r="B185" s="308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93"/>
      <c r="AB185" s="293"/>
      <c r="AC185" s="293"/>
      <c r="AD185" s="293"/>
    </row>
    <row r="186">
      <c r="A186" s="293"/>
      <c r="B186" s="308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93"/>
      <c r="AB186" s="293"/>
      <c r="AC186" s="293"/>
      <c r="AD186" s="293"/>
    </row>
    <row r="187">
      <c r="A187" s="293"/>
      <c r="B187" s="308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93"/>
      <c r="AB187" s="293"/>
      <c r="AC187" s="293"/>
      <c r="AD187" s="293"/>
    </row>
    <row r="188">
      <c r="A188" s="293"/>
      <c r="B188" s="308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93"/>
      <c r="AB188" s="293"/>
      <c r="AC188" s="293"/>
      <c r="AD188" s="293"/>
    </row>
    <row r="189">
      <c r="A189" s="293"/>
      <c r="B189" s="308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93"/>
      <c r="AB189" s="293"/>
      <c r="AC189" s="293"/>
      <c r="AD189" s="293"/>
    </row>
    <row r="190">
      <c r="A190" s="293"/>
      <c r="B190" s="308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93"/>
      <c r="AB190" s="293"/>
      <c r="AC190" s="293"/>
      <c r="AD190" s="293"/>
    </row>
    <row r="191">
      <c r="A191" s="293"/>
      <c r="B191" s="308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93"/>
      <c r="AB191" s="293"/>
      <c r="AC191" s="293"/>
      <c r="AD191" s="293"/>
    </row>
    <row r="192">
      <c r="A192" s="293"/>
      <c r="B192" s="308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93"/>
      <c r="AB192" s="293"/>
      <c r="AC192" s="293"/>
      <c r="AD192" s="293"/>
    </row>
    <row r="193">
      <c r="A193" s="293"/>
      <c r="B193" s="308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  <c r="AA193" s="293"/>
      <c r="AB193" s="293"/>
      <c r="AC193" s="293"/>
      <c r="AD193" s="293"/>
    </row>
    <row r="194">
      <c r="A194" s="293"/>
      <c r="B194" s="308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3"/>
      <c r="P194" s="293"/>
      <c r="Q194" s="293"/>
      <c r="R194" s="293"/>
      <c r="S194" s="293"/>
      <c r="T194" s="293"/>
      <c r="U194" s="293"/>
      <c r="V194" s="293"/>
      <c r="W194" s="293"/>
      <c r="X194" s="293"/>
      <c r="Y194" s="293"/>
      <c r="Z194" s="293"/>
      <c r="AA194" s="293"/>
      <c r="AB194" s="293"/>
      <c r="AC194" s="293"/>
      <c r="AD194" s="293"/>
    </row>
    <row r="195">
      <c r="A195" s="293"/>
      <c r="B195" s="308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93"/>
      <c r="AB195" s="293"/>
      <c r="AC195" s="293"/>
      <c r="AD195" s="293"/>
    </row>
    <row r="196">
      <c r="A196" s="293"/>
      <c r="B196" s="308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293"/>
      <c r="AB196" s="293"/>
      <c r="AC196" s="293"/>
      <c r="AD196" s="293"/>
    </row>
    <row r="197">
      <c r="A197" s="293"/>
      <c r="B197" s="308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93"/>
      <c r="AB197" s="293"/>
      <c r="AC197" s="293"/>
      <c r="AD197" s="293"/>
    </row>
    <row r="198">
      <c r="A198" s="293"/>
      <c r="B198" s="308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93"/>
      <c r="AB198" s="293"/>
      <c r="AC198" s="293"/>
      <c r="AD198" s="293"/>
    </row>
    <row r="199">
      <c r="A199" s="293"/>
      <c r="B199" s="308"/>
      <c r="C199" s="293"/>
      <c r="D199" s="293"/>
      <c r="E199" s="293"/>
      <c r="F199" s="293"/>
      <c r="G199" s="293"/>
      <c r="H199" s="293"/>
      <c r="I199" s="293"/>
      <c r="J199" s="293"/>
      <c r="K199" s="293"/>
      <c r="L199" s="293"/>
      <c r="M199" s="293"/>
      <c r="N199" s="293"/>
      <c r="O199" s="293"/>
      <c r="P199" s="293"/>
      <c r="Q199" s="293"/>
      <c r="R199" s="293"/>
      <c r="S199" s="293"/>
      <c r="T199" s="293"/>
      <c r="U199" s="293"/>
      <c r="V199" s="293"/>
      <c r="W199" s="293"/>
      <c r="X199" s="293"/>
      <c r="Y199" s="293"/>
      <c r="Z199" s="293"/>
      <c r="AA199" s="293"/>
      <c r="AB199" s="293"/>
      <c r="AC199" s="293"/>
      <c r="AD199" s="293"/>
    </row>
    <row r="200">
      <c r="A200" s="293"/>
      <c r="B200" s="308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93"/>
      <c r="AB200" s="293"/>
      <c r="AC200" s="293"/>
      <c r="AD200" s="293"/>
    </row>
    <row r="201">
      <c r="A201" s="293"/>
      <c r="B201" s="308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93"/>
      <c r="AB201" s="293"/>
      <c r="AC201" s="293"/>
      <c r="AD201" s="293"/>
    </row>
    <row r="202">
      <c r="A202" s="293"/>
      <c r="B202" s="308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93"/>
      <c r="AB202" s="293"/>
      <c r="AC202" s="293"/>
      <c r="AD202" s="293"/>
    </row>
    <row r="203">
      <c r="A203" s="293"/>
      <c r="B203" s="308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93"/>
      <c r="AB203" s="293"/>
      <c r="AC203" s="293"/>
      <c r="AD203" s="293"/>
    </row>
    <row r="204">
      <c r="A204" s="293"/>
      <c r="B204" s="308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93"/>
      <c r="AB204" s="293"/>
      <c r="AC204" s="293"/>
      <c r="AD204" s="293"/>
    </row>
    <row r="205">
      <c r="A205" s="293"/>
      <c r="B205" s="308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93"/>
      <c r="AB205" s="293"/>
      <c r="AC205" s="293"/>
      <c r="AD205" s="293"/>
    </row>
    <row r="206">
      <c r="A206" s="293"/>
      <c r="B206" s="308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  <c r="AA206" s="293"/>
      <c r="AB206" s="293"/>
      <c r="AC206" s="293"/>
      <c r="AD206" s="293"/>
    </row>
    <row r="207">
      <c r="A207" s="293"/>
      <c r="B207" s="308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  <c r="Y207" s="293"/>
      <c r="Z207" s="293"/>
      <c r="AA207" s="293"/>
      <c r="AB207" s="293"/>
      <c r="AC207" s="293"/>
      <c r="AD207" s="293"/>
    </row>
    <row r="208">
      <c r="A208" s="293"/>
      <c r="B208" s="308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93"/>
      <c r="AB208" s="293"/>
      <c r="AC208" s="293"/>
      <c r="AD208" s="293"/>
    </row>
    <row r="209">
      <c r="A209" s="293"/>
      <c r="B209" s="308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93"/>
      <c r="AB209" s="293"/>
      <c r="AC209" s="293"/>
      <c r="AD209" s="293"/>
    </row>
    <row r="210">
      <c r="A210" s="293"/>
      <c r="B210" s="308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93"/>
      <c r="AB210" s="293"/>
      <c r="AC210" s="293"/>
      <c r="AD210" s="293"/>
    </row>
    <row r="211">
      <c r="A211" s="293"/>
      <c r="B211" s="308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93"/>
      <c r="AB211" s="293"/>
      <c r="AC211" s="293"/>
      <c r="AD211" s="293"/>
    </row>
    <row r="212">
      <c r="A212" s="293"/>
      <c r="B212" s="308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  <c r="AA212" s="293"/>
      <c r="AB212" s="293"/>
      <c r="AC212" s="293"/>
      <c r="AD212" s="293"/>
    </row>
    <row r="213">
      <c r="A213" s="293"/>
      <c r="B213" s="308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93"/>
      <c r="AB213" s="293"/>
      <c r="AC213" s="293"/>
      <c r="AD213" s="293"/>
    </row>
    <row r="214">
      <c r="A214" s="293"/>
      <c r="B214" s="308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93"/>
      <c r="AB214" s="293"/>
      <c r="AC214" s="293"/>
      <c r="AD214" s="293"/>
    </row>
    <row r="215">
      <c r="A215" s="293"/>
      <c r="B215" s="308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93"/>
      <c r="AB215" s="293"/>
      <c r="AC215" s="293"/>
      <c r="AD215" s="293"/>
    </row>
    <row r="216">
      <c r="A216" s="293"/>
      <c r="B216" s="308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93"/>
      <c r="AB216" s="293"/>
      <c r="AC216" s="293"/>
      <c r="AD216" s="293"/>
    </row>
    <row r="217">
      <c r="A217" s="293"/>
      <c r="B217" s="308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93"/>
      <c r="AB217" s="293"/>
      <c r="AC217" s="293"/>
      <c r="AD217" s="293"/>
    </row>
    <row r="218">
      <c r="A218" s="293"/>
      <c r="B218" s="308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93"/>
      <c r="AB218" s="293"/>
      <c r="AC218" s="293"/>
      <c r="AD218" s="293"/>
    </row>
    <row r="219">
      <c r="A219" s="293"/>
      <c r="B219" s="308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93"/>
      <c r="AB219" s="293"/>
      <c r="AC219" s="293"/>
      <c r="AD219" s="293"/>
    </row>
    <row r="220">
      <c r="A220" s="293"/>
      <c r="B220" s="308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93"/>
      <c r="AB220" s="293"/>
      <c r="AC220" s="293"/>
      <c r="AD220" s="293"/>
    </row>
    <row r="221">
      <c r="A221" s="293"/>
      <c r="B221" s="308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  <c r="Y221" s="293"/>
      <c r="Z221" s="293"/>
      <c r="AA221" s="293"/>
      <c r="AB221" s="293"/>
      <c r="AC221" s="293"/>
      <c r="AD221" s="293"/>
    </row>
    <row r="222">
      <c r="A222" s="293"/>
      <c r="B222" s="308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93"/>
      <c r="AB222" s="293"/>
      <c r="AC222" s="293"/>
      <c r="AD222" s="293"/>
    </row>
    <row r="223">
      <c r="A223" s="293"/>
      <c r="B223" s="308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93"/>
      <c r="AB223" s="293"/>
      <c r="AC223" s="293"/>
      <c r="AD223" s="293"/>
    </row>
    <row r="224">
      <c r="A224" s="293"/>
      <c r="B224" s="308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93"/>
      <c r="AB224" s="293"/>
      <c r="AC224" s="293"/>
      <c r="AD224" s="293"/>
    </row>
    <row r="225">
      <c r="A225" s="293"/>
      <c r="B225" s="308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93"/>
      <c r="AB225" s="293"/>
      <c r="AC225" s="293"/>
      <c r="AD225" s="293"/>
    </row>
    <row r="226">
      <c r="A226" s="293"/>
      <c r="B226" s="308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93"/>
      <c r="AB226" s="293"/>
      <c r="AC226" s="293"/>
      <c r="AD226" s="293"/>
    </row>
    <row r="227">
      <c r="A227" s="293"/>
      <c r="B227" s="308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293"/>
      <c r="AB227" s="293"/>
      <c r="AC227" s="293"/>
      <c r="AD227" s="293"/>
    </row>
    <row r="228">
      <c r="A228" s="293"/>
      <c r="B228" s="308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93"/>
      <c r="AB228" s="293"/>
      <c r="AC228" s="293"/>
      <c r="AD228" s="293"/>
    </row>
    <row r="229">
      <c r="A229" s="293"/>
      <c r="B229" s="308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93"/>
      <c r="AB229" s="293"/>
      <c r="AC229" s="293"/>
      <c r="AD229" s="293"/>
    </row>
    <row r="230">
      <c r="A230" s="293"/>
      <c r="B230" s="308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93"/>
      <c r="AB230" s="293"/>
      <c r="AC230" s="293"/>
      <c r="AD230" s="293"/>
    </row>
    <row r="231">
      <c r="A231" s="293"/>
      <c r="B231" s="308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93"/>
      <c r="AB231" s="293"/>
      <c r="AC231" s="293"/>
      <c r="AD231" s="293"/>
    </row>
    <row r="232">
      <c r="A232" s="293"/>
      <c r="B232" s="308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93"/>
      <c r="AB232" s="293"/>
      <c r="AC232" s="293"/>
      <c r="AD232" s="293"/>
    </row>
    <row r="233">
      <c r="A233" s="293"/>
      <c r="B233" s="308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93"/>
      <c r="AB233" s="293"/>
      <c r="AC233" s="293"/>
      <c r="AD233" s="293"/>
    </row>
    <row r="234">
      <c r="A234" s="293"/>
      <c r="B234" s="308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3"/>
      <c r="P234" s="293"/>
      <c r="Q234" s="293"/>
      <c r="R234" s="293"/>
      <c r="S234" s="293"/>
      <c r="T234" s="293"/>
      <c r="U234" s="293"/>
      <c r="V234" s="293"/>
      <c r="W234" s="293"/>
      <c r="X234" s="293"/>
      <c r="Y234" s="293"/>
      <c r="Z234" s="293"/>
      <c r="AA234" s="293"/>
      <c r="AB234" s="293"/>
      <c r="AC234" s="293"/>
      <c r="AD234" s="293"/>
    </row>
    <row r="235">
      <c r="A235" s="293"/>
      <c r="B235" s="308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  <c r="AA235" s="293"/>
      <c r="AB235" s="293"/>
      <c r="AC235" s="293"/>
      <c r="AD235" s="293"/>
    </row>
    <row r="236">
      <c r="A236" s="293"/>
      <c r="B236" s="308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93"/>
      <c r="AB236" s="293"/>
      <c r="AC236" s="293"/>
      <c r="AD236" s="293"/>
    </row>
    <row r="237">
      <c r="A237" s="293"/>
      <c r="B237" s="308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93"/>
      <c r="AB237" s="293"/>
      <c r="AC237" s="293"/>
      <c r="AD237" s="293"/>
    </row>
    <row r="238">
      <c r="A238" s="293"/>
      <c r="B238" s="308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93"/>
      <c r="AB238" s="293"/>
      <c r="AC238" s="293"/>
      <c r="AD238" s="293"/>
    </row>
    <row r="239">
      <c r="A239" s="293"/>
      <c r="B239" s="308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93"/>
      <c r="AB239" s="293"/>
      <c r="AC239" s="293"/>
      <c r="AD239" s="293"/>
    </row>
    <row r="240">
      <c r="A240" s="293"/>
      <c r="B240" s="308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  <c r="AA240" s="293"/>
      <c r="AB240" s="293"/>
      <c r="AC240" s="293"/>
      <c r="AD240" s="293"/>
    </row>
    <row r="241">
      <c r="A241" s="293"/>
      <c r="B241" s="308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93"/>
      <c r="AB241" s="293"/>
      <c r="AC241" s="293"/>
      <c r="AD241" s="293"/>
    </row>
    <row r="242">
      <c r="A242" s="293"/>
      <c r="B242" s="308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93"/>
      <c r="AB242" s="293"/>
      <c r="AC242" s="293"/>
      <c r="AD242" s="293"/>
    </row>
    <row r="243">
      <c r="A243" s="293"/>
      <c r="B243" s="308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93"/>
      <c r="AB243" s="293"/>
      <c r="AC243" s="293"/>
      <c r="AD243" s="293"/>
    </row>
    <row r="244">
      <c r="A244" s="293"/>
      <c r="B244" s="308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  <c r="AB244" s="293"/>
      <c r="AC244" s="293"/>
      <c r="AD244" s="293"/>
    </row>
    <row r="245">
      <c r="A245" s="293"/>
      <c r="B245" s="308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  <c r="AA245" s="293"/>
      <c r="AB245" s="293"/>
      <c r="AC245" s="293"/>
      <c r="AD245" s="293"/>
    </row>
    <row r="246">
      <c r="A246" s="293"/>
      <c r="B246" s="308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93"/>
      <c r="AB246" s="293"/>
      <c r="AC246" s="293"/>
      <c r="AD246" s="293"/>
    </row>
    <row r="247">
      <c r="A247" s="293"/>
      <c r="B247" s="308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93"/>
      <c r="AB247" s="293"/>
      <c r="AC247" s="293"/>
      <c r="AD247" s="293"/>
    </row>
    <row r="248">
      <c r="A248" s="293"/>
      <c r="B248" s="308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93"/>
      <c r="AB248" s="293"/>
      <c r="AC248" s="293"/>
      <c r="AD248" s="293"/>
    </row>
    <row r="249">
      <c r="A249" s="293"/>
      <c r="B249" s="308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93"/>
      <c r="AB249" s="293"/>
      <c r="AC249" s="293"/>
      <c r="AD249" s="293"/>
    </row>
    <row r="250">
      <c r="A250" s="293"/>
      <c r="B250" s="308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  <c r="AA250" s="293"/>
      <c r="AB250" s="293"/>
      <c r="AC250" s="293"/>
      <c r="AD250" s="293"/>
    </row>
    <row r="251">
      <c r="A251" s="293"/>
      <c r="B251" s="308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93"/>
      <c r="AB251" s="293"/>
      <c r="AC251" s="293"/>
      <c r="AD251" s="293"/>
    </row>
    <row r="252">
      <c r="A252" s="293"/>
      <c r="B252" s="308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</row>
    <row r="253">
      <c r="A253" s="293"/>
      <c r="B253" s="308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293"/>
      <c r="AB253" s="293"/>
      <c r="AC253" s="293"/>
      <c r="AD253" s="293"/>
    </row>
    <row r="254">
      <c r="A254" s="293"/>
      <c r="B254" s="308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93"/>
      <c r="AB254" s="293"/>
      <c r="AC254" s="293"/>
      <c r="AD254" s="293"/>
    </row>
    <row r="255">
      <c r="A255" s="293"/>
      <c r="B255" s="308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3"/>
      <c r="P255" s="293"/>
      <c r="Q255" s="293"/>
      <c r="R255" s="293"/>
      <c r="S255" s="293"/>
      <c r="T255" s="293"/>
      <c r="U255" s="293"/>
      <c r="V255" s="293"/>
      <c r="W255" s="293"/>
      <c r="X255" s="293"/>
      <c r="Y255" s="293"/>
      <c r="Z255" s="293"/>
      <c r="AA255" s="293"/>
      <c r="AB255" s="293"/>
      <c r="AC255" s="293"/>
      <c r="AD255" s="293"/>
    </row>
    <row r="256">
      <c r="A256" s="293"/>
      <c r="B256" s="308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3"/>
      <c r="P256" s="293"/>
      <c r="Q256" s="293"/>
      <c r="R256" s="293"/>
      <c r="S256" s="293"/>
      <c r="T256" s="293"/>
      <c r="U256" s="293"/>
      <c r="V256" s="293"/>
      <c r="W256" s="293"/>
      <c r="X256" s="293"/>
      <c r="Y256" s="293"/>
      <c r="Z256" s="293"/>
      <c r="AA256" s="293"/>
      <c r="AB256" s="293"/>
      <c r="AC256" s="293"/>
      <c r="AD256" s="293"/>
    </row>
    <row r="257">
      <c r="A257" s="293"/>
      <c r="B257" s="308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93"/>
      <c r="AB257" s="293"/>
      <c r="AC257" s="293"/>
      <c r="AD257" s="293"/>
    </row>
    <row r="258">
      <c r="A258" s="293"/>
      <c r="B258" s="308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293"/>
      <c r="P258" s="293"/>
      <c r="Q258" s="293"/>
      <c r="R258" s="293"/>
      <c r="S258" s="293"/>
      <c r="T258" s="293"/>
      <c r="U258" s="293"/>
      <c r="V258" s="293"/>
      <c r="W258" s="293"/>
      <c r="X258" s="293"/>
      <c r="Y258" s="293"/>
      <c r="Z258" s="293"/>
      <c r="AA258" s="293"/>
      <c r="AB258" s="293"/>
      <c r="AC258" s="293"/>
      <c r="AD258" s="293"/>
    </row>
    <row r="259">
      <c r="A259" s="293"/>
      <c r="B259" s="308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3"/>
      <c r="P259" s="293"/>
      <c r="Q259" s="293"/>
      <c r="R259" s="293"/>
      <c r="S259" s="293"/>
      <c r="T259" s="293"/>
      <c r="U259" s="293"/>
      <c r="V259" s="293"/>
      <c r="W259" s="293"/>
      <c r="X259" s="293"/>
      <c r="Y259" s="293"/>
      <c r="Z259" s="293"/>
      <c r="AA259" s="293"/>
      <c r="AB259" s="293"/>
      <c r="AC259" s="293"/>
      <c r="AD259" s="293"/>
    </row>
    <row r="260">
      <c r="A260" s="293"/>
      <c r="B260" s="308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93"/>
      <c r="AB260" s="293"/>
      <c r="AC260" s="293"/>
      <c r="AD260" s="293"/>
    </row>
    <row r="261">
      <c r="A261" s="293"/>
      <c r="B261" s="308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93"/>
      <c r="AB261" s="293"/>
      <c r="AC261" s="293"/>
      <c r="AD261" s="293"/>
    </row>
    <row r="262">
      <c r="A262" s="293"/>
      <c r="B262" s="308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3"/>
      <c r="P262" s="293"/>
      <c r="Q262" s="293"/>
      <c r="R262" s="293"/>
      <c r="S262" s="293"/>
      <c r="T262" s="293"/>
      <c r="U262" s="293"/>
      <c r="V262" s="293"/>
      <c r="W262" s="293"/>
      <c r="X262" s="293"/>
      <c r="Y262" s="293"/>
      <c r="Z262" s="293"/>
      <c r="AA262" s="293"/>
      <c r="AB262" s="293"/>
      <c r="AC262" s="293"/>
      <c r="AD262" s="293"/>
    </row>
    <row r="263">
      <c r="A263" s="293"/>
      <c r="B263" s="308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93"/>
      <c r="AB263" s="293"/>
      <c r="AC263" s="293"/>
      <c r="AD263" s="293"/>
    </row>
    <row r="264">
      <c r="A264" s="293"/>
      <c r="B264" s="308"/>
      <c r="C264" s="293"/>
      <c r="D264" s="293"/>
      <c r="E264" s="293"/>
      <c r="F264" s="293"/>
      <c r="G264" s="293"/>
      <c r="H264" s="293"/>
      <c r="I264" s="293"/>
      <c r="J264" s="293"/>
      <c r="K264" s="293"/>
      <c r="L264" s="293"/>
      <c r="M264" s="293"/>
      <c r="N264" s="293"/>
      <c r="O264" s="293"/>
      <c r="P264" s="293"/>
      <c r="Q264" s="293"/>
      <c r="R264" s="293"/>
      <c r="S264" s="293"/>
      <c r="T264" s="293"/>
      <c r="U264" s="293"/>
      <c r="V264" s="293"/>
      <c r="W264" s="293"/>
      <c r="X264" s="293"/>
      <c r="Y264" s="293"/>
      <c r="Z264" s="293"/>
      <c r="AA264" s="293"/>
      <c r="AB264" s="293"/>
      <c r="AC264" s="293"/>
      <c r="AD264" s="293"/>
    </row>
    <row r="265">
      <c r="A265" s="293"/>
      <c r="B265" s="308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3"/>
      <c r="P265" s="293"/>
      <c r="Q265" s="293"/>
      <c r="R265" s="293"/>
      <c r="S265" s="293"/>
      <c r="T265" s="293"/>
      <c r="U265" s="293"/>
      <c r="V265" s="293"/>
      <c r="W265" s="293"/>
      <c r="X265" s="293"/>
      <c r="Y265" s="293"/>
      <c r="Z265" s="293"/>
      <c r="AA265" s="293"/>
      <c r="AB265" s="293"/>
      <c r="AC265" s="293"/>
      <c r="AD265" s="293"/>
    </row>
    <row r="266">
      <c r="A266" s="293"/>
      <c r="B266" s="308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3"/>
      <c r="P266" s="293"/>
      <c r="Q266" s="293"/>
      <c r="R266" s="293"/>
      <c r="S266" s="293"/>
      <c r="T266" s="293"/>
      <c r="U266" s="293"/>
      <c r="V266" s="293"/>
      <c r="W266" s="293"/>
      <c r="X266" s="293"/>
      <c r="Y266" s="293"/>
      <c r="Z266" s="293"/>
      <c r="AA266" s="293"/>
      <c r="AB266" s="293"/>
      <c r="AC266" s="293"/>
      <c r="AD266" s="293"/>
    </row>
    <row r="267">
      <c r="A267" s="293"/>
      <c r="B267" s="308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93"/>
      <c r="AB267" s="293"/>
      <c r="AC267" s="293"/>
      <c r="AD267" s="293"/>
    </row>
    <row r="268">
      <c r="A268" s="293"/>
      <c r="B268" s="308"/>
      <c r="C268" s="293"/>
      <c r="D268" s="293"/>
      <c r="E268" s="293"/>
      <c r="F268" s="293"/>
      <c r="G268" s="293"/>
      <c r="H268" s="293"/>
      <c r="I268" s="293"/>
      <c r="J268" s="293"/>
      <c r="K268" s="293"/>
      <c r="L268" s="293"/>
      <c r="M268" s="293"/>
      <c r="N268" s="293"/>
      <c r="O268" s="293"/>
      <c r="P268" s="293"/>
      <c r="Q268" s="293"/>
      <c r="R268" s="293"/>
      <c r="S268" s="293"/>
      <c r="T268" s="293"/>
      <c r="U268" s="293"/>
      <c r="V268" s="293"/>
      <c r="W268" s="293"/>
      <c r="X268" s="293"/>
      <c r="Y268" s="293"/>
      <c r="Z268" s="293"/>
      <c r="AA268" s="293"/>
      <c r="AB268" s="293"/>
      <c r="AC268" s="293"/>
      <c r="AD268" s="293"/>
    </row>
    <row r="269">
      <c r="A269" s="293"/>
      <c r="B269" s="308"/>
      <c r="C269" s="293"/>
      <c r="D269" s="293"/>
      <c r="E269" s="293"/>
      <c r="F269" s="293"/>
      <c r="G269" s="293"/>
      <c r="H269" s="293"/>
      <c r="I269" s="293"/>
      <c r="J269" s="293"/>
      <c r="K269" s="293"/>
      <c r="L269" s="293"/>
      <c r="M269" s="293"/>
      <c r="N269" s="293"/>
      <c r="O269" s="293"/>
      <c r="P269" s="293"/>
      <c r="Q269" s="293"/>
      <c r="R269" s="293"/>
      <c r="S269" s="293"/>
      <c r="T269" s="293"/>
      <c r="U269" s="293"/>
      <c r="V269" s="293"/>
      <c r="W269" s="293"/>
      <c r="X269" s="293"/>
      <c r="Y269" s="293"/>
      <c r="Z269" s="293"/>
      <c r="AA269" s="293"/>
      <c r="AB269" s="293"/>
      <c r="AC269" s="293"/>
      <c r="AD269" s="293"/>
    </row>
    <row r="270">
      <c r="A270" s="293"/>
      <c r="B270" s="308"/>
      <c r="C270" s="293"/>
      <c r="D270" s="293"/>
      <c r="E270" s="293"/>
      <c r="F270" s="293"/>
      <c r="G270" s="293"/>
      <c r="H270" s="293"/>
      <c r="I270" s="293"/>
      <c r="J270" s="293"/>
      <c r="K270" s="293"/>
      <c r="L270" s="293"/>
      <c r="M270" s="293"/>
      <c r="N270" s="293"/>
      <c r="O270" s="293"/>
      <c r="P270" s="293"/>
      <c r="Q270" s="293"/>
      <c r="R270" s="293"/>
      <c r="S270" s="293"/>
      <c r="T270" s="293"/>
      <c r="U270" s="293"/>
      <c r="V270" s="293"/>
      <c r="W270" s="293"/>
      <c r="X270" s="293"/>
      <c r="Y270" s="293"/>
      <c r="Z270" s="293"/>
      <c r="AA270" s="293"/>
      <c r="AB270" s="293"/>
      <c r="AC270" s="293"/>
      <c r="AD270" s="293"/>
    </row>
    <row r="271">
      <c r="A271" s="293"/>
      <c r="B271" s="308"/>
      <c r="C271" s="293"/>
      <c r="D271" s="293"/>
      <c r="E271" s="293"/>
      <c r="F271" s="293"/>
      <c r="G271" s="293"/>
      <c r="H271" s="293"/>
      <c r="I271" s="293"/>
      <c r="J271" s="293"/>
      <c r="K271" s="293"/>
      <c r="L271" s="293"/>
      <c r="M271" s="293"/>
      <c r="N271" s="293"/>
      <c r="O271" s="293"/>
      <c r="P271" s="293"/>
      <c r="Q271" s="293"/>
      <c r="R271" s="293"/>
      <c r="S271" s="293"/>
      <c r="T271" s="293"/>
      <c r="U271" s="293"/>
      <c r="V271" s="293"/>
      <c r="W271" s="293"/>
      <c r="X271" s="293"/>
      <c r="Y271" s="293"/>
      <c r="Z271" s="293"/>
      <c r="AA271" s="293"/>
      <c r="AB271" s="293"/>
      <c r="AC271" s="293"/>
      <c r="AD271" s="293"/>
    </row>
    <row r="272">
      <c r="A272" s="293"/>
      <c r="B272" s="308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293"/>
      <c r="P272" s="293"/>
      <c r="Q272" s="293"/>
      <c r="R272" s="293"/>
      <c r="S272" s="293"/>
      <c r="T272" s="293"/>
      <c r="U272" s="293"/>
      <c r="V272" s="293"/>
      <c r="W272" s="293"/>
      <c r="X272" s="293"/>
      <c r="Y272" s="293"/>
      <c r="Z272" s="293"/>
      <c r="AA272" s="293"/>
      <c r="AB272" s="293"/>
      <c r="AC272" s="293"/>
      <c r="AD272" s="293"/>
    </row>
    <row r="273">
      <c r="A273" s="293"/>
      <c r="B273" s="308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293"/>
      <c r="P273" s="293"/>
      <c r="Q273" s="293"/>
      <c r="R273" s="293"/>
      <c r="S273" s="293"/>
      <c r="T273" s="293"/>
      <c r="U273" s="293"/>
      <c r="V273" s="293"/>
      <c r="W273" s="293"/>
      <c r="X273" s="293"/>
      <c r="Y273" s="293"/>
      <c r="Z273" s="293"/>
      <c r="AA273" s="293"/>
      <c r="AB273" s="293"/>
      <c r="AC273" s="293"/>
      <c r="AD273" s="293"/>
    </row>
    <row r="274">
      <c r="A274" s="293"/>
      <c r="B274" s="308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3"/>
      <c r="P274" s="293"/>
      <c r="Q274" s="293"/>
      <c r="R274" s="293"/>
      <c r="S274" s="293"/>
      <c r="T274" s="293"/>
      <c r="U274" s="293"/>
      <c r="V274" s="293"/>
      <c r="W274" s="293"/>
      <c r="X274" s="293"/>
      <c r="Y274" s="293"/>
      <c r="Z274" s="293"/>
      <c r="AA274" s="293"/>
      <c r="AB274" s="293"/>
      <c r="AC274" s="293"/>
      <c r="AD274" s="293"/>
    </row>
    <row r="275">
      <c r="A275" s="293"/>
      <c r="B275" s="308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3"/>
      <c r="P275" s="293"/>
      <c r="Q275" s="293"/>
      <c r="R275" s="293"/>
      <c r="S275" s="293"/>
      <c r="T275" s="293"/>
      <c r="U275" s="293"/>
      <c r="V275" s="293"/>
      <c r="W275" s="293"/>
      <c r="X275" s="293"/>
      <c r="Y275" s="293"/>
      <c r="Z275" s="293"/>
      <c r="AA275" s="293"/>
      <c r="AB275" s="293"/>
      <c r="AC275" s="293"/>
      <c r="AD275" s="293"/>
    </row>
    <row r="276">
      <c r="A276" s="293"/>
      <c r="B276" s="308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3"/>
      <c r="P276" s="293"/>
      <c r="Q276" s="293"/>
      <c r="R276" s="293"/>
      <c r="S276" s="293"/>
      <c r="T276" s="293"/>
      <c r="U276" s="293"/>
      <c r="V276" s="293"/>
      <c r="W276" s="293"/>
      <c r="X276" s="293"/>
      <c r="Y276" s="293"/>
      <c r="Z276" s="293"/>
      <c r="AA276" s="293"/>
      <c r="AB276" s="293"/>
      <c r="AC276" s="293"/>
      <c r="AD276" s="293"/>
    </row>
    <row r="277">
      <c r="A277" s="293"/>
      <c r="B277" s="308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3"/>
      <c r="P277" s="293"/>
      <c r="Q277" s="293"/>
      <c r="R277" s="293"/>
      <c r="S277" s="293"/>
      <c r="T277" s="293"/>
      <c r="U277" s="293"/>
      <c r="V277" s="293"/>
      <c r="W277" s="293"/>
      <c r="X277" s="293"/>
      <c r="Y277" s="293"/>
      <c r="Z277" s="293"/>
      <c r="AA277" s="293"/>
      <c r="AB277" s="293"/>
      <c r="AC277" s="293"/>
      <c r="AD277" s="293"/>
    </row>
    <row r="278">
      <c r="A278" s="293"/>
      <c r="B278" s="308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3"/>
      <c r="P278" s="293"/>
      <c r="Q278" s="293"/>
      <c r="R278" s="293"/>
      <c r="S278" s="293"/>
      <c r="T278" s="293"/>
      <c r="U278" s="293"/>
      <c r="V278" s="293"/>
      <c r="W278" s="293"/>
      <c r="X278" s="293"/>
      <c r="Y278" s="293"/>
      <c r="Z278" s="293"/>
      <c r="AA278" s="293"/>
      <c r="AB278" s="293"/>
      <c r="AC278" s="293"/>
      <c r="AD278" s="293"/>
    </row>
    <row r="279">
      <c r="A279" s="293"/>
      <c r="B279" s="308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3"/>
      <c r="P279" s="293"/>
      <c r="Q279" s="293"/>
      <c r="R279" s="293"/>
      <c r="S279" s="293"/>
      <c r="T279" s="293"/>
      <c r="U279" s="293"/>
      <c r="V279" s="293"/>
      <c r="W279" s="293"/>
      <c r="X279" s="293"/>
      <c r="Y279" s="293"/>
      <c r="Z279" s="293"/>
      <c r="AA279" s="293"/>
      <c r="AB279" s="293"/>
      <c r="AC279" s="293"/>
      <c r="AD279" s="293"/>
    </row>
    <row r="280">
      <c r="A280" s="293"/>
      <c r="B280" s="308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3"/>
      <c r="Y280" s="293"/>
      <c r="Z280" s="293"/>
      <c r="AA280" s="293"/>
      <c r="AB280" s="293"/>
      <c r="AC280" s="293"/>
      <c r="AD280" s="293"/>
    </row>
    <row r="281">
      <c r="A281" s="293"/>
      <c r="B281" s="308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3"/>
      <c r="P281" s="293"/>
      <c r="Q281" s="293"/>
      <c r="R281" s="293"/>
      <c r="S281" s="293"/>
      <c r="T281" s="293"/>
      <c r="U281" s="293"/>
      <c r="V281" s="293"/>
      <c r="W281" s="293"/>
      <c r="X281" s="293"/>
      <c r="Y281" s="293"/>
      <c r="Z281" s="293"/>
      <c r="AA281" s="293"/>
      <c r="AB281" s="293"/>
      <c r="AC281" s="293"/>
      <c r="AD281" s="293"/>
    </row>
    <row r="282">
      <c r="A282" s="293"/>
      <c r="B282" s="308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3"/>
      <c r="P282" s="293"/>
      <c r="Q282" s="293"/>
      <c r="R282" s="293"/>
      <c r="S282" s="293"/>
      <c r="T282" s="293"/>
      <c r="U282" s="293"/>
      <c r="V282" s="293"/>
      <c r="W282" s="293"/>
      <c r="X282" s="293"/>
      <c r="Y282" s="293"/>
      <c r="Z282" s="293"/>
      <c r="AA282" s="293"/>
      <c r="AB282" s="293"/>
      <c r="AC282" s="293"/>
      <c r="AD282" s="293"/>
    </row>
    <row r="283">
      <c r="A283" s="293"/>
      <c r="B283" s="308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3"/>
      <c r="P283" s="293"/>
      <c r="Q283" s="293"/>
      <c r="R283" s="293"/>
      <c r="S283" s="293"/>
      <c r="T283" s="293"/>
      <c r="U283" s="293"/>
      <c r="V283" s="293"/>
      <c r="W283" s="293"/>
      <c r="X283" s="293"/>
      <c r="Y283" s="293"/>
      <c r="Z283" s="293"/>
      <c r="AA283" s="293"/>
      <c r="AB283" s="293"/>
      <c r="AC283" s="293"/>
      <c r="AD283" s="293"/>
    </row>
    <row r="284">
      <c r="A284" s="293"/>
      <c r="B284" s="308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3"/>
      <c r="P284" s="293"/>
      <c r="Q284" s="293"/>
      <c r="R284" s="293"/>
      <c r="S284" s="293"/>
      <c r="T284" s="293"/>
      <c r="U284" s="293"/>
      <c r="V284" s="293"/>
      <c r="W284" s="293"/>
      <c r="X284" s="293"/>
      <c r="Y284" s="293"/>
      <c r="Z284" s="293"/>
      <c r="AA284" s="293"/>
      <c r="AB284" s="293"/>
      <c r="AC284" s="293"/>
      <c r="AD284" s="293"/>
    </row>
    <row r="285">
      <c r="A285" s="293"/>
      <c r="B285" s="308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3"/>
      <c r="P285" s="293"/>
      <c r="Q285" s="293"/>
      <c r="R285" s="293"/>
      <c r="S285" s="293"/>
      <c r="T285" s="293"/>
      <c r="U285" s="293"/>
      <c r="V285" s="293"/>
      <c r="W285" s="293"/>
      <c r="X285" s="293"/>
      <c r="Y285" s="293"/>
      <c r="Z285" s="293"/>
      <c r="AA285" s="293"/>
      <c r="AB285" s="293"/>
      <c r="AC285" s="293"/>
      <c r="AD285" s="293"/>
    </row>
    <row r="286">
      <c r="A286" s="293"/>
      <c r="B286" s="308"/>
      <c r="C286" s="293"/>
      <c r="D286" s="293"/>
      <c r="E286" s="293"/>
      <c r="F286" s="293"/>
      <c r="G286" s="293"/>
      <c r="H286" s="293"/>
      <c r="I286" s="293"/>
      <c r="J286" s="293"/>
      <c r="K286" s="293"/>
      <c r="L286" s="293"/>
      <c r="M286" s="293"/>
      <c r="N286" s="293"/>
      <c r="O286" s="293"/>
      <c r="P286" s="293"/>
      <c r="Q286" s="293"/>
      <c r="R286" s="293"/>
      <c r="S286" s="293"/>
      <c r="T286" s="293"/>
      <c r="U286" s="293"/>
      <c r="V286" s="293"/>
      <c r="W286" s="293"/>
      <c r="X286" s="293"/>
      <c r="Y286" s="293"/>
      <c r="Z286" s="293"/>
      <c r="AA286" s="293"/>
      <c r="AB286" s="293"/>
      <c r="AC286" s="293"/>
      <c r="AD286" s="293"/>
    </row>
    <row r="287">
      <c r="A287" s="293"/>
      <c r="B287" s="308"/>
      <c r="C287" s="293"/>
      <c r="D287" s="293"/>
      <c r="E287" s="293"/>
      <c r="F287" s="293"/>
      <c r="G287" s="293"/>
      <c r="H287" s="293"/>
      <c r="I287" s="293"/>
      <c r="J287" s="293"/>
      <c r="K287" s="293"/>
      <c r="L287" s="293"/>
      <c r="M287" s="293"/>
      <c r="N287" s="293"/>
      <c r="O287" s="293"/>
      <c r="P287" s="293"/>
      <c r="Q287" s="293"/>
      <c r="R287" s="293"/>
      <c r="S287" s="293"/>
      <c r="T287" s="293"/>
      <c r="U287" s="293"/>
      <c r="V287" s="293"/>
      <c r="W287" s="293"/>
      <c r="X287" s="293"/>
      <c r="Y287" s="293"/>
      <c r="Z287" s="293"/>
      <c r="AA287" s="293"/>
      <c r="AB287" s="293"/>
      <c r="AC287" s="293"/>
      <c r="AD287" s="293"/>
    </row>
    <row r="288">
      <c r="A288" s="293"/>
      <c r="B288" s="308"/>
      <c r="C288" s="293"/>
      <c r="D288" s="293"/>
      <c r="E288" s="293"/>
      <c r="F288" s="293"/>
      <c r="G288" s="293"/>
      <c r="H288" s="293"/>
      <c r="I288" s="293"/>
      <c r="J288" s="293"/>
      <c r="K288" s="293"/>
      <c r="L288" s="293"/>
      <c r="M288" s="293"/>
      <c r="N288" s="293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  <c r="AA288" s="293"/>
      <c r="AB288" s="293"/>
      <c r="AC288" s="293"/>
      <c r="AD288" s="293"/>
    </row>
    <row r="289">
      <c r="A289" s="293"/>
      <c r="B289" s="308"/>
      <c r="C289" s="293"/>
      <c r="D289" s="293"/>
      <c r="E289" s="293"/>
      <c r="F289" s="293"/>
      <c r="G289" s="293"/>
      <c r="H289" s="293"/>
      <c r="I289" s="293"/>
      <c r="J289" s="293"/>
      <c r="K289" s="293"/>
      <c r="L289" s="293"/>
      <c r="M289" s="293"/>
      <c r="N289" s="293"/>
      <c r="O289" s="293"/>
      <c r="P289" s="293"/>
      <c r="Q289" s="293"/>
      <c r="R289" s="293"/>
      <c r="S289" s="293"/>
      <c r="T289" s="293"/>
      <c r="U289" s="293"/>
      <c r="V289" s="293"/>
      <c r="W289" s="293"/>
      <c r="X289" s="293"/>
      <c r="Y289" s="293"/>
      <c r="Z289" s="293"/>
      <c r="AA289" s="293"/>
      <c r="AB289" s="293"/>
      <c r="AC289" s="293"/>
      <c r="AD289" s="293"/>
    </row>
    <row r="290">
      <c r="A290" s="293"/>
      <c r="B290" s="308"/>
      <c r="C290" s="293"/>
      <c r="D290" s="293"/>
      <c r="E290" s="293"/>
      <c r="F290" s="293"/>
      <c r="G290" s="293"/>
      <c r="H290" s="293"/>
      <c r="I290" s="293"/>
      <c r="J290" s="293"/>
      <c r="K290" s="293"/>
      <c r="L290" s="293"/>
      <c r="M290" s="293"/>
      <c r="N290" s="293"/>
      <c r="O290" s="293"/>
      <c r="P290" s="293"/>
      <c r="Q290" s="293"/>
      <c r="R290" s="293"/>
      <c r="S290" s="293"/>
      <c r="T290" s="293"/>
      <c r="U290" s="293"/>
      <c r="V290" s="293"/>
      <c r="W290" s="293"/>
      <c r="X290" s="293"/>
      <c r="Y290" s="293"/>
      <c r="Z290" s="293"/>
      <c r="AA290" s="293"/>
      <c r="AB290" s="293"/>
      <c r="AC290" s="293"/>
      <c r="AD290" s="293"/>
    </row>
    <row r="291">
      <c r="A291" s="293"/>
      <c r="B291" s="308"/>
      <c r="C291" s="293"/>
      <c r="D291" s="293"/>
      <c r="E291" s="293"/>
      <c r="F291" s="293"/>
      <c r="G291" s="293"/>
      <c r="H291" s="293"/>
      <c r="I291" s="293"/>
      <c r="J291" s="293"/>
      <c r="K291" s="293"/>
      <c r="L291" s="293"/>
      <c r="M291" s="293"/>
      <c r="N291" s="293"/>
      <c r="O291" s="293"/>
      <c r="P291" s="293"/>
      <c r="Q291" s="293"/>
      <c r="R291" s="293"/>
      <c r="S291" s="293"/>
      <c r="T291" s="293"/>
      <c r="U291" s="293"/>
      <c r="V291" s="293"/>
      <c r="W291" s="293"/>
      <c r="X291" s="293"/>
      <c r="Y291" s="293"/>
      <c r="Z291" s="293"/>
      <c r="AA291" s="293"/>
      <c r="AB291" s="293"/>
      <c r="AC291" s="293"/>
      <c r="AD291" s="293"/>
    </row>
    <row r="292">
      <c r="A292" s="293"/>
      <c r="B292" s="308"/>
      <c r="C292" s="293"/>
      <c r="D292" s="293"/>
      <c r="E292" s="293"/>
      <c r="F292" s="293"/>
      <c r="G292" s="293"/>
      <c r="H292" s="293"/>
      <c r="I292" s="293"/>
      <c r="J292" s="293"/>
      <c r="K292" s="293"/>
      <c r="L292" s="293"/>
      <c r="M292" s="293"/>
      <c r="N292" s="293"/>
      <c r="O292" s="293"/>
      <c r="P292" s="293"/>
      <c r="Q292" s="293"/>
      <c r="R292" s="293"/>
      <c r="S292" s="293"/>
      <c r="T292" s="293"/>
      <c r="U292" s="293"/>
      <c r="V292" s="293"/>
      <c r="W292" s="293"/>
      <c r="X292" s="293"/>
      <c r="Y292" s="293"/>
      <c r="Z292" s="293"/>
      <c r="AA292" s="293"/>
      <c r="AB292" s="293"/>
      <c r="AC292" s="293"/>
      <c r="AD292" s="293"/>
    </row>
    <row r="293">
      <c r="A293" s="293"/>
      <c r="B293" s="308"/>
      <c r="C293" s="293"/>
      <c r="D293" s="293"/>
      <c r="E293" s="293"/>
      <c r="F293" s="293"/>
      <c r="G293" s="293"/>
      <c r="H293" s="293"/>
      <c r="I293" s="293"/>
      <c r="J293" s="293"/>
      <c r="K293" s="293"/>
      <c r="L293" s="293"/>
      <c r="M293" s="293"/>
      <c r="N293" s="293"/>
      <c r="O293" s="293"/>
      <c r="P293" s="293"/>
      <c r="Q293" s="293"/>
      <c r="R293" s="293"/>
      <c r="S293" s="293"/>
      <c r="T293" s="293"/>
      <c r="U293" s="293"/>
      <c r="V293" s="293"/>
      <c r="W293" s="293"/>
      <c r="X293" s="293"/>
      <c r="Y293" s="293"/>
      <c r="Z293" s="293"/>
      <c r="AA293" s="293"/>
      <c r="AB293" s="293"/>
      <c r="AC293" s="293"/>
      <c r="AD293" s="293"/>
    </row>
    <row r="294">
      <c r="A294" s="293"/>
      <c r="B294" s="308"/>
      <c r="C294" s="293"/>
      <c r="D294" s="293"/>
      <c r="E294" s="293"/>
      <c r="F294" s="293"/>
      <c r="G294" s="293"/>
      <c r="H294" s="293"/>
      <c r="I294" s="293"/>
      <c r="J294" s="293"/>
      <c r="K294" s="293"/>
      <c r="L294" s="293"/>
      <c r="M294" s="293"/>
      <c r="N294" s="293"/>
      <c r="O294" s="293"/>
      <c r="P294" s="293"/>
      <c r="Q294" s="293"/>
      <c r="R294" s="293"/>
      <c r="S294" s="293"/>
      <c r="T294" s="293"/>
      <c r="U294" s="293"/>
      <c r="V294" s="293"/>
      <c r="W294" s="293"/>
      <c r="X294" s="293"/>
      <c r="Y294" s="293"/>
      <c r="Z294" s="293"/>
      <c r="AA294" s="293"/>
      <c r="AB294" s="293"/>
      <c r="AC294" s="293"/>
      <c r="AD294" s="293"/>
    </row>
    <row r="295">
      <c r="A295" s="293"/>
      <c r="B295" s="308"/>
      <c r="C295" s="293"/>
      <c r="D295" s="293"/>
      <c r="E295" s="293"/>
      <c r="F295" s="293"/>
      <c r="G295" s="293"/>
      <c r="H295" s="293"/>
      <c r="I295" s="293"/>
      <c r="J295" s="293"/>
      <c r="K295" s="293"/>
      <c r="L295" s="293"/>
      <c r="M295" s="293"/>
      <c r="N295" s="293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  <c r="AA295" s="293"/>
      <c r="AB295" s="293"/>
      <c r="AC295" s="293"/>
      <c r="AD295" s="293"/>
    </row>
    <row r="296">
      <c r="A296" s="293"/>
      <c r="B296" s="308"/>
      <c r="C296" s="293"/>
      <c r="D296" s="293"/>
      <c r="E296" s="293"/>
      <c r="F296" s="293"/>
      <c r="G296" s="293"/>
      <c r="H296" s="293"/>
      <c r="I296" s="293"/>
      <c r="J296" s="293"/>
      <c r="K296" s="293"/>
      <c r="L296" s="293"/>
      <c r="M296" s="293"/>
      <c r="N296" s="293"/>
      <c r="O296" s="293"/>
      <c r="P296" s="293"/>
      <c r="Q296" s="293"/>
      <c r="R296" s="293"/>
      <c r="S296" s="293"/>
      <c r="T296" s="293"/>
      <c r="U296" s="293"/>
      <c r="V296" s="293"/>
      <c r="W296" s="293"/>
      <c r="X296" s="293"/>
      <c r="Y296" s="293"/>
      <c r="Z296" s="293"/>
      <c r="AA296" s="293"/>
      <c r="AB296" s="293"/>
      <c r="AC296" s="293"/>
      <c r="AD296" s="293"/>
    </row>
    <row r="297">
      <c r="A297" s="293"/>
      <c r="B297" s="308"/>
      <c r="C297" s="293"/>
      <c r="D297" s="293"/>
      <c r="E297" s="293"/>
      <c r="F297" s="293"/>
      <c r="G297" s="293"/>
      <c r="H297" s="293"/>
      <c r="I297" s="293"/>
      <c r="J297" s="293"/>
      <c r="K297" s="293"/>
      <c r="L297" s="293"/>
      <c r="M297" s="293"/>
      <c r="N297" s="293"/>
      <c r="O297" s="293"/>
      <c r="P297" s="293"/>
      <c r="Q297" s="293"/>
      <c r="R297" s="293"/>
      <c r="S297" s="293"/>
      <c r="T297" s="293"/>
      <c r="U297" s="293"/>
      <c r="V297" s="293"/>
      <c r="W297" s="293"/>
      <c r="X297" s="293"/>
      <c r="Y297" s="293"/>
      <c r="Z297" s="293"/>
      <c r="AA297" s="293"/>
      <c r="AB297" s="293"/>
      <c r="AC297" s="293"/>
      <c r="AD297" s="293"/>
    </row>
    <row r="298">
      <c r="A298" s="293"/>
      <c r="B298" s="308"/>
      <c r="C298" s="293"/>
      <c r="D298" s="293"/>
      <c r="E298" s="293"/>
      <c r="F298" s="293"/>
      <c r="G298" s="293"/>
      <c r="H298" s="293"/>
      <c r="I298" s="293"/>
      <c r="J298" s="293"/>
      <c r="K298" s="293"/>
      <c r="L298" s="293"/>
      <c r="M298" s="293"/>
      <c r="N298" s="293"/>
      <c r="O298" s="293"/>
      <c r="P298" s="293"/>
      <c r="Q298" s="293"/>
      <c r="R298" s="293"/>
      <c r="S298" s="293"/>
      <c r="T298" s="293"/>
      <c r="U298" s="293"/>
      <c r="V298" s="293"/>
      <c r="W298" s="293"/>
      <c r="X298" s="293"/>
      <c r="Y298" s="293"/>
      <c r="Z298" s="293"/>
      <c r="AA298" s="293"/>
      <c r="AB298" s="293"/>
      <c r="AC298" s="293"/>
      <c r="AD298" s="293"/>
    </row>
    <row r="299">
      <c r="A299" s="293"/>
      <c r="B299" s="308"/>
      <c r="C299" s="293"/>
      <c r="D299" s="293"/>
      <c r="E299" s="293"/>
      <c r="F299" s="293"/>
      <c r="G299" s="293"/>
      <c r="H299" s="293"/>
      <c r="I299" s="293"/>
      <c r="J299" s="293"/>
      <c r="K299" s="293"/>
      <c r="L299" s="293"/>
      <c r="M299" s="293"/>
      <c r="N299" s="293"/>
      <c r="O299" s="293"/>
      <c r="P299" s="293"/>
      <c r="Q299" s="293"/>
      <c r="R299" s="293"/>
      <c r="S299" s="293"/>
      <c r="T299" s="293"/>
      <c r="U299" s="293"/>
      <c r="V299" s="293"/>
      <c r="W299" s="293"/>
      <c r="X299" s="293"/>
      <c r="Y299" s="293"/>
      <c r="Z299" s="293"/>
      <c r="AA299" s="293"/>
      <c r="AB299" s="293"/>
      <c r="AC299" s="293"/>
      <c r="AD299" s="293"/>
    </row>
    <row r="300">
      <c r="A300" s="293"/>
      <c r="B300" s="308"/>
      <c r="C300" s="293"/>
      <c r="D300" s="293"/>
      <c r="E300" s="293"/>
      <c r="F300" s="293"/>
      <c r="G300" s="293"/>
      <c r="H300" s="293"/>
      <c r="I300" s="293"/>
      <c r="J300" s="293"/>
      <c r="K300" s="293"/>
      <c r="L300" s="293"/>
      <c r="M300" s="293"/>
      <c r="N300" s="293"/>
      <c r="O300" s="293"/>
      <c r="P300" s="293"/>
      <c r="Q300" s="293"/>
      <c r="R300" s="293"/>
      <c r="S300" s="293"/>
      <c r="T300" s="293"/>
      <c r="U300" s="293"/>
      <c r="V300" s="293"/>
      <c r="W300" s="293"/>
      <c r="X300" s="293"/>
      <c r="Y300" s="293"/>
      <c r="Z300" s="293"/>
      <c r="AA300" s="293"/>
      <c r="AB300" s="293"/>
      <c r="AC300" s="293"/>
      <c r="AD300" s="293"/>
    </row>
    <row r="301">
      <c r="A301" s="293"/>
      <c r="B301" s="308"/>
      <c r="C301" s="293"/>
      <c r="D301" s="293"/>
      <c r="E301" s="293"/>
      <c r="F301" s="293"/>
      <c r="G301" s="293"/>
      <c r="H301" s="293"/>
      <c r="I301" s="293"/>
      <c r="J301" s="293"/>
      <c r="K301" s="293"/>
      <c r="L301" s="293"/>
      <c r="M301" s="293"/>
      <c r="N301" s="293"/>
      <c r="O301" s="293"/>
      <c r="P301" s="293"/>
      <c r="Q301" s="293"/>
      <c r="R301" s="293"/>
      <c r="S301" s="293"/>
      <c r="T301" s="293"/>
      <c r="U301" s="293"/>
      <c r="V301" s="293"/>
      <c r="W301" s="293"/>
      <c r="X301" s="293"/>
      <c r="Y301" s="293"/>
      <c r="Z301" s="293"/>
      <c r="AA301" s="293"/>
      <c r="AB301" s="293"/>
      <c r="AC301" s="293"/>
      <c r="AD301" s="293"/>
    </row>
    <row r="302">
      <c r="A302" s="293"/>
      <c r="B302" s="308"/>
      <c r="C302" s="293"/>
      <c r="D302" s="293"/>
      <c r="E302" s="293"/>
      <c r="F302" s="293"/>
      <c r="G302" s="293"/>
      <c r="H302" s="293"/>
      <c r="I302" s="293"/>
      <c r="J302" s="293"/>
      <c r="K302" s="293"/>
      <c r="L302" s="293"/>
      <c r="M302" s="293"/>
      <c r="N302" s="293"/>
      <c r="O302" s="293"/>
      <c r="P302" s="293"/>
      <c r="Q302" s="293"/>
      <c r="R302" s="293"/>
      <c r="S302" s="293"/>
      <c r="T302" s="293"/>
      <c r="U302" s="293"/>
      <c r="V302" s="293"/>
      <c r="W302" s="293"/>
      <c r="X302" s="293"/>
      <c r="Y302" s="293"/>
      <c r="Z302" s="293"/>
      <c r="AA302" s="293"/>
      <c r="AB302" s="293"/>
      <c r="AC302" s="293"/>
      <c r="AD302" s="293"/>
    </row>
    <row r="303">
      <c r="A303" s="293"/>
      <c r="B303" s="308"/>
      <c r="C303" s="293"/>
      <c r="D303" s="293"/>
      <c r="E303" s="293"/>
      <c r="F303" s="293"/>
      <c r="G303" s="293"/>
      <c r="H303" s="293"/>
      <c r="I303" s="293"/>
      <c r="J303" s="293"/>
      <c r="K303" s="293"/>
      <c r="L303" s="293"/>
      <c r="M303" s="293"/>
      <c r="N303" s="293"/>
      <c r="O303" s="293"/>
      <c r="P303" s="293"/>
      <c r="Q303" s="293"/>
      <c r="R303" s="293"/>
      <c r="S303" s="293"/>
      <c r="T303" s="293"/>
      <c r="U303" s="293"/>
      <c r="V303" s="293"/>
      <c r="W303" s="293"/>
      <c r="X303" s="293"/>
      <c r="Y303" s="293"/>
      <c r="Z303" s="293"/>
      <c r="AA303" s="293"/>
      <c r="AB303" s="293"/>
      <c r="AC303" s="293"/>
      <c r="AD303" s="293"/>
    </row>
    <row r="304">
      <c r="A304" s="293"/>
      <c r="B304" s="308"/>
      <c r="C304" s="293"/>
      <c r="D304" s="293"/>
      <c r="E304" s="293"/>
      <c r="F304" s="293"/>
      <c r="G304" s="293"/>
      <c r="H304" s="293"/>
      <c r="I304" s="293"/>
      <c r="J304" s="293"/>
      <c r="K304" s="293"/>
      <c r="L304" s="293"/>
      <c r="M304" s="293"/>
      <c r="N304" s="293"/>
      <c r="O304" s="293"/>
      <c r="P304" s="293"/>
      <c r="Q304" s="293"/>
      <c r="R304" s="293"/>
      <c r="S304" s="293"/>
      <c r="T304" s="293"/>
      <c r="U304" s="293"/>
      <c r="V304" s="293"/>
      <c r="W304" s="293"/>
      <c r="X304" s="293"/>
      <c r="Y304" s="293"/>
      <c r="Z304" s="293"/>
      <c r="AA304" s="293"/>
      <c r="AB304" s="293"/>
      <c r="AC304" s="293"/>
      <c r="AD304" s="293"/>
    </row>
    <row r="305">
      <c r="A305" s="293"/>
      <c r="B305" s="308"/>
      <c r="C305" s="293"/>
      <c r="D305" s="293"/>
      <c r="E305" s="293"/>
      <c r="F305" s="293"/>
      <c r="G305" s="293"/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3"/>
      <c r="S305" s="293"/>
      <c r="T305" s="293"/>
      <c r="U305" s="293"/>
      <c r="V305" s="293"/>
      <c r="W305" s="293"/>
      <c r="X305" s="293"/>
      <c r="Y305" s="293"/>
      <c r="Z305" s="293"/>
      <c r="AA305" s="293"/>
      <c r="AB305" s="293"/>
      <c r="AC305" s="293"/>
      <c r="AD305" s="293"/>
    </row>
    <row r="306">
      <c r="A306" s="293"/>
      <c r="B306" s="308"/>
      <c r="C306" s="293"/>
      <c r="D306" s="293"/>
      <c r="E306" s="293"/>
      <c r="F306" s="293"/>
      <c r="G306" s="293"/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3"/>
      <c r="S306" s="293"/>
      <c r="T306" s="293"/>
      <c r="U306" s="293"/>
      <c r="V306" s="293"/>
      <c r="W306" s="293"/>
      <c r="X306" s="293"/>
      <c r="Y306" s="293"/>
      <c r="Z306" s="293"/>
      <c r="AA306" s="293"/>
      <c r="AB306" s="293"/>
      <c r="AC306" s="293"/>
      <c r="AD306" s="293"/>
    </row>
    <row r="307">
      <c r="A307" s="293"/>
      <c r="B307" s="308"/>
      <c r="C307" s="293"/>
      <c r="D307" s="293"/>
      <c r="E307" s="293"/>
      <c r="F307" s="293"/>
      <c r="G307" s="293"/>
      <c r="H307" s="293"/>
      <c r="I307" s="293"/>
      <c r="J307" s="293"/>
      <c r="K307" s="293"/>
      <c r="L307" s="293"/>
      <c r="M307" s="293"/>
      <c r="N307" s="293"/>
      <c r="O307" s="293"/>
      <c r="P307" s="293"/>
      <c r="Q307" s="293"/>
      <c r="R307" s="293"/>
      <c r="S307" s="293"/>
      <c r="T307" s="293"/>
      <c r="U307" s="293"/>
      <c r="V307" s="293"/>
      <c r="W307" s="293"/>
      <c r="X307" s="293"/>
      <c r="Y307" s="293"/>
      <c r="Z307" s="293"/>
      <c r="AA307" s="293"/>
      <c r="AB307" s="293"/>
      <c r="AC307" s="293"/>
      <c r="AD307" s="293"/>
    </row>
    <row r="308">
      <c r="A308" s="293"/>
      <c r="B308" s="308"/>
      <c r="C308" s="293"/>
      <c r="D308" s="293"/>
      <c r="E308" s="293"/>
      <c r="F308" s="293"/>
      <c r="G308" s="293"/>
      <c r="H308" s="293"/>
      <c r="I308" s="293"/>
      <c r="J308" s="293"/>
      <c r="K308" s="293"/>
      <c r="L308" s="293"/>
      <c r="M308" s="293"/>
      <c r="N308" s="293"/>
      <c r="O308" s="293"/>
      <c r="P308" s="293"/>
      <c r="Q308" s="293"/>
      <c r="R308" s="293"/>
      <c r="S308" s="293"/>
      <c r="T308" s="293"/>
      <c r="U308" s="293"/>
      <c r="V308" s="293"/>
      <c r="W308" s="293"/>
      <c r="X308" s="293"/>
      <c r="Y308" s="293"/>
      <c r="Z308" s="293"/>
      <c r="AA308" s="293"/>
      <c r="AB308" s="293"/>
      <c r="AC308" s="293"/>
      <c r="AD308" s="293"/>
    </row>
    <row r="309">
      <c r="A309" s="293"/>
      <c r="B309" s="308"/>
      <c r="C309" s="293"/>
      <c r="D309" s="293"/>
      <c r="E309" s="293"/>
      <c r="F309" s="293"/>
      <c r="G309" s="293"/>
      <c r="H309" s="293"/>
      <c r="I309" s="293"/>
      <c r="J309" s="293"/>
      <c r="K309" s="293"/>
      <c r="L309" s="293"/>
      <c r="M309" s="293"/>
      <c r="N309" s="293"/>
      <c r="O309" s="293"/>
      <c r="P309" s="293"/>
      <c r="Q309" s="293"/>
      <c r="R309" s="293"/>
      <c r="S309" s="293"/>
      <c r="T309" s="293"/>
      <c r="U309" s="293"/>
      <c r="V309" s="293"/>
      <c r="W309" s="293"/>
      <c r="X309" s="293"/>
      <c r="Y309" s="293"/>
      <c r="Z309" s="293"/>
      <c r="AA309" s="293"/>
      <c r="AB309" s="293"/>
      <c r="AC309" s="293"/>
      <c r="AD309" s="293"/>
    </row>
    <row r="310">
      <c r="A310" s="293"/>
      <c r="B310" s="308"/>
      <c r="C310" s="293"/>
      <c r="D310" s="293"/>
      <c r="E310" s="293"/>
      <c r="F310" s="293"/>
      <c r="G310" s="293"/>
      <c r="H310" s="293"/>
      <c r="I310" s="293"/>
      <c r="J310" s="293"/>
      <c r="K310" s="293"/>
      <c r="L310" s="293"/>
      <c r="M310" s="293"/>
      <c r="N310" s="293"/>
      <c r="O310" s="293"/>
      <c r="P310" s="293"/>
      <c r="Q310" s="293"/>
      <c r="R310" s="293"/>
      <c r="S310" s="293"/>
      <c r="T310" s="293"/>
      <c r="U310" s="293"/>
      <c r="V310" s="293"/>
      <c r="W310" s="293"/>
      <c r="X310" s="293"/>
      <c r="Y310" s="293"/>
      <c r="Z310" s="293"/>
      <c r="AA310" s="293"/>
      <c r="AB310" s="293"/>
      <c r="AC310" s="293"/>
      <c r="AD310" s="293"/>
    </row>
    <row r="311">
      <c r="A311" s="293"/>
      <c r="B311" s="308"/>
      <c r="C311" s="293"/>
      <c r="D311" s="293"/>
      <c r="E311" s="293"/>
      <c r="F311" s="293"/>
      <c r="G311" s="293"/>
      <c r="H311" s="293"/>
      <c r="I311" s="293"/>
      <c r="J311" s="293"/>
      <c r="K311" s="293"/>
      <c r="L311" s="293"/>
      <c r="M311" s="293"/>
      <c r="N311" s="293"/>
      <c r="O311" s="293"/>
      <c r="P311" s="293"/>
      <c r="Q311" s="293"/>
      <c r="R311" s="293"/>
      <c r="S311" s="293"/>
      <c r="T311" s="293"/>
      <c r="U311" s="293"/>
      <c r="V311" s="293"/>
      <c r="W311" s="293"/>
      <c r="X311" s="293"/>
      <c r="Y311" s="293"/>
      <c r="Z311" s="293"/>
      <c r="AA311" s="293"/>
      <c r="AB311" s="293"/>
      <c r="AC311" s="293"/>
      <c r="AD311" s="293"/>
    </row>
    <row r="312">
      <c r="A312" s="293"/>
      <c r="B312" s="308"/>
      <c r="C312" s="293"/>
      <c r="D312" s="293"/>
      <c r="E312" s="293"/>
      <c r="F312" s="293"/>
      <c r="G312" s="293"/>
      <c r="H312" s="293"/>
      <c r="I312" s="293"/>
      <c r="J312" s="293"/>
      <c r="K312" s="293"/>
      <c r="L312" s="293"/>
      <c r="M312" s="293"/>
      <c r="N312" s="293"/>
      <c r="O312" s="293"/>
      <c r="P312" s="293"/>
      <c r="Q312" s="293"/>
      <c r="R312" s="293"/>
      <c r="S312" s="293"/>
      <c r="T312" s="293"/>
      <c r="U312" s="293"/>
      <c r="V312" s="293"/>
      <c r="W312" s="293"/>
      <c r="X312" s="293"/>
      <c r="Y312" s="293"/>
      <c r="Z312" s="293"/>
      <c r="AA312" s="293"/>
      <c r="AB312" s="293"/>
      <c r="AC312" s="293"/>
      <c r="AD312" s="293"/>
    </row>
    <row r="313">
      <c r="A313" s="293"/>
      <c r="B313" s="308"/>
      <c r="C313" s="293"/>
      <c r="D313" s="293"/>
      <c r="E313" s="293"/>
      <c r="F313" s="293"/>
      <c r="G313" s="293"/>
      <c r="H313" s="293"/>
      <c r="I313" s="293"/>
      <c r="J313" s="293"/>
      <c r="K313" s="293"/>
      <c r="L313" s="293"/>
      <c r="M313" s="293"/>
      <c r="N313" s="293"/>
      <c r="O313" s="293"/>
      <c r="P313" s="293"/>
      <c r="Q313" s="293"/>
      <c r="R313" s="293"/>
      <c r="S313" s="293"/>
      <c r="T313" s="293"/>
      <c r="U313" s="293"/>
      <c r="V313" s="293"/>
      <c r="W313" s="293"/>
      <c r="X313" s="293"/>
      <c r="Y313" s="293"/>
      <c r="Z313" s="293"/>
      <c r="AA313" s="293"/>
      <c r="AB313" s="293"/>
      <c r="AC313" s="293"/>
      <c r="AD313" s="293"/>
    </row>
    <row r="314">
      <c r="A314" s="293"/>
      <c r="B314" s="308"/>
      <c r="C314" s="293"/>
      <c r="D314" s="293"/>
      <c r="E314" s="293"/>
      <c r="F314" s="293"/>
      <c r="G314" s="293"/>
      <c r="H314" s="293"/>
      <c r="I314" s="293"/>
      <c r="J314" s="293"/>
      <c r="K314" s="293"/>
      <c r="L314" s="293"/>
      <c r="M314" s="293"/>
      <c r="N314" s="293"/>
      <c r="O314" s="293"/>
      <c r="P314" s="293"/>
      <c r="Q314" s="293"/>
      <c r="R314" s="293"/>
      <c r="S314" s="293"/>
      <c r="T314" s="293"/>
      <c r="U314" s="293"/>
      <c r="V314" s="293"/>
      <c r="W314" s="293"/>
      <c r="X314" s="293"/>
      <c r="Y314" s="293"/>
      <c r="Z314" s="293"/>
      <c r="AA314" s="293"/>
      <c r="AB314" s="293"/>
      <c r="AC314" s="293"/>
      <c r="AD314" s="293"/>
    </row>
    <row r="315">
      <c r="A315" s="293"/>
      <c r="B315" s="308"/>
      <c r="C315" s="293"/>
      <c r="D315" s="293"/>
      <c r="E315" s="293"/>
      <c r="F315" s="293"/>
      <c r="G315" s="293"/>
      <c r="H315" s="293"/>
      <c r="I315" s="293"/>
      <c r="J315" s="293"/>
      <c r="K315" s="293"/>
      <c r="L315" s="293"/>
      <c r="M315" s="293"/>
      <c r="N315" s="293"/>
      <c r="O315" s="293"/>
      <c r="P315" s="293"/>
      <c r="Q315" s="293"/>
      <c r="R315" s="293"/>
      <c r="S315" s="293"/>
      <c r="T315" s="293"/>
      <c r="U315" s="293"/>
      <c r="V315" s="293"/>
      <c r="W315" s="293"/>
      <c r="X315" s="293"/>
      <c r="Y315" s="293"/>
      <c r="Z315" s="293"/>
      <c r="AA315" s="293"/>
      <c r="AB315" s="293"/>
      <c r="AC315" s="293"/>
      <c r="AD315" s="293"/>
    </row>
    <row r="316">
      <c r="A316" s="293"/>
      <c r="B316" s="308"/>
      <c r="C316" s="293"/>
      <c r="D316" s="293"/>
      <c r="E316" s="293"/>
      <c r="F316" s="293"/>
      <c r="G316" s="293"/>
      <c r="H316" s="293"/>
      <c r="I316" s="293"/>
      <c r="J316" s="293"/>
      <c r="K316" s="293"/>
      <c r="L316" s="293"/>
      <c r="M316" s="293"/>
      <c r="N316" s="293"/>
      <c r="O316" s="293"/>
      <c r="P316" s="293"/>
      <c r="Q316" s="293"/>
      <c r="R316" s="293"/>
      <c r="S316" s="293"/>
      <c r="T316" s="293"/>
      <c r="U316" s="293"/>
      <c r="V316" s="293"/>
      <c r="W316" s="293"/>
      <c r="X316" s="293"/>
      <c r="Y316" s="293"/>
      <c r="Z316" s="293"/>
      <c r="AA316" s="293"/>
      <c r="AB316" s="293"/>
      <c r="AC316" s="293"/>
      <c r="AD316" s="293"/>
    </row>
    <row r="317">
      <c r="A317" s="293"/>
      <c r="B317" s="308"/>
      <c r="C317" s="293"/>
      <c r="D317" s="293"/>
      <c r="E317" s="293"/>
      <c r="F317" s="293"/>
      <c r="G317" s="293"/>
      <c r="H317" s="293"/>
      <c r="I317" s="293"/>
      <c r="J317" s="293"/>
      <c r="K317" s="293"/>
      <c r="L317" s="293"/>
      <c r="M317" s="293"/>
      <c r="N317" s="293"/>
      <c r="O317" s="293"/>
      <c r="P317" s="293"/>
      <c r="Q317" s="293"/>
      <c r="R317" s="293"/>
      <c r="S317" s="293"/>
      <c r="T317" s="293"/>
      <c r="U317" s="293"/>
      <c r="V317" s="293"/>
      <c r="W317" s="293"/>
      <c r="X317" s="293"/>
      <c r="Y317" s="293"/>
      <c r="Z317" s="293"/>
      <c r="AA317" s="293"/>
      <c r="AB317" s="293"/>
      <c r="AC317" s="293"/>
      <c r="AD317" s="293"/>
    </row>
    <row r="318">
      <c r="A318" s="293"/>
      <c r="B318" s="308"/>
      <c r="C318" s="293"/>
      <c r="D318" s="293"/>
      <c r="E318" s="293"/>
      <c r="F318" s="293"/>
      <c r="G318" s="293"/>
      <c r="H318" s="293"/>
      <c r="I318" s="293"/>
      <c r="J318" s="293"/>
      <c r="K318" s="293"/>
      <c r="L318" s="293"/>
      <c r="M318" s="293"/>
      <c r="N318" s="293"/>
      <c r="O318" s="293"/>
      <c r="P318" s="293"/>
      <c r="Q318" s="293"/>
      <c r="R318" s="293"/>
      <c r="S318" s="293"/>
      <c r="T318" s="293"/>
      <c r="U318" s="293"/>
      <c r="V318" s="293"/>
      <c r="W318" s="293"/>
      <c r="X318" s="293"/>
      <c r="Y318" s="293"/>
      <c r="Z318" s="293"/>
      <c r="AA318" s="293"/>
      <c r="AB318" s="293"/>
      <c r="AC318" s="293"/>
      <c r="AD318" s="293"/>
    </row>
    <row r="319">
      <c r="A319" s="293"/>
      <c r="B319" s="308"/>
      <c r="C319" s="293"/>
      <c r="D319" s="293"/>
      <c r="E319" s="293"/>
      <c r="F319" s="293"/>
      <c r="G319" s="293"/>
      <c r="H319" s="293"/>
      <c r="I319" s="293"/>
      <c r="J319" s="293"/>
      <c r="K319" s="293"/>
      <c r="L319" s="293"/>
      <c r="M319" s="293"/>
      <c r="N319" s="293"/>
      <c r="O319" s="293"/>
      <c r="P319" s="293"/>
      <c r="Q319" s="293"/>
      <c r="R319" s="293"/>
      <c r="S319" s="293"/>
      <c r="T319" s="293"/>
      <c r="U319" s="293"/>
      <c r="V319" s="293"/>
      <c r="W319" s="293"/>
      <c r="X319" s="293"/>
      <c r="Y319" s="293"/>
      <c r="Z319" s="293"/>
      <c r="AA319" s="293"/>
      <c r="AB319" s="293"/>
      <c r="AC319" s="293"/>
      <c r="AD319" s="293"/>
    </row>
    <row r="320">
      <c r="A320" s="293"/>
      <c r="B320" s="308"/>
      <c r="C320" s="293"/>
      <c r="D320" s="293"/>
      <c r="E320" s="293"/>
      <c r="F320" s="293"/>
      <c r="G320" s="293"/>
      <c r="H320" s="293"/>
      <c r="I320" s="293"/>
      <c r="J320" s="293"/>
      <c r="K320" s="293"/>
      <c r="L320" s="293"/>
      <c r="M320" s="293"/>
      <c r="N320" s="293"/>
      <c r="O320" s="293"/>
      <c r="P320" s="293"/>
      <c r="Q320" s="293"/>
      <c r="R320" s="293"/>
      <c r="S320" s="293"/>
      <c r="T320" s="293"/>
      <c r="U320" s="293"/>
      <c r="V320" s="293"/>
      <c r="W320" s="293"/>
      <c r="X320" s="293"/>
      <c r="Y320" s="293"/>
      <c r="Z320" s="293"/>
      <c r="AA320" s="293"/>
      <c r="AB320" s="293"/>
      <c r="AC320" s="293"/>
      <c r="AD320" s="293"/>
    </row>
    <row r="321">
      <c r="A321" s="293"/>
      <c r="B321" s="308"/>
      <c r="C321" s="293"/>
      <c r="D321" s="293"/>
      <c r="E321" s="293"/>
      <c r="F321" s="293"/>
      <c r="G321" s="293"/>
      <c r="H321" s="293"/>
      <c r="I321" s="293"/>
      <c r="J321" s="293"/>
      <c r="K321" s="293"/>
      <c r="L321" s="293"/>
      <c r="M321" s="293"/>
      <c r="N321" s="293"/>
      <c r="O321" s="293"/>
      <c r="P321" s="293"/>
      <c r="Q321" s="293"/>
      <c r="R321" s="293"/>
      <c r="S321" s="293"/>
      <c r="T321" s="293"/>
      <c r="U321" s="293"/>
      <c r="V321" s="293"/>
      <c r="W321" s="293"/>
      <c r="X321" s="293"/>
      <c r="Y321" s="293"/>
      <c r="Z321" s="293"/>
      <c r="AA321" s="293"/>
      <c r="AB321" s="293"/>
      <c r="AC321" s="293"/>
      <c r="AD321" s="293"/>
    </row>
    <row r="322">
      <c r="A322" s="293"/>
      <c r="B322" s="308"/>
      <c r="C322" s="293"/>
      <c r="D322" s="293"/>
      <c r="E322" s="293"/>
      <c r="F322" s="293"/>
      <c r="G322" s="293"/>
      <c r="H322" s="293"/>
      <c r="I322" s="293"/>
      <c r="J322" s="293"/>
      <c r="K322" s="293"/>
      <c r="L322" s="293"/>
      <c r="M322" s="293"/>
      <c r="N322" s="293"/>
      <c r="O322" s="293"/>
      <c r="P322" s="293"/>
      <c r="Q322" s="293"/>
      <c r="R322" s="293"/>
      <c r="S322" s="293"/>
      <c r="T322" s="293"/>
      <c r="U322" s="293"/>
      <c r="V322" s="293"/>
      <c r="W322" s="293"/>
      <c r="X322" s="293"/>
      <c r="Y322" s="293"/>
      <c r="Z322" s="293"/>
      <c r="AA322" s="293"/>
      <c r="AB322" s="293"/>
      <c r="AC322" s="293"/>
      <c r="AD322" s="293"/>
    </row>
    <row r="323">
      <c r="A323" s="293"/>
      <c r="B323" s="308"/>
      <c r="C323" s="293"/>
      <c r="D323" s="293"/>
      <c r="E323" s="293"/>
      <c r="F323" s="293"/>
      <c r="G323" s="293"/>
      <c r="H323" s="293"/>
      <c r="I323" s="293"/>
      <c r="J323" s="293"/>
      <c r="K323" s="293"/>
      <c r="L323" s="293"/>
      <c r="M323" s="293"/>
      <c r="N323" s="293"/>
      <c r="O323" s="293"/>
      <c r="P323" s="293"/>
      <c r="Q323" s="293"/>
      <c r="R323" s="293"/>
      <c r="S323" s="293"/>
      <c r="T323" s="293"/>
      <c r="U323" s="293"/>
      <c r="V323" s="293"/>
      <c r="W323" s="293"/>
      <c r="X323" s="293"/>
      <c r="Y323" s="293"/>
      <c r="Z323" s="293"/>
      <c r="AA323" s="293"/>
      <c r="AB323" s="293"/>
      <c r="AC323" s="293"/>
      <c r="AD323" s="293"/>
    </row>
    <row r="324">
      <c r="A324" s="293"/>
      <c r="B324" s="308"/>
      <c r="C324" s="293"/>
      <c r="D324" s="293"/>
      <c r="E324" s="293"/>
      <c r="F324" s="293"/>
      <c r="G324" s="293"/>
      <c r="H324" s="293"/>
      <c r="I324" s="293"/>
      <c r="J324" s="293"/>
      <c r="K324" s="293"/>
      <c r="L324" s="293"/>
      <c r="M324" s="293"/>
      <c r="N324" s="293"/>
      <c r="O324" s="293"/>
      <c r="P324" s="293"/>
      <c r="Q324" s="293"/>
      <c r="R324" s="293"/>
      <c r="S324" s="293"/>
      <c r="T324" s="293"/>
      <c r="U324" s="293"/>
      <c r="V324" s="293"/>
      <c r="W324" s="293"/>
      <c r="X324" s="293"/>
      <c r="Y324" s="293"/>
      <c r="Z324" s="293"/>
      <c r="AA324" s="293"/>
      <c r="AB324" s="293"/>
      <c r="AC324" s="293"/>
      <c r="AD324" s="293"/>
    </row>
    <row r="325">
      <c r="A325" s="293"/>
      <c r="B325" s="308"/>
      <c r="C325" s="293"/>
      <c r="D325" s="293"/>
      <c r="E325" s="293"/>
      <c r="F325" s="293"/>
      <c r="G325" s="293"/>
      <c r="H325" s="293"/>
      <c r="I325" s="293"/>
      <c r="J325" s="293"/>
      <c r="K325" s="293"/>
      <c r="L325" s="293"/>
      <c r="M325" s="293"/>
      <c r="N325" s="293"/>
      <c r="O325" s="293"/>
      <c r="P325" s="293"/>
      <c r="Q325" s="293"/>
      <c r="R325" s="293"/>
      <c r="S325" s="293"/>
      <c r="T325" s="293"/>
      <c r="U325" s="293"/>
      <c r="V325" s="293"/>
      <c r="W325" s="293"/>
      <c r="X325" s="293"/>
      <c r="Y325" s="293"/>
      <c r="Z325" s="293"/>
      <c r="AA325" s="293"/>
      <c r="AB325" s="293"/>
      <c r="AC325" s="293"/>
      <c r="AD325" s="293"/>
    </row>
    <row r="326">
      <c r="A326" s="293"/>
      <c r="B326" s="308"/>
      <c r="C326" s="293"/>
      <c r="D326" s="293"/>
      <c r="E326" s="293"/>
      <c r="F326" s="293"/>
      <c r="G326" s="293"/>
      <c r="H326" s="293"/>
      <c r="I326" s="293"/>
      <c r="J326" s="293"/>
      <c r="K326" s="293"/>
      <c r="L326" s="293"/>
      <c r="M326" s="293"/>
      <c r="N326" s="293"/>
      <c r="O326" s="293"/>
      <c r="P326" s="293"/>
      <c r="Q326" s="293"/>
      <c r="R326" s="293"/>
      <c r="S326" s="293"/>
      <c r="T326" s="293"/>
      <c r="U326" s="293"/>
      <c r="V326" s="293"/>
      <c r="W326" s="293"/>
      <c r="X326" s="293"/>
      <c r="Y326" s="293"/>
      <c r="Z326" s="293"/>
      <c r="AA326" s="293"/>
      <c r="AB326" s="293"/>
      <c r="AC326" s="293"/>
      <c r="AD326" s="293"/>
    </row>
    <row r="327">
      <c r="A327" s="293"/>
      <c r="B327" s="308"/>
      <c r="C327" s="293"/>
      <c r="D327" s="293"/>
      <c r="E327" s="293"/>
      <c r="F327" s="293"/>
      <c r="G327" s="293"/>
      <c r="H327" s="293"/>
      <c r="I327" s="293"/>
      <c r="J327" s="293"/>
      <c r="K327" s="293"/>
      <c r="L327" s="293"/>
      <c r="M327" s="293"/>
      <c r="N327" s="293"/>
      <c r="O327" s="293"/>
      <c r="P327" s="293"/>
      <c r="Q327" s="293"/>
      <c r="R327" s="293"/>
      <c r="S327" s="293"/>
      <c r="T327" s="293"/>
      <c r="U327" s="293"/>
      <c r="V327" s="293"/>
      <c r="W327" s="293"/>
      <c r="X327" s="293"/>
      <c r="Y327" s="293"/>
      <c r="Z327" s="293"/>
      <c r="AA327" s="293"/>
      <c r="AB327" s="293"/>
      <c r="AC327" s="293"/>
      <c r="AD327" s="293"/>
    </row>
    <row r="328">
      <c r="A328" s="293"/>
      <c r="B328" s="308"/>
      <c r="C328" s="293"/>
      <c r="D328" s="293"/>
      <c r="E328" s="293"/>
      <c r="F328" s="293"/>
      <c r="G328" s="293"/>
      <c r="H328" s="293"/>
      <c r="I328" s="293"/>
      <c r="J328" s="293"/>
      <c r="K328" s="293"/>
      <c r="L328" s="293"/>
      <c r="M328" s="293"/>
      <c r="N328" s="293"/>
      <c r="O328" s="293"/>
      <c r="P328" s="293"/>
      <c r="Q328" s="293"/>
      <c r="R328" s="293"/>
      <c r="S328" s="293"/>
      <c r="T328" s="293"/>
      <c r="U328" s="293"/>
      <c r="V328" s="293"/>
      <c r="W328" s="293"/>
      <c r="X328" s="293"/>
      <c r="Y328" s="293"/>
      <c r="Z328" s="293"/>
      <c r="AA328" s="293"/>
      <c r="AB328" s="293"/>
      <c r="AC328" s="293"/>
      <c r="AD328" s="293"/>
    </row>
    <row r="329">
      <c r="A329" s="293"/>
      <c r="B329" s="308"/>
      <c r="C329" s="293"/>
      <c r="D329" s="293"/>
      <c r="E329" s="293"/>
      <c r="F329" s="293"/>
      <c r="G329" s="293"/>
      <c r="H329" s="293"/>
      <c r="I329" s="293"/>
      <c r="J329" s="293"/>
      <c r="K329" s="293"/>
      <c r="L329" s="293"/>
      <c r="M329" s="293"/>
      <c r="N329" s="293"/>
      <c r="O329" s="293"/>
      <c r="P329" s="293"/>
      <c r="Q329" s="293"/>
      <c r="R329" s="293"/>
      <c r="S329" s="293"/>
      <c r="T329" s="293"/>
      <c r="U329" s="293"/>
      <c r="V329" s="293"/>
      <c r="W329" s="293"/>
      <c r="X329" s="293"/>
      <c r="Y329" s="293"/>
      <c r="Z329" s="293"/>
      <c r="AA329" s="293"/>
      <c r="AB329" s="293"/>
      <c r="AC329" s="293"/>
      <c r="AD329" s="293"/>
    </row>
    <row r="330">
      <c r="A330" s="293"/>
      <c r="B330" s="308"/>
      <c r="C330" s="293"/>
      <c r="D330" s="293"/>
      <c r="E330" s="293"/>
      <c r="F330" s="293"/>
      <c r="G330" s="293"/>
      <c r="H330" s="293"/>
      <c r="I330" s="293"/>
      <c r="J330" s="293"/>
      <c r="K330" s="293"/>
      <c r="L330" s="293"/>
      <c r="M330" s="293"/>
      <c r="N330" s="293"/>
      <c r="O330" s="293"/>
      <c r="P330" s="293"/>
      <c r="Q330" s="293"/>
      <c r="R330" s="293"/>
      <c r="S330" s="293"/>
      <c r="T330" s="293"/>
      <c r="U330" s="293"/>
      <c r="V330" s="293"/>
      <c r="W330" s="293"/>
      <c r="X330" s="293"/>
      <c r="Y330" s="293"/>
      <c r="Z330" s="293"/>
      <c r="AA330" s="293"/>
      <c r="AB330" s="293"/>
      <c r="AC330" s="293"/>
      <c r="AD330" s="293"/>
    </row>
    <row r="331">
      <c r="A331" s="293"/>
      <c r="B331" s="308"/>
      <c r="C331" s="293"/>
      <c r="D331" s="293"/>
      <c r="E331" s="293"/>
      <c r="F331" s="293"/>
      <c r="G331" s="293"/>
      <c r="H331" s="293"/>
      <c r="I331" s="293"/>
      <c r="J331" s="293"/>
      <c r="K331" s="293"/>
      <c r="L331" s="293"/>
      <c r="M331" s="293"/>
      <c r="N331" s="293"/>
      <c r="O331" s="293"/>
      <c r="P331" s="293"/>
      <c r="Q331" s="293"/>
      <c r="R331" s="293"/>
      <c r="S331" s="293"/>
      <c r="T331" s="293"/>
      <c r="U331" s="293"/>
      <c r="V331" s="293"/>
      <c r="W331" s="293"/>
      <c r="X331" s="293"/>
      <c r="Y331" s="293"/>
      <c r="Z331" s="293"/>
      <c r="AA331" s="293"/>
      <c r="AB331" s="293"/>
      <c r="AC331" s="293"/>
      <c r="AD331" s="293"/>
    </row>
    <row r="332">
      <c r="A332" s="293"/>
      <c r="B332" s="308"/>
      <c r="C332" s="293"/>
      <c r="D332" s="293"/>
      <c r="E332" s="293"/>
      <c r="F332" s="293"/>
      <c r="G332" s="293"/>
      <c r="H332" s="293"/>
      <c r="I332" s="293"/>
      <c r="J332" s="293"/>
      <c r="K332" s="293"/>
      <c r="L332" s="293"/>
      <c r="M332" s="293"/>
      <c r="N332" s="293"/>
      <c r="O332" s="293"/>
      <c r="P332" s="293"/>
      <c r="Q332" s="293"/>
      <c r="R332" s="293"/>
      <c r="S332" s="293"/>
      <c r="T332" s="293"/>
      <c r="U332" s="293"/>
      <c r="V332" s="293"/>
      <c r="W332" s="293"/>
      <c r="X332" s="293"/>
      <c r="Y332" s="293"/>
      <c r="Z332" s="293"/>
      <c r="AA332" s="293"/>
      <c r="AB332" s="293"/>
      <c r="AC332" s="293"/>
      <c r="AD332" s="293"/>
    </row>
    <row r="333">
      <c r="A333" s="293"/>
      <c r="B333" s="308"/>
      <c r="C333" s="293"/>
      <c r="D333" s="293"/>
      <c r="E333" s="293"/>
      <c r="F333" s="293"/>
      <c r="G333" s="293"/>
      <c r="H333" s="293"/>
      <c r="I333" s="293"/>
      <c r="J333" s="293"/>
      <c r="K333" s="293"/>
      <c r="L333" s="293"/>
      <c r="M333" s="293"/>
      <c r="N333" s="293"/>
      <c r="O333" s="293"/>
      <c r="P333" s="293"/>
      <c r="Q333" s="293"/>
      <c r="R333" s="293"/>
      <c r="S333" s="293"/>
      <c r="T333" s="293"/>
      <c r="U333" s="293"/>
      <c r="V333" s="293"/>
      <c r="W333" s="293"/>
      <c r="X333" s="293"/>
      <c r="Y333" s="293"/>
      <c r="Z333" s="293"/>
      <c r="AA333" s="293"/>
      <c r="AB333" s="293"/>
      <c r="AC333" s="293"/>
      <c r="AD333" s="293"/>
    </row>
    <row r="334">
      <c r="A334" s="293"/>
      <c r="B334" s="308"/>
      <c r="C334" s="293"/>
      <c r="D334" s="293"/>
      <c r="E334" s="293"/>
      <c r="F334" s="293"/>
      <c r="G334" s="293"/>
      <c r="H334" s="293"/>
      <c r="I334" s="293"/>
      <c r="J334" s="293"/>
      <c r="K334" s="293"/>
      <c r="L334" s="293"/>
      <c r="M334" s="293"/>
      <c r="N334" s="293"/>
      <c r="O334" s="293"/>
      <c r="P334" s="293"/>
      <c r="Q334" s="293"/>
      <c r="R334" s="293"/>
      <c r="S334" s="293"/>
      <c r="T334" s="293"/>
      <c r="U334" s="293"/>
      <c r="V334" s="293"/>
      <c r="W334" s="293"/>
      <c r="X334" s="293"/>
      <c r="Y334" s="293"/>
      <c r="Z334" s="293"/>
      <c r="AA334" s="293"/>
      <c r="AB334" s="293"/>
      <c r="AC334" s="293"/>
      <c r="AD334" s="293"/>
    </row>
    <row r="335">
      <c r="A335" s="293"/>
      <c r="B335" s="308"/>
      <c r="C335" s="293"/>
      <c r="D335" s="293"/>
      <c r="E335" s="293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Q335" s="293"/>
      <c r="R335" s="293"/>
      <c r="S335" s="293"/>
      <c r="T335" s="293"/>
      <c r="U335" s="293"/>
      <c r="V335" s="293"/>
      <c r="W335" s="293"/>
      <c r="X335" s="293"/>
      <c r="Y335" s="293"/>
      <c r="Z335" s="293"/>
      <c r="AA335" s="293"/>
      <c r="AB335" s="293"/>
      <c r="AC335" s="293"/>
      <c r="AD335" s="293"/>
    </row>
    <row r="336">
      <c r="A336" s="293"/>
      <c r="B336" s="308"/>
      <c r="C336" s="293"/>
      <c r="D336" s="293"/>
      <c r="E336" s="293"/>
      <c r="F336" s="293"/>
      <c r="G336" s="293"/>
      <c r="H336" s="293"/>
      <c r="I336" s="293"/>
      <c r="J336" s="293"/>
      <c r="K336" s="293"/>
      <c r="L336" s="293"/>
      <c r="M336" s="293"/>
      <c r="N336" s="293"/>
      <c r="O336" s="293"/>
      <c r="P336" s="293"/>
      <c r="Q336" s="293"/>
      <c r="R336" s="293"/>
      <c r="S336" s="293"/>
      <c r="T336" s="293"/>
      <c r="U336" s="293"/>
      <c r="V336" s="293"/>
      <c r="W336" s="293"/>
      <c r="X336" s="293"/>
      <c r="Y336" s="293"/>
      <c r="Z336" s="293"/>
      <c r="AA336" s="293"/>
      <c r="AB336" s="293"/>
      <c r="AC336" s="293"/>
      <c r="AD336" s="293"/>
    </row>
    <row r="337">
      <c r="A337" s="293"/>
      <c r="B337" s="308"/>
      <c r="C337" s="293"/>
      <c r="D337" s="293"/>
      <c r="E337" s="293"/>
      <c r="F337" s="293"/>
      <c r="G337" s="293"/>
      <c r="H337" s="293"/>
      <c r="I337" s="293"/>
      <c r="J337" s="293"/>
      <c r="K337" s="293"/>
      <c r="L337" s="293"/>
      <c r="M337" s="293"/>
      <c r="N337" s="293"/>
      <c r="O337" s="293"/>
      <c r="P337" s="293"/>
      <c r="Q337" s="293"/>
      <c r="R337" s="293"/>
      <c r="S337" s="293"/>
      <c r="T337" s="293"/>
      <c r="U337" s="293"/>
      <c r="V337" s="293"/>
      <c r="W337" s="293"/>
      <c r="X337" s="293"/>
      <c r="Y337" s="293"/>
      <c r="Z337" s="293"/>
      <c r="AA337" s="293"/>
      <c r="AB337" s="293"/>
      <c r="AC337" s="293"/>
      <c r="AD337" s="293"/>
    </row>
    <row r="338">
      <c r="A338" s="293"/>
      <c r="B338" s="308"/>
      <c r="C338" s="293"/>
      <c r="D338" s="293"/>
      <c r="E338" s="293"/>
      <c r="F338" s="293"/>
      <c r="G338" s="293"/>
      <c r="H338" s="293"/>
      <c r="I338" s="293"/>
      <c r="J338" s="293"/>
      <c r="K338" s="293"/>
      <c r="L338" s="293"/>
      <c r="M338" s="293"/>
      <c r="N338" s="293"/>
      <c r="O338" s="293"/>
      <c r="P338" s="293"/>
      <c r="Q338" s="293"/>
      <c r="R338" s="293"/>
      <c r="S338" s="293"/>
      <c r="T338" s="293"/>
      <c r="U338" s="293"/>
      <c r="V338" s="293"/>
      <c r="W338" s="293"/>
      <c r="X338" s="293"/>
      <c r="Y338" s="293"/>
      <c r="Z338" s="293"/>
      <c r="AA338" s="293"/>
      <c r="AB338" s="293"/>
      <c r="AC338" s="293"/>
      <c r="AD338" s="293"/>
    </row>
    <row r="339">
      <c r="A339" s="293"/>
      <c r="B339" s="308"/>
      <c r="C339" s="293"/>
      <c r="D339" s="293"/>
      <c r="E339" s="293"/>
      <c r="F339" s="293"/>
      <c r="G339" s="293"/>
      <c r="H339" s="293"/>
      <c r="I339" s="293"/>
      <c r="J339" s="293"/>
      <c r="K339" s="293"/>
      <c r="L339" s="293"/>
      <c r="M339" s="293"/>
      <c r="N339" s="293"/>
      <c r="O339" s="293"/>
      <c r="P339" s="293"/>
      <c r="Q339" s="293"/>
      <c r="R339" s="293"/>
      <c r="S339" s="293"/>
      <c r="T339" s="293"/>
      <c r="U339" s="293"/>
      <c r="V339" s="293"/>
      <c r="W339" s="293"/>
      <c r="X339" s="293"/>
      <c r="Y339" s="293"/>
      <c r="Z339" s="293"/>
      <c r="AA339" s="293"/>
      <c r="AB339" s="293"/>
      <c r="AC339" s="293"/>
      <c r="AD339" s="293"/>
    </row>
    <row r="340">
      <c r="A340" s="293"/>
      <c r="B340" s="308"/>
      <c r="C340" s="293"/>
      <c r="D340" s="293"/>
      <c r="E340" s="293"/>
      <c r="F340" s="293"/>
      <c r="G340" s="293"/>
      <c r="H340" s="293"/>
      <c r="I340" s="293"/>
      <c r="J340" s="293"/>
      <c r="K340" s="293"/>
      <c r="L340" s="293"/>
      <c r="M340" s="293"/>
      <c r="N340" s="293"/>
      <c r="O340" s="293"/>
      <c r="P340" s="293"/>
      <c r="Q340" s="293"/>
      <c r="R340" s="293"/>
      <c r="S340" s="293"/>
      <c r="T340" s="293"/>
      <c r="U340" s="293"/>
      <c r="V340" s="293"/>
      <c r="W340" s="293"/>
      <c r="X340" s="293"/>
      <c r="Y340" s="293"/>
      <c r="Z340" s="293"/>
      <c r="AA340" s="293"/>
      <c r="AB340" s="293"/>
      <c r="AC340" s="293"/>
      <c r="AD340" s="293"/>
    </row>
    <row r="341">
      <c r="A341" s="293"/>
      <c r="B341" s="308"/>
      <c r="C341" s="293"/>
      <c r="D341" s="293"/>
      <c r="E341" s="293"/>
      <c r="F341" s="293"/>
      <c r="G341" s="293"/>
      <c r="H341" s="293"/>
      <c r="I341" s="293"/>
      <c r="J341" s="293"/>
      <c r="K341" s="293"/>
      <c r="L341" s="293"/>
      <c r="M341" s="293"/>
      <c r="N341" s="293"/>
      <c r="O341" s="293"/>
      <c r="P341" s="293"/>
      <c r="Q341" s="293"/>
      <c r="R341" s="293"/>
      <c r="S341" s="293"/>
      <c r="T341" s="293"/>
      <c r="U341" s="293"/>
      <c r="V341" s="293"/>
      <c r="W341" s="293"/>
      <c r="X341" s="293"/>
      <c r="Y341" s="293"/>
      <c r="Z341" s="293"/>
      <c r="AA341" s="293"/>
      <c r="AB341" s="293"/>
      <c r="AC341" s="293"/>
      <c r="AD341" s="293"/>
    </row>
    <row r="342">
      <c r="A342" s="293"/>
      <c r="B342" s="308"/>
      <c r="C342" s="293"/>
      <c r="D342" s="293"/>
      <c r="E342" s="293"/>
      <c r="F342" s="293"/>
      <c r="G342" s="293"/>
      <c r="H342" s="293"/>
      <c r="I342" s="293"/>
      <c r="J342" s="293"/>
      <c r="K342" s="293"/>
      <c r="L342" s="293"/>
      <c r="M342" s="293"/>
      <c r="N342" s="293"/>
      <c r="O342" s="293"/>
      <c r="P342" s="293"/>
      <c r="Q342" s="293"/>
      <c r="R342" s="293"/>
      <c r="S342" s="293"/>
      <c r="T342" s="293"/>
      <c r="U342" s="293"/>
      <c r="V342" s="293"/>
      <c r="W342" s="293"/>
      <c r="X342" s="293"/>
      <c r="Y342" s="293"/>
      <c r="Z342" s="293"/>
      <c r="AA342" s="293"/>
      <c r="AB342" s="293"/>
      <c r="AC342" s="293"/>
      <c r="AD342" s="293"/>
    </row>
    <row r="343">
      <c r="A343" s="293"/>
      <c r="B343" s="308"/>
      <c r="C343" s="293"/>
      <c r="D343" s="293"/>
      <c r="E343" s="293"/>
      <c r="F343" s="293"/>
      <c r="G343" s="293"/>
      <c r="H343" s="293"/>
      <c r="I343" s="293"/>
      <c r="J343" s="293"/>
      <c r="K343" s="293"/>
      <c r="L343" s="293"/>
      <c r="M343" s="293"/>
      <c r="N343" s="293"/>
      <c r="O343" s="293"/>
      <c r="P343" s="293"/>
      <c r="Q343" s="293"/>
      <c r="R343" s="293"/>
      <c r="S343" s="293"/>
      <c r="T343" s="293"/>
      <c r="U343" s="293"/>
      <c r="V343" s="293"/>
      <c r="W343" s="293"/>
      <c r="X343" s="293"/>
      <c r="Y343" s="293"/>
      <c r="Z343" s="293"/>
      <c r="AA343" s="293"/>
      <c r="AB343" s="293"/>
      <c r="AC343" s="293"/>
      <c r="AD343" s="293"/>
    </row>
    <row r="344">
      <c r="A344" s="293"/>
      <c r="B344" s="308"/>
      <c r="C344" s="293"/>
      <c r="D344" s="293"/>
      <c r="E344" s="293"/>
      <c r="F344" s="293"/>
      <c r="G344" s="293"/>
      <c r="H344" s="293"/>
      <c r="I344" s="293"/>
      <c r="J344" s="293"/>
      <c r="K344" s="293"/>
      <c r="L344" s="293"/>
      <c r="M344" s="293"/>
      <c r="N344" s="293"/>
      <c r="O344" s="293"/>
      <c r="P344" s="293"/>
      <c r="Q344" s="293"/>
      <c r="R344" s="293"/>
      <c r="S344" s="293"/>
      <c r="T344" s="293"/>
      <c r="U344" s="293"/>
      <c r="V344" s="293"/>
      <c r="W344" s="293"/>
      <c r="X344" s="293"/>
      <c r="Y344" s="293"/>
      <c r="Z344" s="293"/>
      <c r="AA344" s="293"/>
      <c r="AB344" s="293"/>
      <c r="AC344" s="293"/>
      <c r="AD344" s="293"/>
    </row>
    <row r="345">
      <c r="A345" s="293"/>
      <c r="B345" s="308"/>
      <c r="C345" s="293"/>
      <c r="D345" s="293"/>
      <c r="E345" s="293"/>
      <c r="F345" s="293"/>
      <c r="G345" s="293"/>
      <c r="H345" s="293"/>
      <c r="I345" s="293"/>
      <c r="J345" s="293"/>
      <c r="K345" s="293"/>
      <c r="L345" s="293"/>
      <c r="M345" s="293"/>
      <c r="N345" s="293"/>
      <c r="O345" s="293"/>
      <c r="P345" s="293"/>
      <c r="Q345" s="293"/>
      <c r="R345" s="293"/>
      <c r="S345" s="293"/>
      <c r="T345" s="293"/>
      <c r="U345" s="293"/>
      <c r="V345" s="293"/>
      <c r="W345" s="293"/>
      <c r="X345" s="293"/>
      <c r="Y345" s="293"/>
      <c r="Z345" s="293"/>
      <c r="AA345" s="293"/>
      <c r="AB345" s="293"/>
      <c r="AC345" s="293"/>
      <c r="AD345" s="293"/>
    </row>
    <row r="346">
      <c r="A346" s="293"/>
      <c r="B346" s="308"/>
      <c r="C346" s="293"/>
      <c r="D346" s="293"/>
      <c r="E346" s="293"/>
      <c r="F346" s="293"/>
      <c r="G346" s="293"/>
      <c r="H346" s="293"/>
      <c r="I346" s="293"/>
      <c r="J346" s="293"/>
      <c r="K346" s="293"/>
      <c r="L346" s="293"/>
      <c r="M346" s="293"/>
      <c r="N346" s="293"/>
      <c r="O346" s="293"/>
      <c r="P346" s="293"/>
      <c r="Q346" s="293"/>
      <c r="R346" s="293"/>
      <c r="S346" s="293"/>
      <c r="T346" s="293"/>
      <c r="U346" s="293"/>
      <c r="V346" s="293"/>
      <c r="W346" s="293"/>
      <c r="X346" s="293"/>
      <c r="Y346" s="293"/>
      <c r="Z346" s="293"/>
      <c r="AA346" s="293"/>
      <c r="AB346" s="293"/>
      <c r="AC346" s="293"/>
      <c r="AD346" s="293"/>
    </row>
    <row r="347">
      <c r="A347" s="293"/>
      <c r="B347" s="308"/>
      <c r="C347" s="293"/>
      <c r="D347" s="293"/>
      <c r="E347" s="293"/>
      <c r="F347" s="293"/>
      <c r="G347" s="293"/>
      <c r="H347" s="293"/>
      <c r="I347" s="293"/>
      <c r="J347" s="293"/>
      <c r="K347" s="293"/>
      <c r="L347" s="293"/>
      <c r="M347" s="293"/>
      <c r="N347" s="293"/>
      <c r="O347" s="293"/>
      <c r="P347" s="293"/>
      <c r="Q347" s="293"/>
      <c r="R347" s="293"/>
      <c r="S347" s="293"/>
      <c r="T347" s="293"/>
      <c r="U347" s="293"/>
      <c r="V347" s="293"/>
      <c r="W347" s="293"/>
      <c r="X347" s="293"/>
      <c r="Y347" s="293"/>
      <c r="Z347" s="293"/>
      <c r="AA347" s="293"/>
      <c r="AB347" s="293"/>
      <c r="AC347" s="293"/>
      <c r="AD347" s="293"/>
    </row>
    <row r="348">
      <c r="A348" s="293"/>
      <c r="B348" s="308"/>
      <c r="C348" s="293"/>
      <c r="D348" s="293"/>
      <c r="E348" s="293"/>
      <c r="F348" s="293"/>
      <c r="G348" s="293"/>
      <c r="H348" s="293"/>
      <c r="I348" s="293"/>
      <c r="J348" s="293"/>
      <c r="K348" s="293"/>
      <c r="L348" s="293"/>
      <c r="M348" s="293"/>
      <c r="N348" s="293"/>
      <c r="O348" s="293"/>
      <c r="P348" s="293"/>
      <c r="Q348" s="293"/>
      <c r="R348" s="293"/>
      <c r="S348" s="293"/>
      <c r="T348" s="293"/>
      <c r="U348" s="293"/>
      <c r="V348" s="293"/>
      <c r="W348" s="293"/>
      <c r="X348" s="293"/>
      <c r="Y348" s="293"/>
      <c r="Z348" s="293"/>
      <c r="AA348" s="293"/>
      <c r="AB348" s="293"/>
      <c r="AC348" s="293"/>
      <c r="AD348" s="293"/>
    </row>
    <row r="349">
      <c r="A349" s="293"/>
      <c r="B349" s="308"/>
      <c r="C349" s="293"/>
      <c r="D349" s="293"/>
      <c r="E349" s="293"/>
      <c r="F349" s="293"/>
      <c r="G349" s="293"/>
      <c r="H349" s="293"/>
      <c r="I349" s="293"/>
      <c r="J349" s="293"/>
      <c r="K349" s="293"/>
      <c r="L349" s="293"/>
      <c r="M349" s="293"/>
      <c r="N349" s="293"/>
      <c r="O349" s="293"/>
      <c r="P349" s="293"/>
      <c r="Q349" s="293"/>
      <c r="R349" s="293"/>
      <c r="S349" s="293"/>
      <c r="T349" s="293"/>
      <c r="U349" s="293"/>
      <c r="V349" s="293"/>
      <c r="W349" s="293"/>
      <c r="X349" s="293"/>
      <c r="Y349" s="293"/>
      <c r="Z349" s="293"/>
      <c r="AA349" s="293"/>
      <c r="AB349" s="293"/>
      <c r="AC349" s="293"/>
      <c r="AD349" s="293"/>
    </row>
    <row r="350">
      <c r="A350" s="293"/>
      <c r="B350" s="308"/>
      <c r="C350" s="293"/>
      <c r="D350" s="293"/>
      <c r="E350" s="293"/>
      <c r="F350" s="293"/>
      <c r="G350" s="293"/>
      <c r="H350" s="293"/>
      <c r="I350" s="293"/>
      <c r="J350" s="293"/>
      <c r="K350" s="293"/>
      <c r="L350" s="293"/>
      <c r="M350" s="293"/>
      <c r="N350" s="293"/>
      <c r="O350" s="293"/>
      <c r="P350" s="293"/>
      <c r="Q350" s="293"/>
      <c r="R350" s="293"/>
      <c r="S350" s="293"/>
      <c r="T350" s="293"/>
      <c r="U350" s="293"/>
      <c r="V350" s="293"/>
      <c r="W350" s="293"/>
      <c r="X350" s="293"/>
      <c r="Y350" s="293"/>
      <c r="Z350" s="293"/>
      <c r="AA350" s="293"/>
      <c r="AB350" s="293"/>
      <c r="AC350" s="293"/>
      <c r="AD350" s="293"/>
    </row>
    <row r="351">
      <c r="A351" s="293"/>
      <c r="B351" s="308"/>
      <c r="C351" s="293"/>
      <c r="D351" s="293"/>
      <c r="E351" s="293"/>
      <c r="F351" s="293"/>
      <c r="G351" s="293"/>
      <c r="H351" s="293"/>
      <c r="I351" s="293"/>
      <c r="J351" s="293"/>
      <c r="K351" s="293"/>
      <c r="L351" s="293"/>
      <c r="M351" s="293"/>
      <c r="N351" s="293"/>
      <c r="O351" s="293"/>
      <c r="P351" s="293"/>
      <c r="Q351" s="293"/>
      <c r="R351" s="293"/>
      <c r="S351" s="293"/>
      <c r="T351" s="293"/>
      <c r="U351" s="293"/>
      <c r="V351" s="293"/>
      <c r="W351" s="293"/>
      <c r="X351" s="293"/>
      <c r="Y351" s="293"/>
      <c r="Z351" s="293"/>
      <c r="AA351" s="293"/>
      <c r="AB351" s="293"/>
      <c r="AC351" s="293"/>
      <c r="AD351" s="293"/>
    </row>
    <row r="352">
      <c r="A352" s="293"/>
      <c r="B352" s="308"/>
      <c r="C352" s="293"/>
      <c r="D352" s="293"/>
      <c r="E352" s="293"/>
      <c r="F352" s="293"/>
      <c r="G352" s="293"/>
      <c r="H352" s="293"/>
      <c r="I352" s="293"/>
      <c r="J352" s="293"/>
      <c r="K352" s="293"/>
      <c r="L352" s="293"/>
      <c r="M352" s="293"/>
      <c r="N352" s="293"/>
      <c r="O352" s="293"/>
      <c r="P352" s="293"/>
      <c r="Q352" s="293"/>
      <c r="R352" s="293"/>
      <c r="S352" s="293"/>
      <c r="T352" s="293"/>
      <c r="U352" s="293"/>
      <c r="V352" s="293"/>
      <c r="W352" s="293"/>
      <c r="X352" s="293"/>
      <c r="Y352" s="293"/>
      <c r="Z352" s="293"/>
      <c r="AA352" s="293"/>
      <c r="AB352" s="293"/>
      <c r="AC352" s="293"/>
      <c r="AD352" s="293"/>
    </row>
    <row r="353">
      <c r="A353" s="293"/>
      <c r="B353" s="308"/>
      <c r="C353" s="293"/>
      <c r="D353" s="293"/>
      <c r="E353" s="293"/>
      <c r="F353" s="293"/>
      <c r="G353" s="293"/>
      <c r="H353" s="293"/>
      <c r="I353" s="293"/>
      <c r="J353" s="293"/>
      <c r="K353" s="293"/>
      <c r="L353" s="293"/>
      <c r="M353" s="293"/>
      <c r="N353" s="293"/>
      <c r="O353" s="293"/>
      <c r="P353" s="293"/>
      <c r="Q353" s="293"/>
      <c r="R353" s="293"/>
      <c r="S353" s="293"/>
      <c r="T353" s="293"/>
      <c r="U353" s="293"/>
      <c r="V353" s="293"/>
      <c r="W353" s="293"/>
      <c r="X353" s="293"/>
      <c r="Y353" s="293"/>
      <c r="Z353" s="293"/>
      <c r="AA353" s="293"/>
      <c r="AB353" s="293"/>
      <c r="AC353" s="293"/>
      <c r="AD353" s="293"/>
    </row>
    <row r="354">
      <c r="A354" s="293"/>
      <c r="B354" s="308"/>
      <c r="C354" s="293"/>
      <c r="D354" s="293"/>
      <c r="E354" s="293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293"/>
      <c r="Q354" s="293"/>
      <c r="R354" s="293"/>
      <c r="S354" s="293"/>
      <c r="T354" s="293"/>
      <c r="U354" s="293"/>
      <c r="V354" s="293"/>
      <c r="W354" s="293"/>
      <c r="X354" s="293"/>
      <c r="Y354" s="293"/>
      <c r="Z354" s="293"/>
      <c r="AA354" s="293"/>
      <c r="AB354" s="293"/>
      <c r="AC354" s="293"/>
      <c r="AD354" s="293"/>
    </row>
    <row r="355">
      <c r="A355" s="293"/>
      <c r="B355" s="308"/>
      <c r="C355" s="293"/>
      <c r="D355" s="293"/>
      <c r="E355" s="293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293"/>
      <c r="Q355" s="293"/>
      <c r="R355" s="293"/>
      <c r="S355" s="293"/>
      <c r="T355" s="293"/>
      <c r="U355" s="293"/>
      <c r="V355" s="293"/>
      <c r="W355" s="293"/>
      <c r="X355" s="293"/>
      <c r="Y355" s="293"/>
      <c r="Z355" s="293"/>
      <c r="AA355" s="293"/>
      <c r="AB355" s="293"/>
      <c r="AC355" s="293"/>
      <c r="AD355" s="293"/>
    </row>
    <row r="356">
      <c r="A356" s="293"/>
      <c r="B356" s="308"/>
      <c r="C356" s="293"/>
      <c r="D356" s="293"/>
      <c r="E356" s="293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293"/>
      <c r="Q356" s="293"/>
      <c r="R356" s="293"/>
      <c r="S356" s="293"/>
      <c r="T356" s="293"/>
      <c r="U356" s="293"/>
      <c r="V356" s="293"/>
      <c r="W356" s="293"/>
      <c r="X356" s="293"/>
      <c r="Y356" s="293"/>
      <c r="Z356" s="293"/>
      <c r="AA356" s="293"/>
      <c r="AB356" s="293"/>
      <c r="AC356" s="293"/>
      <c r="AD356" s="293"/>
    </row>
    <row r="357">
      <c r="A357" s="293"/>
      <c r="B357" s="308"/>
      <c r="C357" s="293"/>
      <c r="D357" s="293"/>
      <c r="E357" s="293"/>
      <c r="F357" s="293"/>
      <c r="G357" s="293"/>
      <c r="H357" s="293"/>
      <c r="I357" s="293"/>
      <c r="J357" s="293"/>
      <c r="K357" s="293"/>
      <c r="L357" s="293"/>
      <c r="M357" s="293"/>
      <c r="N357" s="293"/>
      <c r="O357" s="293"/>
      <c r="P357" s="293"/>
      <c r="Q357" s="293"/>
      <c r="R357" s="293"/>
      <c r="S357" s="293"/>
      <c r="T357" s="293"/>
      <c r="U357" s="293"/>
      <c r="V357" s="293"/>
      <c r="W357" s="293"/>
      <c r="X357" s="293"/>
      <c r="Y357" s="293"/>
      <c r="Z357" s="293"/>
      <c r="AA357" s="293"/>
      <c r="AB357" s="293"/>
      <c r="AC357" s="293"/>
      <c r="AD357" s="293"/>
    </row>
    <row r="358">
      <c r="A358" s="293"/>
      <c r="B358" s="308"/>
      <c r="C358" s="293"/>
      <c r="D358" s="293"/>
      <c r="E358" s="293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Q358" s="293"/>
      <c r="R358" s="293"/>
      <c r="S358" s="293"/>
      <c r="T358" s="293"/>
      <c r="U358" s="293"/>
      <c r="V358" s="293"/>
      <c r="W358" s="293"/>
      <c r="X358" s="293"/>
      <c r="Y358" s="293"/>
      <c r="Z358" s="293"/>
      <c r="AA358" s="293"/>
      <c r="AB358" s="293"/>
      <c r="AC358" s="293"/>
      <c r="AD358" s="293"/>
    </row>
    <row r="359">
      <c r="A359" s="293"/>
      <c r="B359" s="308"/>
      <c r="C359" s="293"/>
      <c r="D359" s="293"/>
      <c r="E359" s="293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Q359" s="293"/>
      <c r="R359" s="293"/>
      <c r="S359" s="293"/>
      <c r="T359" s="293"/>
      <c r="U359" s="293"/>
      <c r="V359" s="293"/>
      <c r="W359" s="293"/>
      <c r="X359" s="293"/>
      <c r="Y359" s="293"/>
      <c r="Z359" s="293"/>
      <c r="AA359" s="293"/>
      <c r="AB359" s="293"/>
      <c r="AC359" s="293"/>
      <c r="AD359" s="293"/>
    </row>
    <row r="360">
      <c r="A360" s="293"/>
      <c r="B360" s="308"/>
      <c r="C360" s="293"/>
      <c r="D360" s="293"/>
      <c r="E360" s="293"/>
      <c r="F360" s="293"/>
      <c r="G360" s="293"/>
      <c r="H360" s="293"/>
      <c r="I360" s="293"/>
      <c r="J360" s="293"/>
      <c r="K360" s="293"/>
      <c r="L360" s="293"/>
      <c r="M360" s="293"/>
      <c r="N360" s="293"/>
      <c r="O360" s="293"/>
      <c r="P360" s="293"/>
      <c r="Q360" s="293"/>
      <c r="R360" s="293"/>
      <c r="S360" s="293"/>
      <c r="T360" s="293"/>
      <c r="U360" s="293"/>
      <c r="V360" s="293"/>
      <c r="W360" s="293"/>
      <c r="X360" s="293"/>
      <c r="Y360" s="293"/>
      <c r="Z360" s="293"/>
      <c r="AA360" s="293"/>
      <c r="AB360" s="293"/>
      <c r="AC360" s="293"/>
      <c r="AD360" s="293"/>
    </row>
    <row r="361">
      <c r="A361" s="293"/>
      <c r="B361" s="308"/>
      <c r="C361" s="293"/>
      <c r="D361" s="293"/>
      <c r="E361" s="293"/>
      <c r="F361" s="293"/>
      <c r="G361" s="293"/>
      <c r="H361" s="293"/>
      <c r="I361" s="293"/>
      <c r="J361" s="293"/>
      <c r="K361" s="293"/>
      <c r="L361" s="293"/>
      <c r="M361" s="293"/>
      <c r="N361" s="293"/>
      <c r="O361" s="293"/>
      <c r="P361" s="293"/>
      <c r="Q361" s="293"/>
      <c r="R361" s="293"/>
      <c r="S361" s="293"/>
      <c r="T361" s="293"/>
      <c r="U361" s="293"/>
      <c r="V361" s="293"/>
      <c r="W361" s="293"/>
      <c r="X361" s="293"/>
      <c r="Y361" s="293"/>
      <c r="Z361" s="293"/>
      <c r="AA361" s="293"/>
      <c r="AB361" s="293"/>
      <c r="AC361" s="293"/>
      <c r="AD361" s="293"/>
    </row>
    <row r="362">
      <c r="A362" s="293"/>
      <c r="B362" s="308"/>
      <c r="C362" s="293"/>
      <c r="D362" s="293"/>
      <c r="E362" s="293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Q362" s="293"/>
      <c r="R362" s="293"/>
      <c r="S362" s="293"/>
      <c r="T362" s="293"/>
      <c r="U362" s="293"/>
      <c r="V362" s="293"/>
      <c r="W362" s="293"/>
      <c r="X362" s="293"/>
      <c r="Y362" s="293"/>
      <c r="Z362" s="293"/>
      <c r="AA362" s="293"/>
      <c r="AB362" s="293"/>
      <c r="AC362" s="293"/>
      <c r="AD362" s="293"/>
    </row>
    <row r="363">
      <c r="A363" s="293"/>
      <c r="B363" s="308"/>
      <c r="C363" s="293"/>
      <c r="D363" s="293"/>
      <c r="E363" s="293"/>
      <c r="F363" s="293"/>
      <c r="G363" s="293"/>
      <c r="H363" s="293"/>
      <c r="I363" s="293"/>
      <c r="J363" s="293"/>
      <c r="K363" s="293"/>
      <c r="L363" s="293"/>
      <c r="M363" s="293"/>
      <c r="N363" s="293"/>
      <c r="O363" s="293"/>
      <c r="P363" s="293"/>
      <c r="Q363" s="293"/>
      <c r="R363" s="293"/>
      <c r="S363" s="293"/>
      <c r="T363" s="293"/>
      <c r="U363" s="293"/>
      <c r="V363" s="293"/>
      <c r="W363" s="293"/>
      <c r="X363" s="293"/>
      <c r="Y363" s="293"/>
      <c r="Z363" s="293"/>
      <c r="AA363" s="293"/>
      <c r="AB363" s="293"/>
      <c r="AC363" s="293"/>
      <c r="AD363" s="293"/>
    </row>
    <row r="364">
      <c r="A364" s="293"/>
      <c r="B364" s="308"/>
      <c r="C364" s="293"/>
      <c r="D364" s="293"/>
      <c r="E364" s="293"/>
      <c r="F364" s="293"/>
      <c r="G364" s="293"/>
      <c r="H364" s="293"/>
      <c r="I364" s="293"/>
      <c r="J364" s="293"/>
      <c r="K364" s="293"/>
      <c r="L364" s="293"/>
      <c r="M364" s="293"/>
      <c r="N364" s="293"/>
      <c r="O364" s="293"/>
      <c r="P364" s="293"/>
      <c r="Q364" s="293"/>
      <c r="R364" s="293"/>
      <c r="S364" s="293"/>
      <c r="T364" s="293"/>
      <c r="U364" s="293"/>
      <c r="V364" s="293"/>
      <c r="W364" s="293"/>
      <c r="X364" s="293"/>
      <c r="Y364" s="293"/>
      <c r="Z364" s="293"/>
      <c r="AA364" s="293"/>
      <c r="AB364" s="293"/>
      <c r="AC364" s="293"/>
      <c r="AD364" s="293"/>
    </row>
    <row r="365">
      <c r="A365" s="293"/>
      <c r="B365" s="308"/>
      <c r="C365" s="293"/>
      <c r="D365" s="293"/>
      <c r="E365" s="293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Q365" s="293"/>
      <c r="R365" s="293"/>
      <c r="S365" s="293"/>
      <c r="T365" s="293"/>
      <c r="U365" s="293"/>
      <c r="V365" s="293"/>
      <c r="W365" s="293"/>
      <c r="X365" s="293"/>
      <c r="Y365" s="293"/>
      <c r="Z365" s="293"/>
      <c r="AA365" s="293"/>
      <c r="AB365" s="293"/>
      <c r="AC365" s="293"/>
      <c r="AD365" s="293"/>
    </row>
    <row r="366">
      <c r="A366" s="293"/>
      <c r="B366" s="308"/>
      <c r="C366" s="293"/>
      <c r="D366" s="293"/>
      <c r="E366" s="293"/>
      <c r="F366" s="293"/>
      <c r="G366" s="293"/>
      <c r="H366" s="293"/>
      <c r="I366" s="293"/>
      <c r="J366" s="293"/>
      <c r="K366" s="293"/>
      <c r="L366" s="293"/>
      <c r="M366" s="293"/>
      <c r="N366" s="293"/>
      <c r="O366" s="293"/>
      <c r="P366" s="293"/>
      <c r="Q366" s="293"/>
      <c r="R366" s="293"/>
      <c r="S366" s="293"/>
      <c r="T366" s="293"/>
      <c r="U366" s="293"/>
      <c r="V366" s="293"/>
      <c r="W366" s="293"/>
      <c r="X366" s="293"/>
      <c r="Y366" s="293"/>
      <c r="Z366" s="293"/>
      <c r="AA366" s="293"/>
      <c r="AB366" s="293"/>
      <c r="AC366" s="293"/>
      <c r="AD366" s="293"/>
    </row>
    <row r="367">
      <c r="A367" s="293"/>
      <c r="B367" s="308"/>
      <c r="C367" s="293"/>
      <c r="D367" s="293"/>
      <c r="E367" s="293"/>
      <c r="F367" s="293"/>
      <c r="G367" s="293"/>
      <c r="H367" s="293"/>
      <c r="I367" s="293"/>
      <c r="J367" s="293"/>
      <c r="K367" s="293"/>
      <c r="L367" s="293"/>
      <c r="M367" s="293"/>
      <c r="N367" s="293"/>
      <c r="O367" s="293"/>
      <c r="P367" s="293"/>
      <c r="Q367" s="293"/>
      <c r="R367" s="293"/>
      <c r="S367" s="293"/>
      <c r="T367" s="293"/>
      <c r="U367" s="293"/>
      <c r="V367" s="293"/>
      <c r="W367" s="293"/>
      <c r="X367" s="293"/>
      <c r="Y367" s="293"/>
      <c r="Z367" s="293"/>
      <c r="AA367" s="293"/>
      <c r="AB367" s="293"/>
      <c r="AC367" s="293"/>
      <c r="AD367" s="293"/>
    </row>
    <row r="368">
      <c r="A368" s="293"/>
      <c r="B368" s="308"/>
      <c r="C368" s="293"/>
      <c r="D368" s="293"/>
      <c r="E368" s="293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Q368" s="293"/>
      <c r="R368" s="293"/>
      <c r="S368" s="293"/>
      <c r="T368" s="293"/>
      <c r="U368" s="293"/>
      <c r="V368" s="293"/>
      <c r="W368" s="293"/>
      <c r="X368" s="293"/>
      <c r="Y368" s="293"/>
      <c r="Z368" s="293"/>
      <c r="AA368" s="293"/>
      <c r="AB368" s="293"/>
      <c r="AC368" s="293"/>
      <c r="AD368" s="293"/>
    </row>
    <row r="369">
      <c r="A369" s="293"/>
      <c r="B369" s="308"/>
      <c r="C369" s="293"/>
      <c r="D369" s="293"/>
      <c r="E369" s="293"/>
      <c r="F369" s="293"/>
      <c r="G369" s="293"/>
      <c r="H369" s="293"/>
      <c r="I369" s="293"/>
      <c r="J369" s="293"/>
      <c r="K369" s="293"/>
      <c r="L369" s="293"/>
      <c r="M369" s="293"/>
      <c r="N369" s="293"/>
      <c r="O369" s="293"/>
      <c r="P369" s="293"/>
      <c r="Q369" s="293"/>
      <c r="R369" s="293"/>
      <c r="S369" s="293"/>
      <c r="T369" s="293"/>
      <c r="U369" s="293"/>
      <c r="V369" s="293"/>
      <c r="W369" s="293"/>
      <c r="X369" s="293"/>
      <c r="Y369" s="293"/>
      <c r="Z369" s="293"/>
      <c r="AA369" s="293"/>
      <c r="AB369" s="293"/>
      <c r="AC369" s="293"/>
      <c r="AD369" s="293"/>
    </row>
    <row r="370">
      <c r="A370" s="293"/>
      <c r="B370" s="308"/>
      <c r="C370" s="293"/>
      <c r="D370" s="293"/>
      <c r="E370" s="293"/>
      <c r="F370" s="293"/>
      <c r="G370" s="293"/>
      <c r="H370" s="293"/>
      <c r="I370" s="293"/>
      <c r="J370" s="293"/>
      <c r="K370" s="293"/>
      <c r="L370" s="293"/>
      <c r="M370" s="293"/>
      <c r="N370" s="293"/>
      <c r="O370" s="293"/>
      <c r="P370" s="293"/>
      <c r="Q370" s="293"/>
      <c r="R370" s="293"/>
      <c r="S370" s="293"/>
      <c r="T370" s="293"/>
      <c r="U370" s="293"/>
      <c r="V370" s="293"/>
      <c r="W370" s="293"/>
      <c r="X370" s="293"/>
      <c r="Y370" s="293"/>
      <c r="Z370" s="293"/>
      <c r="AA370" s="293"/>
      <c r="AB370" s="293"/>
      <c r="AC370" s="293"/>
      <c r="AD370" s="293"/>
    </row>
    <row r="371">
      <c r="A371" s="293"/>
      <c r="B371" s="308"/>
      <c r="C371" s="293"/>
      <c r="D371" s="293"/>
      <c r="E371" s="293"/>
      <c r="F371" s="293"/>
      <c r="G371" s="293"/>
      <c r="H371" s="293"/>
      <c r="I371" s="293"/>
      <c r="J371" s="293"/>
      <c r="K371" s="293"/>
      <c r="L371" s="293"/>
      <c r="M371" s="293"/>
      <c r="N371" s="293"/>
      <c r="O371" s="293"/>
      <c r="P371" s="293"/>
      <c r="Q371" s="293"/>
      <c r="R371" s="293"/>
      <c r="S371" s="293"/>
      <c r="T371" s="293"/>
      <c r="U371" s="293"/>
      <c r="V371" s="293"/>
      <c r="W371" s="293"/>
      <c r="X371" s="293"/>
      <c r="Y371" s="293"/>
      <c r="Z371" s="293"/>
      <c r="AA371" s="293"/>
      <c r="AB371" s="293"/>
      <c r="AC371" s="293"/>
      <c r="AD371" s="293"/>
    </row>
    <row r="372">
      <c r="A372" s="293"/>
      <c r="B372" s="308"/>
      <c r="C372" s="293"/>
      <c r="D372" s="293"/>
      <c r="E372" s="293"/>
      <c r="F372" s="293"/>
      <c r="G372" s="293"/>
      <c r="H372" s="293"/>
      <c r="I372" s="293"/>
      <c r="J372" s="293"/>
      <c r="K372" s="293"/>
      <c r="L372" s="293"/>
      <c r="M372" s="293"/>
      <c r="N372" s="293"/>
      <c r="O372" s="293"/>
      <c r="P372" s="293"/>
      <c r="Q372" s="293"/>
      <c r="R372" s="293"/>
      <c r="S372" s="293"/>
      <c r="T372" s="293"/>
      <c r="U372" s="293"/>
      <c r="V372" s="293"/>
      <c r="W372" s="293"/>
      <c r="X372" s="293"/>
      <c r="Y372" s="293"/>
      <c r="Z372" s="293"/>
      <c r="AA372" s="293"/>
      <c r="AB372" s="293"/>
      <c r="AC372" s="293"/>
      <c r="AD372" s="293"/>
    </row>
    <row r="373">
      <c r="A373" s="293"/>
      <c r="B373" s="308"/>
      <c r="C373" s="293"/>
      <c r="D373" s="293"/>
      <c r="E373" s="293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Q373" s="293"/>
      <c r="R373" s="293"/>
      <c r="S373" s="293"/>
      <c r="T373" s="293"/>
      <c r="U373" s="293"/>
      <c r="V373" s="293"/>
      <c r="W373" s="293"/>
      <c r="X373" s="293"/>
      <c r="Y373" s="293"/>
      <c r="Z373" s="293"/>
      <c r="AA373" s="293"/>
      <c r="AB373" s="293"/>
      <c r="AC373" s="293"/>
      <c r="AD373" s="293"/>
    </row>
    <row r="374">
      <c r="A374" s="293"/>
      <c r="B374" s="308"/>
      <c r="C374" s="293"/>
      <c r="D374" s="293"/>
      <c r="E374" s="293"/>
      <c r="F374" s="293"/>
      <c r="G374" s="293"/>
      <c r="H374" s="293"/>
      <c r="I374" s="293"/>
      <c r="J374" s="293"/>
      <c r="K374" s="293"/>
      <c r="L374" s="293"/>
      <c r="M374" s="293"/>
      <c r="N374" s="293"/>
      <c r="O374" s="293"/>
      <c r="P374" s="293"/>
      <c r="Q374" s="293"/>
      <c r="R374" s="293"/>
      <c r="S374" s="293"/>
      <c r="T374" s="293"/>
      <c r="U374" s="293"/>
      <c r="V374" s="293"/>
      <c r="W374" s="293"/>
      <c r="X374" s="293"/>
      <c r="Y374" s="293"/>
      <c r="Z374" s="293"/>
      <c r="AA374" s="293"/>
      <c r="AB374" s="293"/>
      <c r="AC374" s="293"/>
      <c r="AD374" s="293"/>
    </row>
    <row r="375">
      <c r="A375" s="293"/>
      <c r="B375" s="308"/>
      <c r="C375" s="293"/>
      <c r="D375" s="293"/>
      <c r="E375" s="293"/>
      <c r="F375" s="293"/>
      <c r="G375" s="293"/>
      <c r="H375" s="293"/>
      <c r="I375" s="293"/>
      <c r="J375" s="293"/>
      <c r="K375" s="293"/>
      <c r="L375" s="293"/>
      <c r="M375" s="293"/>
      <c r="N375" s="293"/>
      <c r="O375" s="293"/>
      <c r="P375" s="293"/>
      <c r="Q375" s="293"/>
      <c r="R375" s="293"/>
      <c r="S375" s="293"/>
      <c r="T375" s="293"/>
      <c r="U375" s="293"/>
      <c r="V375" s="293"/>
      <c r="W375" s="293"/>
      <c r="X375" s="293"/>
      <c r="Y375" s="293"/>
      <c r="Z375" s="293"/>
      <c r="AA375" s="293"/>
      <c r="AB375" s="293"/>
      <c r="AC375" s="293"/>
      <c r="AD375" s="293"/>
    </row>
    <row r="376">
      <c r="A376" s="293"/>
      <c r="B376" s="308"/>
      <c r="C376" s="293"/>
      <c r="D376" s="293"/>
      <c r="E376" s="293"/>
      <c r="F376" s="293"/>
      <c r="G376" s="293"/>
      <c r="H376" s="293"/>
      <c r="I376" s="293"/>
      <c r="J376" s="293"/>
      <c r="K376" s="293"/>
      <c r="L376" s="293"/>
      <c r="M376" s="293"/>
      <c r="N376" s="293"/>
      <c r="O376" s="293"/>
      <c r="P376" s="293"/>
      <c r="Q376" s="293"/>
      <c r="R376" s="293"/>
      <c r="S376" s="293"/>
      <c r="T376" s="293"/>
      <c r="U376" s="293"/>
      <c r="V376" s="293"/>
      <c r="W376" s="293"/>
      <c r="X376" s="293"/>
      <c r="Y376" s="293"/>
      <c r="Z376" s="293"/>
      <c r="AA376" s="293"/>
      <c r="AB376" s="293"/>
      <c r="AC376" s="293"/>
      <c r="AD376" s="293"/>
    </row>
    <row r="377">
      <c r="A377" s="293"/>
      <c r="B377" s="308"/>
      <c r="C377" s="293"/>
      <c r="D377" s="293"/>
      <c r="E377" s="293"/>
      <c r="F377" s="293"/>
      <c r="G377" s="293"/>
      <c r="H377" s="293"/>
      <c r="I377" s="293"/>
      <c r="J377" s="293"/>
      <c r="K377" s="293"/>
      <c r="L377" s="293"/>
      <c r="M377" s="293"/>
      <c r="N377" s="293"/>
      <c r="O377" s="293"/>
      <c r="P377" s="293"/>
      <c r="Q377" s="293"/>
      <c r="R377" s="293"/>
      <c r="S377" s="293"/>
      <c r="T377" s="293"/>
      <c r="U377" s="293"/>
      <c r="V377" s="293"/>
      <c r="W377" s="293"/>
      <c r="X377" s="293"/>
      <c r="Y377" s="293"/>
      <c r="Z377" s="293"/>
      <c r="AA377" s="293"/>
      <c r="AB377" s="293"/>
      <c r="AC377" s="293"/>
      <c r="AD377" s="293"/>
    </row>
    <row r="378">
      <c r="A378" s="293"/>
      <c r="B378" s="308"/>
      <c r="C378" s="293"/>
      <c r="D378" s="293"/>
      <c r="E378" s="293"/>
      <c r="F378" s="293"/>
      <c r="G378" s="293"/>
      <c r="H378" s="293"/>
      <c r="I378" s="293"/>
      <c r="J378" s="293"/>
      <c r="K378" s="293"/>
      <c r="L378" s="293"/>
      <c r="M378" s="293"/>
      <c r="N378" s="293"/>
      <c r="O378" s="293"/>
      <c r="P378" s="293"/>
      <c r="Q378" s="293"/>
      <c r="R378" s="293"/>
      <c r="S378" s="293"/>
      <c r="T378" s="293"/>
      <c r="U378" s="293"/>
      <c r="V378" s="293"/>
      <c r="W378" s="293"/>
      <c r="X378" s="293"/>
      <c r="Y378" s="293"/>
      <c r="Z378" s="293"/>
      <c r="AA378" s="293"/>
      <c r="AB378" s="293"/>
      <c r="AC378" s="293"/>
      <c r="AD378" s="293"/>
    </row>
    <row r="379">
      <c r="A379" s="293"/>
      <c r="B379" s="308"/>
      <c r="C379" s="293"/>
      <c r="D379" s="293"/>
      <c r="E379" s="293"/>
      <c r="F379" s="293"/>
      <c r="G379" s="293"/>
      <c r="H379" s="293"/>
      <c r="I379" s="293"/>
      <c r="J379" s="293"/>
      <c r="K379" s="293"/>
      <c r="L379" s="293"/>
      <c r="M379" s="293"/>
      <c r="N379" s="293"/>
      <c r="O379" s="293"/>
      <c r="P379" s="293"/>
      <c r="Q379" s="293"/>
      <c r="R379" s="293"/>
      <c r="S379" s="293"/>
      <c r="T379" s="293"/>
      <c r="U379" s="293"/>
      <c r="V379" s="293"/>
      <c r="W379" s="293"/>
      <c r="X379" s="293"/>
      <c r="Y379" s="293"/>
      <c r="Z379" s="293"/>
      <c r="AA379" s="293"/>
      <c r="AB379" s="293"/>
      <c r="AC379" s="293"/>
      <c r="AD379" s="293"/>
    </row>
    <row r="380">
      <c r="A380" s="293"/>
      <c r="B380" s="308"/>
      <c r="C380" s="293"/>
      <c r="D380" s="293"/>
      <c r="E380" s="293"/>
      <c r="F380" s="293"/>
      <c r="G380" s="293"/>
      <c r="H380" s="293"/>
      <c r="I380" s="293"/>
      <c r="J380" s="293"/>
      <c r="K380" s="293"/>
      <c r="L380" s="293"/>
      <c r="M380" s="293"/>
      <c r="N380" s="293"/>
      <c r="O380" s="293"/>
      <c r="P380" s="293"/>
      <c r="Q380" s="293"/>
      <c r="R380" s="293"/>
      <c r="S380" s="293"/>
      <c r="T380" s="293"/>
      <c r="U380" s="293"/>
      <c r="V380" s="293"/>
      <c r="W380" s="293"/>
      <c r="X380" s="293"/>
      <c r="Y380" s="293"/>
      <c r="Z380" s="293"/>
      <c r="AA380" s="293"/>
      <c r="AB380" s="293"/>
      <c r="AC380" s="293"/>
      <c r="AD380" s="293"/>
    </row>
    <row r="381">
      <c r="A381" s="293"/>
      <c r="B381" s="308"/>
      <c r="C381" s="293"/>
      <c r="D381" s="293"/>
      <c r="E381" s="293"/>
      <c r="F381" s="293"/>
      <c r="G381" s="293"/>
      <c r="H381" s="293"/>
      <c r="I381" s="293"/>
      <c r="J381" s="293"/>
      <c r="K381" s="293"/>
      <c r="L381" s="293"/>
      <c r="M381" s="293"/>
      <c r="N381" s="293"/>
      <c r="O381" s="293"/>
      <c r="P381" s="293"/>
      <c r="Q381" s="293"/>
      <c r="R381" s="293"/>
      <c r="S381" s="293"/>
      <c r="T381" s="293"/>
      <c r="U381" s="293"/>
      <c r="V381" s="293"/>
      <c r="W381" s="293"/>
      <c r="X381" s="293"/>
      <c r="Y381" s="293"/>
      <c r="Z381" s="293"/>
      <c r="AA381" s="293"/>
      <c r="AB381" s="293"/>
      <c r="AC381" s="293"/>
      <c r="AD381" s="293"/>
    </row>
    <row r="382">
      <c r="A382" s="293"/>
      <c r="B382" s="308"/>
      <c r="C382" s="293"/>
      <c r="D382" s="293"/>
      <c r="E382" s="293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Q382" s="293"/>
      <c r="R382" s="293"/>
      <c r="S382" s="293"/>
      <c r="T382" s="293"/>
      <c r="U382" s="293"/>
      <c r="V382" s="293"/>
      <c r="W382" s="293"/>
      <c r="X382" s="293"/>
      <c r="Y382" s="293"/>
      <c r="Z382" s="293"/>
      <c r="AA382" s="293"/>
      <c r="AB382" s="293"/>
      <c r="AC382" s="293"/>
      <c r="AD382" s="293"/>
    </row>
    <row r="383">
      <c r="A383" s="293"/>
      <c r="B383" s="308"/>
      <c r="C383" s="293"/>
      <c r="D383" s="293"/>
      <c r="E383" s="293"/>
      <c r="F383" s="293"/>
      <c r="G383" s="293"/>
      <c r="H383" s="293"/>
      <c r="I383" s="293"/>
      <c r="J383" s="293"/>
      <c r="K383" s="293"/>
      <c r="L383" s="293"/>
      <c r="M383" s="293"/>
      <c r="N383" s="293"/>
      <c r="O383" s="293"/>
      <c r="P383" s="293"/>
      <c r="Q383" s="293"/>
      <c r="R383" s="293"/>
      <c r="S383" s="293"/>
      <c r="T383" s="293"/>
      <c r="U383" s="293"/>
      <c r="V383" s="293"/>
      <c r="W383" s="293"/>
      <c r="X383" s="293"/>
      <c r="Y383" s="293"/>
      <c r="Z383" s="293"/>
      <c r="AA383" s="293"/>
      <c r="AB383" s="293"/>
      <c r="AC383" s="293"/>
      <c r="AD383" s="293"/>
    </row>
    <row r="384">
      <c r="A384" s="293"/>
      <c r="B384" s="308"/>
      <c r="C384" s="293"/>
      <c r="D384" s="293"/>
      <c r="E384" s="293"/>
      <c r="F384" s="293"/>
      <c r="G384" s="293"/>
      <c r="H384" s="293"/>
      <c r="I384" s="293"/>
      <c r="J384" s="293"/>
      <c r="K384" s="293"/>
      <c r="L384" s="293"/>
      <c r="M384" s="293"/>
      <c r="N384" s="293"/>
      <c r="O384" s="293"/>
      <c r="P384" s="293"/>
      <c r="Q384" s="293"/>
      <c r="R384" s="293"/>
      <c r="S384" s="293"/>
      <c r="T384" s="293"/>
      <c r="U384" s="293"/>
      <c r="V384" s="293"/>
      <c r="W384" s="293"/>
      <c r="X384" s="293"/>
      <c r="Y384" s="293"/>
      <c r="Z384" s="293"/>
      <c r="AA384" s="293"/>
      <c r="AB384" s="293"/>
      <c r="AC384" s="293"/>
      <c r="AD384" s="293"/>
    </row>
    <row r="385">
      <c r="A385" s="293"/>
      <c r="B385" s="308"/>
      <c r="C385" s="293"/>
      <c r="D385" s="293"/>
      <c r="E385" s="293"/>
      <c r="F385" s="293"/>
      <c r="G385" s="293"/>
      <c r="H385" s="293"/>
      <c r="I385" s="293"/>
      <c r="J385" s="293"/>
      <c r="K385" s="293"/>
      <c r="L385" s="293"/>
      <c r="M385" s="293"/>
      <c r="N385" s="293"/>
      <c r="O385" s="293"/>
      <c r="P385" s="293"/>
      <c r="Q385" s="293"/>
      <c r="R385" s="293"/>
      <c r="S385" s="293"/>
      <c r="T385" s="293"/>
      <c r="U385" s="293"/>
      <c r="V385" s="293"/>
      <c r="W385" s="293"/>
      <c r="X385" s="293"/>
      <c r="Y385" s="293"/>
      <c r="Z385" s="293"/>
      <c r="AA385" s="293"/>
      <c r="AB385" s="293"/>
      <c r="AC385" s="293"/>
      <c r="AD385" s="293"/>
    </row>
    <row r="386">
      <c r="A386" s="293"/>
      <c r="B386" s="308"/>
      <c r="C386" s="293"/>
      <c r="D386" s="293"/>
      <c r="E386" s="293"/>
      <c r="F386" s="293"/>
      <c r="G386" s="293"/>
      <c r="H386" s="293"/>
      <c r="I386" s="293"/>
      <c r="J386" s="293"/>
      <c r="K386" s="293"/>
      <c r="L386" s="293"/>
      <c r="M386" s="293"/>
      <c r="N386" s="293"/>
      <c r="O386" s="293"/>
      <c r="P386" s="293"/>
      <c r="Q386" s="293"/>
      <c r="R386" s="293"/>
      <c r="S386" s="293"/>
      <c r="T386" s="293"/>
      <c r="U386" s="293"/>
      <c r="V386" s="293"/>
      <c r="W386" s="293"/>
      <c r="X386" s="293"/>
      <c r="Y386" s="293"/>
      <c r="Z386" s="293"/>
      <c r="AA386" s="293"/>
      <c r="AB386" s="293"/>
      <c r="AC386" s="293"/>
      <c r="AD386" s="293"/>
    </row>
    <row r="387">
      <c r="A387" s="293"/>
      <c r="B387" s="308"/>
      <c r="C387" s="293"/>
      <c r="D387" s="293"/>
      <c r="E387" s="293"/>
      <c r="F387" s="293"/>
      <c r="G387" s="293"/>
      <c r="H387" s="293"/>
      <c r="I387" s="293"/>
      <c r="J387" s="293"/>
      <c r="K387" s="293"/>
      <c r="L387" s="293"/>
      <c r="M387" s="293"/>
      <c r="N387" s="293"/>
      <c r="O387" s="293"/>
      <c r="P387" s="293"/>
      <c r="Q387" s="293"/>
      <c r="R387" s="293"/>
      <c r="S387" s="293"/>
      <c r="T387" s="293"/>
      <c r="U387" s="293"/>
      <c r="V387" s="293"/>
      <c r="W387" s="293"/>
      <c r="X387" s="293"/>
      <c r="Y387" s="293"/>
      <c r="Z387" s="293"/>
      <c r="AA387" s="293"/>
      <c r="AB387" s="293"/>
      <c r="AC387" s="293"/>
      <c r="AD387" s="293"/>
    </row>
    <row r="388">
      <c r="A388" s="293"/>
      <c r="B388" s="308"/>
      <c r="C388" s="293"/>
      <c r="D388" s="293"/>
      <c r="E388" s="293"/>
      <c r="F388" s="293"/>
      <c r="G388" s="293"/>
      <c r="H388" s="293"/>
      <c r="I388" s="293"/>
      <c r="J388" s="293"/>
      <c r="K388" s="293"/>
      <c r="L388" s="293"/>
      <c r="M388" s="293"/>
      <c r="N388" s="293"/>
      <c r="O388" s="293"/>
      <c r="P388" s="293"/>
      <c r="Q388" s="293"/>
      <c r="R388" s="293"/>
      <c r="S388" s="293"/>
      <c r="T388" s="293"/>
      <c r="U388" s="293"/>
      <c r="V388" s="293"/>
      <c r="W388" s="293"/>
      <c r="X388" s="293"/>
      <c r="Y388" s="293"/>
      <c r="Z388" s="293"/>
      <c r="AA388" s="293"/>
      <c r="AB388" s="293"/>
      <c r="AC388" s="293"/>
      <c r="AD388" s="293"/>
    </row>
    <row r="389">
      <c r="A389" s="293"/>
      <c r="B389" s="308"/>
      <c r="C389" s="293"/>
      <c r="D389" s="293"/>
      <c r="E389" s="293"/>
      <c r="F389" s="293"/>
      <c r="G389" s="293"/>
      <c r="H389" s="293"/>
      <c r="I389" s="293"/>
      <c r="J389" s="293"/>
      <c r="K389" s="293"/>
      <c r="L389" s="293"/>
      <c r="M389" s="293"/>
      <c r="N389" s="293"/>
      <c r="O389" s="293"/>
      <c r="P389" s="293"/>
      <c r="Q389" s="293"/>
      <c r="R389" s="293"/>
      <c r="S389" s="293"/>
      <c r="T389" s="293"/>
      <c r="U389" s="293"/>
      <c r="V389" s="293"/>
      <c r="W389" s="293"/>
      <c r="X389" s="293"/>
      <c r="Y389" s="293"/>
      <c r="Z389" s="293"/>
      <c r="AA389" s="293"/>
      <c r="AB389" s="293"/>
      <c r="AC389" s="293"/>
      <c r="AD389" s="293"/>
    </row>
    <row r="390">
      <c r="A390" s="293"/>
      <c r="B390" s="308"/>
      <c r="C390" s="293"/>
      <c r="D390" s="293"/>
      <c r="E390" s="293"/>
      <c r="F390" s="293"/>
      <c r="G390" s="293"/>
      <c r="H390" s="293"/>
      <c r="I390" s="293"/>
      <c r="J390" s="293"/>
      <c r="K390" s="293"/>
      <c r="L390" s="293"/>
      <c r="M390" s="293"/>
      <c r="N390" s="293"/>
      <c r="O390" s="293"/>
      <c r="P390" s="293"/>
      <c r="Q390" s="293"/>
      <c r="R390" s="293"/>
      <c r="S390" s="293"/>
      <c r="T390" s="293"/>
      <c r="U390" s="293"/>
      <c r="V390" s="293"/>
      <c r="W390" s="293"/>
      <c r="X390" s="293"/>
      <c r="Y390" s="293"/>
      <c r="Z390" s="293"/>
      <c r="AA390" s="293"/>
      <c r="AB390" s="293"/>
      <c r="AC390" s="293"/>
      <c r="AD390" s="293"/>
    </row>
    <row r="391">
      <c r="A391" s="293"/>
      <c r="B391" s="308"/>
      <c r="C391" s="293"/>
      <c r="D391" s="293"/>
      <c r="E391" s="293"/>
      <c r="F391" s="293"/>
      <c r="G391" s="293"/>
      <c r="H391" s="293"/>
      <c r="I391" s="293"/>
      <c r="J391" s="293"/>
      <c r="K391" s="293"/>
      <c r="L391" s="293"/>
      <c r="M391" s="293"/>
      <c r="N391" s="293"/>
      <c r="O391" s="293"/>
      <c r="P391" s="293"/>
      <c r="Q391" s="293"/>
      <c r="R391" s="293"/>
      <c r="S391" s="293"/>
      <c r="T391" s="293"/>
      <c r="U391" s="293"/>
      <c r="V391" s="293"/>
      <c r="W391" s="293"/>
      <c r="X391" s="293"/>
      <c r="Y391" s="293"/>
      <c r="Z391" s="293"/>
      <c r="AA391" s="293"/>
      <c r="AB391" s="293"/>
      <c r="AC391" s="293"/>
      <c r="AD391" s="293"/>
    </row>
    <row r="392">
      <c r="A392" s="293"/>
      <c r="B392" s="308"/>
      <c r="C392" s="293"/>
      <c r="D392" s="293"/>
      <c r="E392" s="293"/>
      <c r="F392" s="293"/>
      <c r="G392" s="293"/>
      <c r="H392" s="293"/>
      <c r="I392" s="293"/>
      <c r="J392" s="293"/>
      <c r="K392" s="293"/>
      <c r="L392" s="293"/>
      <c r="M392" s="293"/>
      <c r="N392" s="293"/>
      <c r="O392" s="293"/>
      <c r="P392" s="293"/>
      <c r="Q392" s="293"/>
      <c r="R392" s="293"/>
      <c r="S392" s="293"/>
      <c r="T392" s="293"/>
      <c r="U392" s="293"/>
      <c r="V392" s="293"/>
      <c r="W392" s="293"/>
      <c r="X392" s="293"/>
      <c r="Y392" s="293"/>
      <c r="Z392" s="293"/>
      <c r="AA392" s="293"/>
      <c r="AB392" s="293"/>
      <c r="AC392" s="293"/>
      <c r="AD392" s="293"/>
    </row>
    <row r="393">
      <c r="A393" s="293"/>
      <c r="B393" s="308"/>
      <c r="C393" s="293"/>
      <c r="D393" s="293"/>
      <c r="E393" s="293"/>
      <c r="F393" s="293"/>
      <c r="G393" s="293"/>
      <c r="H393" s="293"/>
      <c r="I393" s="293"/>
      <c r="J393" s="293"/>
      <c r="K393" s="293"/>
      <c r="L393" s="293"/>
      <c r="M393" s="293"/>
      <c r="N393" s="293"/>
      <c r="O393" s="293"/>
      <c r="P393" s="293"/>
      <c r="Q393" s="293"/>
      <c r="R393" s="293"/>
      <c r="S393" s="293"/>
      <c r="T393" s="293"/>
      <c r="U393" s="293"/>
      <c r="V393" s="293"/>
      <c r="W393" s="293"/>
      <c r="X393" s="293"/>
      <c r="Y393" s="293"/>
      <c r="Z393" s="293"/>
      <c r="AA393" s="293"/>
      <c r="AB393" s="293"/>
      <c r="AC393" s="293"/>
      <c r="AD393" s="293"/>
    </row>
    <row r="394">
      <c r="A394" s="293"/>
      <c r="B394" s="308"/>
      <c r="C394" s="293"/>
      <c r="D394" s="293"/>
      <c r="E394" s="293"/>
      <c r="F394" s="293"/>
      <c r="G394" s="293"/>
      <c r="H394" s="293"/>
      <c r="I394" s="293"/>
      <c r="J394" s="293"/>
      <c r="K394" s="293"/>
      <c r="L394" s="293"/>
      <c r="M394" s="293"/>
      <c r="N394" s="293"/>
      <c r="O394" s="293"/>
      <c r="P394" s="293"/>
      <c r="Q394" s="293"/>
      <c r="R394" s="293"/>
      <c r="S394" s="293"/>
      <c r="T394" s="293"/>
      <c r="U394" s="293"/>
      <c r="V394" s="293"/>
      <c r="W394" s="293"/>
      <c r="X394" s="293"/>
      <c r="Y394" s="293"/>
      <c r="Z394" s="293"/>
      <c r="AA394" s="293"/>
      <c r="AB394" s="293"/>
      <c r="AC394" s="293"/>
      <c r="AD394" s="293"/>
    </row>
    <row r="395">
      <c r="A395" s="293"/>
      <c r="B395" s="308"/>
      <c r="C395" s="293"/>
      <c r="D395" s="293"/>
      <c r="E395" s="293"/>
      <c r="F395" s="293"/>
      <c r="G395" s="293"/>
      <c r="H395" s="293"/>
      <c r="I395" s="293"/>
      <c r="J395" s="293"/>
      <c r="K395" s="293"/>
      <c r="L395" s="293"/>
      <c r="M395" s="293"/>
      <c r="N395" s="293"/>
      <c r="O395" s="293"/>
      <c r="P395" s="293"/>
      <c r="Q395" s="293"/>
      <c r="R395" s="293"/>
      <c r="S395" s="293"/>
      <c r="T395" s="293"/>
      <c r="U395" s="293"/>
      <c r="V395" s="293"/>
      <c r="W395" s="293"/>
      <c r="X395" s="293"/>
      <c r="Y395" s="293"/>
      <c r="Z395" s="293"/>
      <c r="AA395" s="293"/>
      <c r="AB395" s="293"/>
      <c r="AC395" s="293"/>
      <c r="AD395" s="293"/>
    </row>
    <row r="396">
      <c r="A396" s="293"/>
      <c r="B396" s="308"/>
      <c r="C396" s="293"/>
      <c r="D396" s="293"/>
      <c r="E396" s="293"/>
      <c r="F396" s="293"/>
      <c r="G396" s="293"/>
      <c r="H396" s="293"/>
      <c r="I396" s="293"/>
      <c r="J396" s="293"/>
      <c r="K396" s="293"/>
      <c r="L396" s="293"/>
      <c r="M396" s="293"/>
      <c r="N396" s="293"/>
      <c r="O396" s="293"/>
      <c r="P396" s="293"/>
      <c r="Q396" s="293"/>
      <c r="R396" s="293"/>
      <c r="S396" s="293"/>
      <c r="T396" s="293"/>
      <c r="U396" s="293"/>
      <c r="V396" s="293"/>
      <c r="W396" s="293"/>
      <c r="X396" s="293"/>
      <c r="Y396" s="293"/>
      <c r="Z396" s="293"/>
      <c r="AA396" s="293"/>
      <c r="AB396" s="293"/>
      <c r="AC396" s="293"/>
      <c r="AD396" s="293"/>
    </row>
    <row r="397">
      <c r="A397" s="293"/>
      <c r="B397" s="308"/>
      <c r="C397" s="293"/>
      <c r="D397" s="293"/>
      <c r="E397" s="293"/>
      <c r="F397" s="293"/>
      <c r="G397" s="293"/>
      <c r="H397" s="293"/>
      <c r="I397" s="293"/>
      <c r="J397" s="293"/>
      <c r="K397" s="293"/>
      <c r="L397" s="293"/>
      <c r="M397" s="293"/>
      <c r="N397" s="293"/>
      <c r="O397" s="293"/>
      <c r="P397" s="293"/>
      <c r="Q397" s="293"/>
      <c r="R397" s="293"/>
      <c r="S397" s="293"/>
      <c r="T397" s="293"/>
      <c r="U397" s="293"/>
      <c r="V397" s="293"/>
      <c r="W397" s="293"/>
      <c r="X397" s="293"/>
      <c r="Y397" s="293"/>
      <c r="Z397" s="293"/>
      <c r="AA397" s="293"/>
      <c r="AB397" s="293"/>
      <c r="AC397" s="293"/>
      <c r="AD397" s="293"/>
    </row>
    <row r="398">
      <c r="A398" s="293"/>
      <c r="B398" s="308"/>
      <c r="C398" s="293"/>
      <c r="D398" s="293"/>
      <c r="E398" s="293"/>
      <c r="F398" s="293"/>
      <c r="G398" s="293"/>
      <c r="H398" s="293"/>
      <c r="I398" s="293"/>
      <c r="J398" s="293"/>
      <c r="K398" s="293"/>
      <c r="L398" s="293"/>
      <c r="M398" s="293"/>
      <c r="N398" s="293"/>
      <c r="O398" s="293"/>
      <c r="P398" s="293"/>
      <c r="Q398" s="293"/>
      <c r="R398" s="293"/>
      <c r="S398" s="293"/>
      <c r="T398" s="293"/>
      <c r="U398" s="293"/>
      <c r="V398" s="293"/>
      <c r="W398" s="293"/>
      <c r="X398" s="293"/>
      <c r="Y398" s="293"/>
      <c r="Z398" s="293"/>
      <c r="AA398" s="293"/>
      <c r="AB398" s="293"/>
      <c r="AC398" s="293"/>
      <c r="AD398" s="293"/>
    </row>
    <row r="399">
      <c r="A399" s="293"/>
      <c r="B399" s="308"/>
      <c r="C399" s="293"/>
      <c r="D399" s="293"/>
      <c r="E399" s="293"/>
      <c r="F399" s="293"/>
      <c r="G399" s="293"/>
      <c r="H399" s="293"/>
      <c r="I399" s="293"/>
      <c r="J399" s="293"/>
      <c r="K399" s="293"/>
      <c r="L399" s="293"/>
      <c r="M399" s="293"/>
      <c r="N399" s="293"/>
      <c r="O399" s="293"/>
      <c r="P399" s="293"/>
      <c r="Q399" s="293"/>
      <c r="R399" s="293"/>
      <c r="S399" s="293"/>
      <c r="T399" s="293"/>
      <c r="U399" s="293"/>
      <c r="V399" s="293"/>
      <c r="W399" s="293"/>
      <c r="X399" s="293"/>
      <c r="Y399" s="293"/>
      <c r="Z399" s="293"/>
      <c r="AA399" s="293"/>
      <c r="AB399" s="293"/>
      <c r="AC399" s="293"/>
      <c r="AD399" s="293"/>
    </row>
    <row r="400">
      <c r="A400" s="293"/>
      <c r="B400" s="308"/>
      <c r="C400" s="293"/>
      <c r="D400" s="293"/>
      <c r="E400" s="293"/>
      <c r="F400" s="293"/>
      <c r="G400" s="293"/>
      <c r="H400" s="293"/>
      <c r="I400" s="293"/>
      <c r="J400" s="293"/>
      <c r="K400" s="293"/>
      <c r="L400" s="293"/>
      <c r="M400" s="293"/>
      <c r="N400" s="293"/>
      <c r="O400" s="293"/>
      <c r="P400" s="293"/>
      <c r="Q400" s="293"/>
      <c r="R400" s="293"/>
      <c r="S400" s="293"/>
      <c r="T400" s="293"/>
      <c r="U400" s="293"/>
      <c r="V400" s="293"/>
      <c r="W400" s="293"/>
      <c r="X400" s="293"/>
      <c r="Y400" s="293"/>
      <c r="Z400" s="293"/>
      <c r="AA400" s="293"/>
      <c r="AB400" s="293"/>
      <c r="AC400" s="293"/>
      <c r="AD400" s="293"/>
    </row>
    <row r="401">
      <c r="A401" s="293"/>
      <c r="B401" s="308"/>
      <c r="C401" s="293"/>
      <c r="D401" s="293"/>
      <c r="E401" s="293"/>
      <c r="F401" s="293"/>
      <c r="G401" s="293"/>
      <c r="H401" s="293"/>
      <c r="I401" s="293"/>
      <c r="J401" s="293"/>
      <c r="K401" s="293"/>
      <c r="L401" s="293"/>
      <c r="M401" s="293"/>
      <c r="N401" s="293"/>
      <c r="O401" s="293"/>
      <c r="P401" s="293"/>
      <c r="Q401" s="293"/>
      <c r="R401" s="293"/>
      <c r="S401" s="293"/>
      <c r="T401" s="293"/>
      <c r="U401" s="293"/>
      <c r="V401" s="293"/>
      <c r="W401" s="293"/>
      <c r="X401" s="293"/>
      <c r="Y401" s="293"/>
      <c r="Z401" s="293"/>
      <c r="AA401" s="293"/>
      <c r="AB401" s="293"/>
      <c r="AC401" s="293"/>
      <c r="AD401" s="293"/>
    </row>
    <row r="402">
      <c r="A402" s="293"/>
      <c r="B402" s="308"/>
      <c r="C402" s="293"/>
      <c r="D402" s="293"/>
      <c r="E402" s="293"/>
      <c r="F402" s="293"/>
      <c r="G402" s="293"/>
      <c r="H402" s="293"/>
      <c r="I402" s="293"/>
      <c r="J402" s="293"/>
      <c r="K402" s="293"/>
      <c r="L402" s="293"/>
      <c r="M402" s="293"/>
      <c r="N402" s="293"/>
      <c r="O402" s="293"/>
      <c r="P402" s="293"/>
      <c r="Q402" s="293"/>
      <c r="R402" s="293"/>
      <c r="S402" s="293"/>
      <c r="T402" s="293"/>
      <c r="U402" s="293"/>
      <c r="V402" s="293"/>
      <c r="W402" s="293"/>
      <c r="X402" s="293"/>
      <c r="Y402" s="293"/>
      <c r="Z402" s="293"/>
      <c r="AA402" s="293"/>
      <c r="AB402" s="293"/>
      <c r="AC402" s="293"/>
      <c r="AD402" s="293"/>
    </row>
    <row r="403">
      <c r="A403" s="293"/>
      <c r="B403" s="308"/>
      <c r="C403" s="293"/>
      <c r="D403" s="293"/>
      <c r="E403" s="293"/>
      <c r="F403" s="293"/>
      <c r="G403" s="293"/>
      <c r="H403" s="293"/>
      <c r="I403" s="293"/>
      <c r="J403" s="293"/>
      <c r="K403" s="293"/>
      <c r="L403" s="293"/>
      <c r="M403" s="293"/>
      <c r="N403" s="293"/>
      <c r="O403" s="293"/>
      <c r="P403" s="293"/>
      <c r="Q403" s="293"/>
      <c r="R403" s="293"/>
      <c r="S403" s="293"/>
      <c r="T403" s="293"/>
      <c r="U403" s="293"/>
      <c r="V403" s="293"/>
      <c r="W403" s="293"/>
      <c r="X403" s="293"/>
      <c r="Y403" s="293"/>
      <c r="Z403" s="293"/>
      <c r="AA403" s="293"/>
      <c r="AB403" s="293"/>
      <c r="AC403" s="293"/>
      <c r="AD403" s="293"/>
    </row>
    <row r="404">
      <c r="A404" s="293"/>
      <c r="B404" s="308"/>
      <c r="C404" s="293"/>
      <c r="D404" s="293"/>
      <c r="E404" s="293"/>
      <c r="F404" s="293"/>
      <c r="G404" s="293"/>
      <c r="H404" s="293"/>
      <c r="I404" s="293"/>
      <c r="J404" s="293"/>
      <c r="K404" s="293"/>
      <c r="L404" s="293"/>
      <c r="M404" s="293"/>
      <c r="N404" s="293"/>
      <c r="O404" s="293"/>
      <c r="P404" s="293"/>
      <c r="Q404" s="293"/>
      <c r="R404" s="293"/>
      <c r="S404" s="293"/>
      <c r="T404" s="293"/>
      <c r="U404" s="293"/>
      <c r="V404" s="293"/>
      <c r="W404" s="293"/>
      <c r="X404" s="293"/>
      <c r="Y404" s="293"/>
      <c r="Z404" s="293"/>
      <c r="AA404" s="293"/>
      <c r="AB404" s="293"/>
      <c r="AC404" s="293"/>
      <c r="AD404" s="293"/>
    </row>
    <row r="405">
      <c r="A405" s="293"/>
      <c r="B405" s="308"/>
      <c r="C405" s="293"/>
      <c r="D405" s="293"/>
      <c r="E405" s="293"/>
      <c r="F405" s="293"/>
      <c r="G405" s="293"/>
      <c r="H405" s="293"/>
      <c r="I405" s="293"/>
      <c r="J405" s="293"/>
      <c r="K405" s="293"/>
      <c r="L405" s="293"/>
      <c r="M405" s="293"/>
      <c r="N405" s="293"/>
      <c r="O405" s="293"/>
      <c r="P405" s="293"/>
      <c r="Q405" s="293"/>
      <c r="R405" s="293"/>
      <c r="S405" s="293"/>
      <c r="T405" s="293"/>
      <c r="U405" s="293"/>
      <c r="V405" s="293"/>
      <c r="W405" s="293"/>
      <c r="X405" s="293"/>
      <c r="Y405" s="293"/>
      <c r="Z405" s="293"/>
      <c r="AA405" s="293"/>
      <c r="AB405" s="293"/>
      <c r="AC405" s="293"/>
      <c r="AD405" s="293"/>
    </row>
    <row r="406">
      <c r="A406" s="293"/>
      <c r="B406" s="308"/>
      <c r="C406" s="293"/>
      <c r="D406" s="293"/>
      <c r="E406" s="293"/>
      <c r="F406" s="293"/>
      <c r="G406" s="293"/>
      <c r="H406" s="293"/>
      <c r="I406" s="293"/>
      <c r="J406" s="293"/>
      <c r="K406" s="293"/>
      <c r="L406" s="293"/>
      <c r="M406" s="293"/>
      <c r="N406" s="293"/>
      <c r="O406" s="293"/>
      <c r="P406" s="293"/>
      <c r="Q406" s="293"/>
      <c r="R406" s="293"/>
      <c r="S406" s="293"/>
      <c r="T406" s="293"/>
      <c r="U406" s="293"/>
      <c r="V406" s="293"/>
      <c r="W406" s="293"/>
      <c r="X406" s="293"/>
      <c r="Y406" s="293"/>
      <c r="Z406" s="293"/>
      <c r="AA406" s="293"/>
      <c r="AB406" s="293"/>
      <c r="AC406" s="293"/>
      <c r="AD406" s="293"/>
    </row>
    <row r="407">
      <c r="A407" s="293"/>
      <c r="B407" s="308"/>
      <c r="C407" s="293"/>
      <c r="D407" s="293"/>
      <c r="E407" s="293"/>
      <c r="F407" s="293"/>
      <c r="G407" s="293"/>
      <c r="H407" s="293"/>
      <c r="I407" s="293"/>
      <c r="J407" s="293"/>
      <c r="K407" s="293"/>
      <c r="L407" s="293"/>
      <c r="M407" s="293"/>
      <c r="N407" s="293"/>
      <c r="O407" s="293"/>
      <c r="P407" s="293"/>
      <c r="Q407" s="293"/>
      <c r="R407" s="293"/>
      <c r="S407" s="293"/>
      <c r="T407" s="293"/>
      <c r="U407" s="293"/>
      <c r="V407" s="293"/>
      <c r="W407" s="293"/>
      <c r="X407" s="293"/>
      <c r="Y407" s="293"/>
      <c r="Z407" s="293"/>
      <c r="AA407" s="293"/>
      <c r="AB407" s="293"/>
      <c r="AC407" s="293"/>
      <c r="AD407" s="293"/>
    </row>
    <row r="408">
      <c r="A408" s="293"/>
      <c r="B408" s="308"/>
      <c r="C408" s="293"/>
      <c r="D408" s="293"/>
      <c r="E408" s="293"/>
      <c r="F408" s="293"/>
      <c r="G408" s="293"/>
      <c r="H408" s="293"/>
      <c r="I408" s="293"/>
      <c r="J408" s="293"/>
      <c r="K408" s="293"/>
      <c r="L408" s="293"/>
      <c r="M408" s="293"/>
      <c r="N408" s="293"/>
      <c r="O408" s="293"/>
      <c r="P408" s="293"/>
      <c r="Q408" s="293"/>
      <c r="R408" s="293"/>
      <c r="S408" s="293"/>
      <c r="T408" s="293"/>
      <c r="U408" s="293"/>
      <c r="V408" s="293"/>
      <c r="W408" s="293"/>
      <c r="X408" s="293"/>
      <c r="Y408" s="293"/>
      <c r="Z408" s="293"/>
      <c r="AA408" s="293"/>
      <c r="AB408" s="293"/>
      <c r="AC408" s="293"/>
      <c r="AD408" s="293"/>
    </row>
    <row r="409">
      <c r="A409" s="293"/>
      <c r="B409" s="308"/>
      <c r="C409" s="293"/>
      <c r="D409" s="293"/>
      <c r="E409" s="293"/>
      <c r="F409" s="293"/>
      <c r="G409" s="293"/>
      <c r="H409" s="293"/>
      <c r="I409" s="293"/>
      <c r="J409" s="293"/>
      <c r="K409" s="293"/>
      <c r="L409" s="293"/>
      <c r="M409" s="293"/>
      <c r="N409" s="293"/>
      <c r="O409" s="293"/>
      <c r="P409" s="293"/>
      <c r="Q409" s="293"/>
      <c r="R409" s="293"/>
      <c r="S409" s="293"/>
      <c r="T409" s="293"/>
      <c r="U409" s="293"/>
      <c r="V409" s="293"/>
      <c r="W409" s="293"/>
      <c r="X409" s="293"/>
      <c r="Y409" s="293"/>
      <c r="Z409" s="293"/>
      <c r="AA409" s="293"/>
      <c r="AB409" s="293"/>
      <c r="AC409" s="293"/>
      <c r="AD409" s="293"/>
    </row>
    <row r="410">
      <c r="A410" s="293"/>
      <c r="B410" s="308"/>
      <c r="C410" s="293"/>
      <c r="D410" s="293"/>
      <c r="E410" s="293"/>
      <c r="F410" s="293"/>
      <c r="G410" s="293"/>
      <c r="H410" s="293"/>
      <c r="I410" s="293"/>
      <c r="J410" s="293"/>
      <c r="K410" s="293"/>
      <c r="L410" s="293"/>
      <c r="M410" s="293"/>
      <c r="N410" s="293"/>
      <c r="O410" s="293"/>
      <c r="P410" s="293"/>
      <c r="Q410" s="293"/>
      <c r="R410" s="293"/>
      <c r="S410" s="293"/>
      <c r="T410" s="293"/>
      <c r="U410" s="293"/>
      <c r="V410" s="293"/>
      <c r="W410" s="293"/>
      <c r="X410" s="293"/>
      <c r="Y410" s="293"/>
      <c r="Z410" s="293"/>
      <c r="AA410" s="293"/>
      <c r="AB410" s="293"/>
      <c r="AC410" s="293"/>
      <c r="AD410" s="293"/>
    </row>
    <row r="411">
      <c r="A411" s="293"/>
      <c r="B411" s="308"/>
      <c r="C411" s="293"/>
      <c r="D411" s="293"/>
      <c r="E411" s="293"/>
      <c r="F411" s="293"/>
      <c r="G411" s="293"/>
      <c r="H411" s="293"/>
      <c r="I411" s="293"/>
      <c r="J411" s="293"/>
      <c r="K411" s="293"/>
      <c r="L411" s="293"/>
      <c r="M411" s="293"/>
      <c r="N411" s="293"/>
      <c r="O411" s="293"/>
      <c r="P411" s="293"/>
      <c r="Q411" s="293"/>
      <c r="R411" s="293"/>
      <c r="S411" s="293"/>
      <c r="T411" s="293"/>
      <c r="U411" s="293"/>
      <c r="V411" s="293"/>
      <c r="W411" s="293"/>
      <c r="X411" s="293"/>
      <c r="Y411" s="293"/>
      <c r="Z411" s="293"/>
      <c r="AA411" s="293"/>
      <c r="AB411" s="293"/>
      <c r="AC411" s="293"/>
      <c r="AD411" s="293"/>
    </row>
    <row r="412">
      <c r="A412" s="293"/>
      <c r="B412" s="308"/>
      <c r="C412" s="293"/>
      <c r="D412" s="293"/>
      <c r="E412" s="293"/>
      <c r="F412" s="293"/>
      <c r="G412" s="293"/>
      <c r="H412" s="293"/>
      <c r="I412" s="293"/>
      <c r="J412" s="293"/>
      <c r="K412" s="293"/>
      <c r="L412" s="293"/>
      <c r="M412" s="293"/>
      <c r="N412" s="293"/>
      <c r="O412" s="293"/>
      <c r="P412" s="293"/>
      <c r="Q412" s="293"/>
      <c r="R412" s="293"/>
      <c r="S412" s="293"/>
      <c r="T412" s="293"/>
      <c r="U412" s="293"/>
      <c r="V412" s="293"/>
      <c r="W412" s="293"/>
      <c r="X412" s="293"/>
      <c r="Y412" s="293"/>
      <c r="Z412" s="293"/>
      <c r="AA412" s="293"/>
      <c r="AB412" s="293"/>
      <c r="AC412" s="293"/>
      <c r="AD412" s="293"/>
    </row>
    <row r="413">
      <c r="A413" s="293"/>
      <c r="B413" s="308"/>
      <c r="C413" s="293"/>
      <c r="D413" s="293"/>
      <c r="E413" s="293"/>
      <c r="F413" s="293"/>
      <c r="G413" s="293"/>
      <c r="H413" s="293"/>
      <c r="I413" s="293"/>
      <c r="J413" s="293"/>
      <c r="K413" s="293"/>
      <c r="L413" s="293"/>
      <c r="M413" s="293"/>
      <c r="N413" s="293"/>
      <c r="O413" s="293"/>
      <c r="P413" s="293"/>
      <c r="Q413" s="293"/>
      <c r="R413" s="293"/>
      <c r="S413" s="293"/>
      <c r="T413" s="293"/>
      <c r="U413" s="293"/>
      <c r="V413" s="293"/>
      <c r="W413" s="293"/>
      <c r="X413" s="293"/>
      <c r="Y413" s="293"/>
      <c r="Z413" s="293"/>
      <c r="AA413" s="293"/>
      <c r="AB413" s="293"/>
      <c r="AC413" s="293"/>
      <c r="AD413" s="293"/>
    </row>
    <row r="414">
      <c r="A414" s="293"/>
      <c r="B414" s="308"/>
      <c r="C414" s="293"/>
      <c r="D414" s="293"/>
      <c r="E414" s="293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Q414" s="293"/>
      <c r="R414" s="293"/>
      <c r="S414" s="293"/>
      <c r="T414" s="293"/>
      <c r="U414" s="293"/>
      <c r="V414" s="293"/>
      <c r="W414" s="293"/>
      <c r="X414" s="293"/>
      <c r="Y414" s="293"/>
      <c r="Z414" s="293"/>
      <c r="AA414" s="293"/>
      <c r="AB414" s="293"/>
      <c r="AC414" s="293"/>
      <c r="AD414" s="293"/>
    </row>
    <row r="415">
      <c r="A415" s="293"/>
      <c r="B415" s="308"/>
      <c r="C415" s="293"/>
      <c r="D415" s="293"/>
      <c r="E415" s="293"/>
      <c r="F415" s="293"/>
      <c r="G415" s="293"/>
      <c r="H415" s="293"/>
      <c r="I415" s="293"/>
      <c r="J415" s="293"/>
      <c r="K415" s="293"/>
      <c r="L415" s="293"/>
      <c r="M415" s="293"/>
      <c r="N415" s="293"/>
      <c r="O415" s="293"/>
      <c r="P415" s="293"/>
      <c r="Q415" s="293"/>
      <c r="R415" s="293"/>
      <c r="S415" s="293"/>
      <c r="T415" s="293"/>
      <c r="U415" s="293"/>
      <c r="V415" s="293"/>
      <c r="W415" s="293"/>
      <c r="X415" s="293"/>
      <c r="Y415" s="293"/>
      <c r="Z415" s="293"/>
      <c r="AA415" s="293"/>
      <c r="AB415" s="293"/>
      <c r="AC415" s="293"/>
      <c r="AD415" s="293"/>
    </row>
    <row r="416">
      <c r="A416" s="293"/>
      <c r="B416" s="308"/>
      <c r="C416" s="293"/>
      <c r="D416" s="293"/>
      <c r="E416" s="293"/>
      <c r="F416" s="293"/>
      <c r="G416" s="293"/>
      <c r="H416" s="293"/>
      <c r="I416" s="293"/>
      <c r="J416" s="293"/>
      <c r="K416" s="293"/>
      <c r="L416" s="293"/>
      <c r="M416" s="293"/>
      <c r="N416" s="293"/>
      <c r="O416" s="293"/>
      <c r="P416" s="293"/>
      <c r="Q416" s="293"/>
      <c r="R416" s="293"/>
      <c r="S416" s="293"/>
      <c r="T416" s="293"/>
      <c r="U416" s="293"/>
      <c r="V416" s="293"/>
      <c r="W416" s="293"/>
      <c r="X416" s="293"/>
      <c r="Y416" s="293"/>
      <c r="Z416" s="293"/>
      <c r="AA416" s="293"/>
      <c r="AB416" s="293"/>
      <c r="AC416" s="293"/>
      <c r="AD416" s="293"/>
    </row>
    <row r="417">
      <c r="A417" s="293"/>
      <c r="B417" s="308"/>
      <c r="C417" s="293"/>
      <c r="D417" s="293"/>
      <c r="E417" s="293"/>
      <c r="F417" s="293"/>
      <c r="G417" s="293"/>
      <c r="H417" s="293"/>
      <c r="I417" s="293"/>
      <c r="J417" s="293"/>
      <c r="K417" s="293"/>
      <c r="L417" s="293"/>
      <c r="M417" s="293"/>
      <c r="N417" s="293"/>
      <c r="O417" s="293"/>
      <c r="P417" s="293"/>
      <c r="Q417" s="293"/>
      <c r="R417" s="293"/>
      <c r="S417" s="293"/>
      <c r="T417" s="293"/>
      <c r="U417" s="293"/>
      <c r="V417" s="293"/>
      <c r="W417" s="293"/>
      <c r="X417" s="293"/>
      <c r="Y417" s="293"/>
      <c r="Z417" s="293"/>
      <c r="AA417" s="293"/>
      <c r="AB417" s="293"/>
      <c r="AC417" s="293"/>
      <c r="AD417" s="293"/>
    </row>
    <row r="418">
      <c r="A418" s="293"/>
      <c r="B418" s="308"/>
      <c r="C418" s="293"/>
      <c r="D418" s="293"/>
      <c r="E418" s="293"/>
      <c r="F418" s="293"/>
      <c r="G418" s="293"/>
      <c r="H418" s="293"/>
      <c r="I418" s="293"/>
      <c r="J418" s="293"/>
      <c r="K418" s="293"/>
      <c r="L418" s="293"/>
      <c r="M418" s="293"/>
      <c r="N418" s="293"/>
      <c r="O418" s="293"/>
      <c r="P418" s="293"/>
      <c r="Q418" s="293"/>
      <c r="R418" s="293"/>
      <c r="S418" s="293"/>
      <c r="T418" s="293"/>
      <c r="U418" s="293"/>
      <c r="V418" s="293"/>
      <c r="W418" s="293"/>
      <c r="X418" s="293"/>
      <c r="Y418" s="293"/>
      <c r="Z418" s="293"/>
      <c r="AA418" s="293"/>
      <c r="AB418" s="293"/>
      <c r="AC418" s="293"/>
      <c r="AD418" s="293"/>
    </row>
    <row r="419">
      <c r="A419" s="293"/>
      <c r="B419" s="308"/>
      <c r="C419" s="293"/>
      <c r="D419" s="293"/>
      <c r="E419" s="293"/>
      <c r="F419" s="293"/>
      <c r="G419" s="293"/>
      <c r="H419" s="293"/>
      <c r="I419" s="293"/>
      <c r="J419" s="293"/>
      <c r="K419" s="293"/>
      <c r="L419" s="293"/>
      <c r="M419" s="293"/>
      <c r="N419" s="293"/>
      <c r="O419" s="293"/>
      <c r="P419" s="293"/>
      <c r="Q419" s="293"/>
      <c r="R419" s="293"/>
      <c r="S419" s="293"/>
      <c r="T419" s="293"/>
      <c r="U419" s="293"/>
      <c r="V419" s="293"/>
      <c r="W419" s="293"/>
      <c r="X419" s="293"/>
      <c r="Y419" s="293"/>
      <c r="Z419" s="293"/>
      <c r="AA419" s="293"/>
      <c r="AB419" s="293"/>
      <c r="AC419" s="293"/>
      <c r="AD419" s="293"/>
    </row>
    <row r="420">
      <c r="A420" s="293"/>
      <c r="B420" s="308"/>
      <c r="C420" s="293"/>
      <c r="D420" s="293"/>
      <c r="E420" s="293"/>
      <c r="F420" s="293"/>
      <c r="G420" s="293"/>
      <c r="H420" s="293"/>
      <c r="I420" s="293"/>
      <c r="J420" s="293"/>
      <c r="K420" s="293"/>
      <c r="L420" s="293"/>
      <c r="M420" s="293"/>
      <c r="N420" s="293"/>
      <c r="O420" s="293"/>
      <c r="P420" s="293"/>
      <c r="Q420" s="293"/>
      <c r="R420" s="293"/>
      <c r="S420" s="293"/>
      <c r="T420" s="293"/>
      <c r="U420" s="293"/>
      <c r="V420" s="293"/>
      <c r="W420" s="293"/>
      <c r="X420" s="293"/>
      <c r="Y420" s="293"/>
      <c r="Z420" s="293"/>
      <c r="AA420" s="293"/>
      <c r="AB420" s="293"/>
      <c r="AC420" s="293"/>
      <c r="AD420" s="293"/>
    </row>
    <row r="421">
      <c r="A421" s="293"/>
      <c r="B421" s="308"/>
      <c r="C421" s="293"/>
      <c r="D421" s="293"/>
      <c r="E421" s="293"/>
      <c r="F421" s="293"/>
      <c r="G421" s="293"/>
      <c r="H421" s="293"/>
      <c r="I421" s="293"/>
      <c r="J421" s="293"/>
      <c r="K421" s="293"/>
      <c r="L421" s="293"/>
      <c r="M421" s="293"/>
      <c r="N421" s="293"/>
      <c r="O421" s="293"/>
      <c r="P421" s="293"/>
      <c r="Q421" s="293"/>
      <c r="R421" s="293"/>
      <c r="S421" s="293"/>
      <c r="T421" s="293"/>
      <c r="U421" s="293"/>
      <c r="V421" s="293"/>
      <c r="W421" s="293"/>
      <c r="X421" s="293"/>
      <c r="Y421" s="293"/>
      <c r="Z421" s="293"/>
      <c r="AA421" s="293"/>
      <c r="AB421" s="293"/>
      <c r="AC421" s="293"/>
      <c r="AD421" s="293"/>
    </row>
    <row r="422">
      <c r="A422" s="293"/>
      <c r="B422" s="308"/>
      <c r="C422" s="293"/>
      <c r="D422" s="293"/>
      <c r="E422" s="293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Q422" s="293"/>
      <c r="R422" s="293"/>
      <c r="S422" s="293"/>
      <c r="T422" s="293"/>
      <c r="U422" s="293"/>
      <c r="V422" s="293"/>
      <c r="W422" s="293"/>
      <c r="X422" s="293"/>
      <c r="Y422" s="293"/>
      <c r="Z422" s="293"/>
      <c r="AA422" s="293"/>
      <c r="AB422" s="293"/>
      <c r="AC422" s="293"/>
      <c r="AD422" s="293"/>
    </row>
    <row r="423">
      <c r="A423" s="293"/>
      <c r="B423" s="308"/>
      <c r="C423" s="293"/>
      <c r="D423" s="293"/>
      <c r="E423" s="293"/>
      <c r="F423" s="293"/>
      <c r="G423" s="293"/>
      <c r="H423" s="293"/>
      <c r="I423" s="293"/>
      <c r="J423" s="293"/>
      <c r="K423" s="293"/>
      <c r="L423" s="293"/>
      <c r="M423" s="293"/>
      <c r="N423" s="293"/>
      <c r="O423" s="293"/>
      <c r="P423" s="293"/>
      <c r="Q423" s="293"/>
      <c r="R423" s="293"/>
      <c r="S423" s="293"/>
      <c r="T423" s="293"/>
      <c r="U423" s="293"/>
      <c r="V423" s="293"/>
      <c r="W423" s="293"/>
      <c r="X423" s="293"/>
      <c r="Y423" s="293"/>
      <c r="Z423" s="293"/>
      <c r="AA423" s="293"/>
      <c r="AB423" s="293"/>
      <c r="AC423" s="293"/>
      <c r="AD423" s="293"/>
    </row>
    <row r="424">
      <c r="A424" s="293"/>
      <c r="B424" s="308"/>
      <c r="C424" s="293"/>
      <c r="D424" s="293"/>
      <c r="E424" s="293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Q424" s="293"/>
      <c r="R424" s="293"/>
      <c r="S424" s="293"/>
      <c r="T424" s="293"/>
      <c r="U424" s="293"/>
      <c r="V424" s="293"/>
      <c r="W424" s="293"/>
      <c r="X424" s="293"/>
      <c r="Y424" s="293"/>
      <c r="Z424" s="293"/>
      <c r="AA424" s="293"/>
      <c r="AB424" s="293"/>
      <c r="AC424" s="293"/>
      <c r="AD424" s="293"/>
    </row>
    <row r="425">
      <c r="A425" s="293"/>
      <c r="B425" s="308"/>
      <c r="C425" s="293"/>
      <c r="D425" s="293"/>
      <c r="E425" s="293"/>
      <c r="F425" s="293"/>
      <c r="G425" s="293"/>
      <c r="H425" s="293"/>
      <c r="I425" s="293"/>
      <c r="J425" s="293"/>
      <c r="K425" s="293"/>
      <c r="L425" s="293"/>
      <c r="M425" s="293"/>
      <c r="N425" s="293"/>
      <c r="O425" s="293"/>
      <c r="P425" s="293"/>
      <c r="Q425" s="293"/>
      <c r="R425" s="293"/>
      <c r="S425" s="293"/>
      <c r="T425" s="293"/>
      <c r="U425" s="293"/>
      <c r="V425" s="293"/>
      <c r="W425" s="293"/>
      <c r="X425" s="293"/>
      <c r="Y425" s="293"/>
      <c r="Z425" s="293"/>
      <c r="AA425" s="293"/>
      <c r="AB425" s="293"/>
      <c r="AC425" s="293"/>
      <c r="AD425" s="293"/>
    </row>
    <row r="426">
      <c r="A426" s="293"/>
      <c r="B426" s="308"/>
      <c r="C426" s="293"/>
      <c r="D426" s="293"/>
      <c r="E426" s="293"/>
      <c r="F426" s="293"/>
      <c r="G426" s="293"/>
      <c r="H426" s="293"/>
      <c r="I426" s="293"/>
      <c r="J426" s="293"/>
      <c r="K426" s="293"/>
      <c r="L426" s="293"/>
      <c r="M426" s="293"/>
      <c r="N426" s="293"/>
      <c r="O426" s="293"/>
      <c r="P426" s="293"/>
      <c r="Q426" s="293"/>
      <c r="R426" s="293"/>
      <c r="S426" s="293"/>
      <c r="T426" s="293"/>
      <c r="U426" s="293"/>
      <c r="V426" s="293"/>
      <c r="W426" s="293"/>
      <c r="X426" s="293"/>
      <c r="Y426" s="293"/>
      <c r="Z426" s="293"/>
      <c r="AA426" s="293"/>
      <c r="AB426" s="293"/>
      <c r="AC426" s="293"/>
      <c r="AD426" s="293"/>
    </row>
    <row r="427">
      <c r="A427" s="293"/>
      <c r="B427" s="308"/>
      <c r="C427" s="293"/>
      <c r="D427" s="293"/>
      <c r="E427" s="293"/>
      <c r="F427" s="293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Q427" s="293"/>
      <c r="R427" s="293"/>
      <c r="S427" s="293"/>
      <c r="T427" s="293"/>
      <c r="U427" s="293"/>
      <c r="V427" s="293"/>
      <c r="W427" s="293"/>
      <c r="X427" s="293"/>
      <c r="Y427" s="293"/>
      <c r="Z427" s="293"/>
      <c r="AA427" s="293"/>
      <c r="AB427" s="293"/>
      <c r="AC427" s="293"/>
      <c r="AD427" s="293"/>
    </row>
    <row r="428">
      <c r="A428" s="293"/>
      <c r="B428" s="308"/>
      <c r="C428" s="293"/>
      <c r="D428" s="293"/>
      <c r="E428" s="293"/>
      <c r="F428" s="293"/>
      <c r="G428" s="293"/>
      <c r="H428" s="293"/>
      <c r="I428" s="293"/>
      <c r="J428" s="293"/>
      <c r="K428" s="293"/>
      <c r="L428" s="293"/>
      <c r="M428" s="293"/>
      <c r="N428" s="293"/>
      <c r="O428" s="293"/>
      <c r="P428" s="293"/>
      <c r="Q428" s="293"/>
      <c r="R428" s="293"/>
      <c r="S428" s="293"/>
      <c r="T428" s="293"/>
      <c r="U428" s="293"/>
      <c r="V428" s="293"/>
      <c r="W428" s="293"/>
      <c r="X428" s="293"/>
      <c r="Y428" s="293"/>
      <c r="Z428" s="293"/>
      <c r="AA428" s="293"/>
      <c r="AB428" s="293"/>
      <c r="AC428" s="293"/>
      <c r="AD428" s="293"/>
    </row>
    <row r="429">
      <c r="A429" s="293"/>
      <c r="B429" s="308"/>
      <c r="C429" s="293"/>
      <c r="D429" s="293"/>
      <c r="E429" s="293"/>
      <c r="F429" s="293"/>
      <c r="G429" s="293"/>
      <c r="H429" s="293"/>
      <c r="I429" s="293"/>
      <c r="J429" s="293"/>
      <c r="K429" s="293"/>
      <c r="L429" s="293"/>
      <c r="M429" s="293"/>
      <c r="N429" s="293"/>
      <c r="O429" s="293"/>
      <c r="P429" s="293"/>
      <c r="Q429" s="293"/>
      <c r="R429" s="293"/>
      <c r="S429" s="293"/>
      <c r="T429" s="293"/>
      <c r="U429" s="293"/>
      <c r="V429" s="293"/>
      <c r="W429" s="293"/>
      <c r="X429" s="293"/>
      <c r="Y429" s="293"/>
      <c r="Z429" s="293"/>
      <c r="AA429" s="293"/>
      <c r="AB429" s="293"/>
      <c r="AC429" s="293"/>
      <c r="AD429" s="293"/>
    </row>
    <row r="430">
      <c r="A430" s="293"/>
      <c r="B430" s="308"/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Q430" s="293"/>
      <c r="R430" s="293"/>
      <c r="S430" s="293"/>
      <c r="T430" s="293"/>
      <c r="U430" s="293"/>
      <c r="V430" s="293"/>
      <c r="W430" s="293"/>
      <c r="X430" s="293"/>
      <c r="Y430" s="293"/>
      <c r="Z430" s="293"/>
      <c r="AA430" s="293"/>
      <c r="AB430" s="293"/>
      <c r="AC430" s="293"/>
      <c r="AD430" s="293"/>
    </row>
    <row r="431">
      <c r="A431" s="293"/>
      <c r="B431" s="308"/>
      <c r="C431" s="293"/>
      <c r="D431" s="293"/>
      <c r="E431" s="293"/>
      <c r="F431" s="293"/>
      <c r="G431" s="293"/>
      <c r="H431" s="293"/>
      <c r="I431" s="293"/>
      <c r="J431" s="293"/>
      <c r="K431" s="293"/>
      <c r="L431" s="293"/>
      <c r="M431" s="293"/>
      <c r="N431" s="293"/>
      <c r="O431" s="293"/>
      <c r="P431" s="293"/>
      <c r="Q431" s="293"/>
      <c r="R431" s="293"/>
      <c r="S431" s="293"/>
      <c r="T431" s="293"/>
      <c r="U431" s="293"/>
      <c r="V431" s="293"/>
      <c r="W431" s="293"/>
      <c r="X431" s="293"/>
      <c r="Y431" s="293"/>
      <c r="Z431" s="293"/>
      <c r="AA431" s="293"/>
      <c r="AB431" s="293"/>
      <c r="AC431" s="293"/>
      <c r="AD431" s="293"/>
    </row>
    <row r="432">
      <c r="A432" s="293"/>
      <c r="B432" s="308"/>
      <c r="C432" s="293"/>
      <c r="D432" s="293"/>
      <c r="E432" s="293"/>
      <c r="F432" s="293"/>
      <c r="G432" s="293"/>
      <c r="H432" s="293"/>
      <c r="I432" s="293"/>
      <c r="J432" s="293"/>
      <c r="K432" s="293"/>
      <c r="L432" s="293"/>
      <c r="M432" s="293"/>
      <c r="N432" s="293"/>
      <c r="O432" s="293"/>
      <c r="P432" s="293"/>
      <c r="Q432" s="293"/>
      <c r="R432" s="293"/>
      <c r="S432" s="293"/>
      <c r="T432" s="293"/>
      <c r="U432" s="293"/>
      <c r="V432" s="293"/>
      <c r="W432" s="293"/>
      <c r="X432" s="293"/>
      <c r="Y432" s="293"/>
      <c r="Z432" s="293"/>
      <c r="AA432" s="293"/>
      <c r="AB432" s="293"/>
      <c r="AC432" s="293"/>
      <c r="AD432" s="293"/>
    </row>
    <row r="433">
      <c r="A433" s="293"/>
      <c r="B433" s="308"/>
      <c r="C433" s="293"/>
      <c r="D433" s="293"/>
      <c r="E433" s="293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Q433" s="293"/>
      <c r="R433" s="293"/>
      <c r="S433" s="293"/>
      <c r="T433" s="293"/>
      <c r="U433" s="293"/>
      <c r="V433" s="293"/>
      <c r="W433" s="293"/>
      <c r="X433" s="293"/>
      <c r="Y433" s="293"/>
      <c r="Z433" s="293"/>
      <c r="AA433" s="293"/>
      <c r="AB433" s="293"/>
      <c r="AC433" s="293"/>
      <c r="AD433" s="293"/>
    </row>
    <row r="434">
      <c r="A434" s="293"/>
      <c r="B434" s="308"/>
      <c r="C434" s="293"/>
      <c r="D434" s="293"/>
      <c r="E434" s="293"/>
      <c r="F434" s="293"/>
      <c r="G434" s="293"/>
      <c r="H434" s="293"/>
      <c r="I434" s="293"/>
      <c r="J434" s="293"/>
      <c r="K434" s="293"/>
      <c r="L434" s="293"/>
      <c r="M434" s="293"/>
      <c r="N434" s="293"/>
      <c r="O434" s="293"/>
      <c r="P434" s="293"/>
      <c r="Q434" s="293"/>
      <c r="R434" s="293"/>
      <c r="S434" s="293"/>
      <c r="T434" s="293"/>
      <c r="U434" s="293"/>
      <c r="V434" s="293"/>
      <c r="W434" s="293"/>
      <c r="X434" s="293"/>
      <c r="Y434" s="293"/>
      <c r="Z434" s="293"/>
      <c r="AA434" s="293"/>
      <c r="AB434" s="293"/>
      <c r="AC434" s="293"/>
      <c r="AD434" s="293"/>
    </row>
    <row r="435">
      <c r="A435" s="293"/>
      <c r="B435" s="308"/>
      <c r="C435" s="293"/>
      <c r="D435" s="293"/>
      <c r="E435" s="293"/>
      <c r="F435" s="293"/>
      <c r="G435" s="293"/>
      <c r="H435" s="293"/>
      <c r="I435" s="293"/>
      <c r="J435" s="293"/>
      <c r="K435" s="293"/>
      <c r="L435" s="293"/>
      <c r="M435" s="293"/>
      <c r="N435" s="293"/>
      <c r="O435" s="293"/>
      <c r="P435" s="293"/>
      <c r="Q435" s="293"/>
      <c r="R435" s="293"/>
      <c r="S435" s="293"/>
      <c r="T435" s="293"/>
      <c r="U435" s="293"/>
      <c r="V435" s="293"/>
      <c r="W435" s="293"/>
      <c r="X435" s="293"/>
      <c r="Y435" s="293"/>
      <c r="Z435" s="293"/>
      <c r="AA435" s="293"/>
      <c r="AB435" s="293"/>
      <c r="AC435" s="293"/>
      <c r="AD435" s="293"/>
    </row>
    <row r="436">
      <c r="A436" s="293"/>
      <c r="B436" s="308"/>
      <c r="C436" s="293"/>
      <c r="D436" s="293"/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  <c r="AA436" s="293"/>
      <c r="AB436" s="293"/>
      <c r="AC436" s="293"/>
      <c r="AD436" s="293"/>
    </row>
    <row r="437">
      <c r="A437" s="293"/>
      <c r="B437" s="308"/>
      <c r="C437" s="293"/>
      <c r="D437" s="293"/>
      <c r="E437" s="293"/>
      <c r="F437" s="293"/>
      <c r="G437" s="293"/>
      <c r="H437" s="293"/>
      <c r="I437" s="293"/>
      <c r="J437" s="293"/>
      <c r="K437" s="293"/>
      <c r="L437" s="293"/>
      <c r="M437" s="293"/>
      <c r="N437" s="293"/>
      <c r="O437" s="293"/>
      <c r="P437" s="293"/>
      <c r="Q437" s="293"/>
      <c r="R437" s="293"/>
      <c r="S437" s="293"/>
      <c r="T437" s="293"/>
      <c r="U437" s="293"/>
      <c r="V437" s="293"/>
      <c r="W437" s="293"/>
      <c r="X437" s="293"/>
      <c r="Y437" s="293"/>
      <c r="Z437" s="293"/>
      <c r="AA437" s="293"/>
      <c r="AB437" s="293"/>
      <c r="AC437" s="293"/>
      <c r="AD437" s="293"/>
    </row>
    <row r="438">
      <c r="A438" s="293"/>
      <c r="B438" s="308"/>
      <c r="C438" s="293"/>
      <c r="D438" s="293"/>
      <c r="E438" s="293"/>
      <c r="F438" s="293"/>
      <c r="G438" s="293"/>
      <c r="H438" s="293"/>
      <c r="I438" s="293"/>
      <c r="J438" s="293"/>
      <c r="K438" s="293"/>
      <c r="L438" s="293"/>
      <c r="M438" s="293"/>
      <c r="N438" s="293"/>
      <c r="O438" s="293"/>
      <c r="P438" s="293"/>
      <c r="Q438" s="293"/>
      <c r="R438" s="293"/>
      <c r="S438" s="293"/>
      <c r="T438" s="293"/>
      <c r="U438" s="293"/>
      <c r="V438" s="293"/>
      <c r="W438" s="293"/>
      <c r="X438" s="293"/>
      <c r="Y438" s="293"/>
      <c r="Z438" s="293"/>
      <c r="AA438" s="293"/>
      <c r="AB438" s="293"/>
      <c r="AC438" s="293"/>
      <c r="AD438" s="293"/>
    </row>
    <row r="439">
      <c r="A439" s="293"/>
      <c r="B439" s="308"/>
      <c r="C439" s="293"/>
      <c r="D439" s="293"/>
      <c r="E439" s="293"/>
      <c r="F439" s="293"/>
      <c r="G439" s="293"/>
      <c r="H439" s="293"/>
      <c r="I439" s="293"/>
      <c r="J439" s="293"/>
      <c r="K439" s="293"/>
      <c r="L439" s="293"/>
      <c r="M439" s="293"/>
      <c r="N439" s="293"/>
      <c r="O439" s="293"/>
      <c r="P439" s="293"/>
      <c r="Q439" s="293"/>
      <c r="R439" s="293"/>
      <c r="S439" s="293"/>
      <c r="T439" s="293"/>
      <c r="U439" s="293"/>
      <c r="V439" s="293"/>
      <c r="W439" s="293"/>
      <c r="X439" s="293"/>
      <c r="Y439" s="293"/>
      <c r="Z439" s="293"/>
      <c r="AA439" s="293"/>
      <c r="AB439" s="293"/>
      <c r="AC439" s="293"/>
      <c r="AD439" s="293"/>
    </row>
    <row r="440">
      <c r="A440" s="293"/>
      <c r="B440" s="308"/>
      <c r="C440" s="293"/>
      <c r="D440" s="293"/>
      <c r="E440" s="293"/>
      <c r="F440" s="293"/>
      <c r="G440" s="293"/>
      <c r="H440" s="293"/>
      <c r="I440" s="293"/>
      <c r="J440" s="293"/>
      <c r="K440" s="293"/>
      <c r="L440" s="293"/>
      <c r="M440" s="293"/>
      <c r="N440" s="293"/>
      <c r="O440" s="293"/>
      <c r="P440" s="293"/>
      <c r="Q440" s="293"/>
      <c r="R440" s="293"/>
      <c r="S440" s="293"/>
      <c r="T440" s="293"/>
      <c r="U440" s="293"/>
      <c r="V440" s="293"/>
      <c r="W440" s="293"/>
      <c r="X440" s="293"/>
      <c r="Y440" s="293"/>
      <c r="Z440" s="293"/>
      <c r="AA440" s="293"/>
      <c r="AB440" s="293"/>
      <c r="AC440" s="293"/>
      <c r="AD440" s="293"/>
    </row>
    <row r="441">
      <c r="A441" s="293"/>
      <c r="B441" s="308"/>
      <c r="C441" s="293"/>
      <c r="D441" s="293"/>
      <c r="E441" s="293"/>
      <c r="F441" s="293"/>
      <c r="G441" s="293"/>
      <c r="H441" s="293"/>
      <c r="I441" s="293"/>
      <c r="J441" s="293"/>
      <c r="K441" s="293"/>
      <c r="L441" s="293"/>
      <c r="M441" s="293"/>
      <c r="N441" s="293"/>
      <c r="O441" s="293"/>
      <c r="P441" s="293"/>
      <c r="Q441" s="293"/>
      <c r="R441" s="293"/>
      <c r="S441" s="293"/>
      <c r="T441" s="293"/>
      <c r="U441" s="293"/>
      <c r="V441" s="293"/>
      <c r="W441" s="293"/>
      <c r="X441" s="293"/>
      <c r="Y441" s="293"/>
      <c r="Z441" s="293"/>
      <c r="AA441" s="293"/>
      <c r="AB441" s="293"/>
      <c r="AC441" s="293"/>
      <c r="AD441" s="293"/>
    </row>
    <row r="442">
      <c r="A442" s="293"/>
      <c r="B442" s="308"/>
      <c r="C442" s="293"/>
      <c r="D442" s="293"/>
      <c r="E442" s="293"/>
      <c r="F442" s="293"/>
      <c r="G442" s="293"/>
      <c r="H442" s="293"/>
      <c r="I442" s="293"/>
      <c r="J442" s="293"/>
      <c r="K442" s="293"/>
      <c r="L442" s="293"/>
      <c r="M442" s="293"/>
      <c r="N442" s="293"/>
      <c r="O442" s="293"/>
      <c r="P442" s="293"/>
      <c r="Q442" s="293"/>
      <c r="R442" s="293"/>
      <c r="S442" s="293"/>
      <c r="T442" s="293"/>
      <c r="U442" s="293"/>
      <c r="V442" s="293"/>
      <c r="W442" s="293"/>
      <c r="X442" s="293"/>
      <c r="Y442" s="293"/>
      <c r="Z442" s="293"/>
      <c r="AA442" s="293"/>
      <c r="AB442" s="293"/>
      <c r="AC442" s="293"/>
      <c r="AD442" s="293"/>
    </row>
    <row r="443">
      <c r="A443" s="293"/>
      <c r="B443" s="308"/>
      <c r="C443" s="293"/>
      <c r="D443" s="293"/>
      <c r="E443" s="293"/>
      <c r="F443" s="293"/>
      <c r="G443" s="293"/>
      <c r="H443" s="293"/>
      <c r="I443" s="293"/>
      <c r="J443" s="293"/>
      <c r="K443" s="293"/>
      <c r="L443" s="293"/>
      <c r="M443" s="293"/>
      <c r="N443" s="293"/>
      <c r="O443" s="293"/>
      <c r="P443" s="293"/>
      <c r="Q443" s="293"/>
      <c r="R443" s="293"/>
      <c r="S443" s="293"/>
      <c r="T443" s="293"/>
      <c r="U443" s="293"/>
      <c r="V443" s="293"/>
      <c r="W443" s="293"/>
      <c r="X443" s="293"/>
      <c r="Y443" s="293"/>
      <c r="Z443" s="293"/>
      <c r="AA443" s="293"/>
      <c r="AB443" s="293"/>
      <c r="AC443" s="293"/>
      <c r="AD443" s="293"/>
    </row>
    <row r="444">
      <c r="A444" s="293"/>
      <c r="B444" s="308"/>
      <c r="C444" s="293"/>
      <c r="D444" s="293"/>
      <c r="E444" s="293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Q444" s="293"/>
      <c r="R444" s="293"/>
      <c r="S444" s="293"/>
      <c r="T444" s="293"/>
      <c r="U444" s="293"/>
      <c r="V444" s="293"/>
      <c r="W444" s="293"/>
      <c r="X444" s="293"/>
      <c r="Y444" s="293"/>
      <c r="Z444" s="293"/>
      <c r="AA444" s="293"/>
      <c r="AB444" s="293"/>
      <c r="AC444" s="293"/>
      <c r="AD444" s="293"/>
    </row>
    <row r="445">
      <c r="A445" s="293"/>
      <c r="B445" s="308"/>
      <c r="C445" s="293"/>
      <c r="D445" s="293"/>
      <c r="E445" s="293"/>
      <c r="F445" s="293"/>
      <c r="G445" s="293"/>
      <c r="H445" s="293"/>
      <c r="I445" s="293"/>
      <c r="J445" s="293"/>
      <c r="K445" s="293"/>
      <c r="L445" s="293"/>
      <c r="M445" s="293"/>
      <c r="N445" s="293"/>
      <c r="O445" s="293"/>
      <c r="P445" s="293"/>
      <c r="Q445" s="293"/>
      <c r="R445" s="293"/>
      <c r="S445" s="293"/>
      <c r="T445" s="293"/>
      <c r="U445" s="293"/>
      <c r="V445" s="293"/>
      <c r="W445" s="293"/>
      <c r="X445" s="293"/>
      <c r="Y445" s="293"/>
      <c r="Z445" s="293"/>
      <c r="AA445" s="293"/>
      <c r="AB445" s="293"/>
      <c r="AC445" s="293"/>
      <c r="AD445" s="293"/>
    </row>
    <row r="446">
      <c r="A446" s="293"/>
      <c r="B446" s="308"/>
      <c r="C446" s="293"/>
      <c r="D446" s="293"/>
      <c r="E446" s="293"/>
      <c r="F446" s="293"/>
      <c r="G446" s="293"/>
      <c r="H446" s="293"/>
      <c r="I446" s="293"/>
      <c r="J446" s="293"/>
      <c r="K446" s="293"/>
      <c r="L446" s="293"/>
      <c r="M446" s="293"/>
      <c r="N446" s="293"/>
      <c r="O446" s="293"/>
      <c r="P446" s="293"/>
      <c r="Q446" s="293"/>
      <c r="R446" s="293"/>
      <c r="S446" s="293"/>
      <c r="T446" s="293"/>
      <c r="U446" s="293"/>
      <c r="V446" s="293"/>
      <c r="W446" s="293"/>
      <c r="X446" s="293"/>
      <c r="Y446" s="293"/>
      <c r="Z446" s="293"/>
      <c r="AA446" s="293"/>
      <c r="AB446" s="293"/>
      <c r="AC446" s="293"/>
      <c r="AD446" s="293"/>
    </row>
    <row r="447">
      <c r="A447" s="293"/>
      <c r="B447" s="308"/>
      <c r="C447" s="293"/>
      <c r="D447" s="293"/>
      <c r="E447" s="293"/>
      <c r="F447" s="293"/>
      <c r="G447" s="293"/>
      <c r="H447" s="293"/>
      <c r="I447" s="293"/>
      <c r="J447" s="293"/>
      <c r="K447" s="293"/>
      <c r="L447" s="293"/>
      <c r="M447" s="293"/>
      <c r="N447" s="293"/>
      <c r="O447" s="293"/>
      <c r="P447" s="293"/>
      <c r="Q447" s="293"/>
      <c r="R447" s="293"/>
      <c r="S447" s="293"/>
      <c r="T447" s="293"/>
      <c r="U447" s="293"/>
      <c r="V447" s="293"/>
      <c r="W447" s="293"/>
      <c r="X447" s="293"/>
      <c r="Y447" s="293"/>
      <c r="Z447" s="293"/>
      <c r="AA447" s="293"/>
      <c r="AB447" s="293"/>
      <c r="AC447" s="293"/>
      <c r="AD447" s="293"/>
    </row>
    <row r="448">
      <c r="A448" s="293"/>
      <c r="B448" s="308"/>
      <c r="C448" s="293"/>
      <c r="D448" s="293"/>
      <c r="E448" s="293"/>
      <c r="F448" s="293"/>
      <c r="G448" s="293"/>
      <c r="H448" s="293"/>
      <c r="I448" s="293"/>
      <c r="J448" s="293"/>
      <c r="K448" s="293"/>
      <c r="L448" s="293"/>
      <c r="M448" s="293"/>
      <c r="N448" s="293"/>
      <c r="O448" s="293"/>
      <c r="P448" s="293"/>
      <c r="Q448" s="293"/>
      <c r="R448" s="293"/>
      <c r="S448" s="293"/>
      <c r="T448" s="293"/>
      <c r="U448" s="293"/>
      <c r="V448" s="293"/>
      <c r="W448" s="293"/>
      <c r="X448" s="293"/>
      <c r="Y448" s="293"/>
      <c r="Z448" s="293"/>
      <c r="AA448" s="293"/>
      <c r="AB448" s="293"/>
      <c r="AC448" s="293"/>
      <c r="AD448" s="293"/>
    </row>
    <row r="449">
      <c r="A449" s="293"/>
      <c r="B449" s="308"/>
      <c r="C449" s="293"/>
      <c r="D449" s="293"/>
      <c r="E449" s="293"/>
      <c r="F449" s="293"/>
      <c r="G449" s="293"/>
      <c r="H449" s="293"/>
      <c r="I449" s="293"/>
      <c r="J449" s="293"/>
      <c r="K449" s="293"/>
      <c r="L449" s="293"/>
      <c r="M449" s="293"/>
      <c r="N449" s="293"/>
      <c r="O449" s="293"/>
      <c r="P449" s="293"/>
      <c r="Q449" s="293"/>
      <c r="R449" s="293"/>
      <c r="S449" s="293"/>
      <c r="T449" s="293"/>
      <c r="U449" s="293"/>
      <c r="V449" s="293"/>
      <c r="W449" s="293"/>
      <c r="X449" s="293"/>
      <c r="Y449" s="293"/>
      <c r="Z449" s="293"/>
      <c r="AA449" s="293"/>
      <c r="AB449" s="293"/>
      <c r="AC449" s="293"/>
      <c r="AD449" s="293"/>
    </row>
    <row r="450">
      <c r="A450" s="293"/>
      <c r="B450" s="308"/>
      <c r="C450" s="293"/>
      <c r="D450" s="293"/>
      <c r="E450" s="293"/>
      <c r="F450" s="293"/>
      <c r="G450" s="293"/>
      <c r="H450" s="293"/>
      <c r="I450" s="293"/>
      <c r="J450" s="293"/>
      <c r="K450" s="293"/>
      <c r="L450" s="293"/>
      <c r="M450" s="293"/>
      <c r="N450" s="293"/>
      <c r="O450" s="293"/>
      <c r="P450" s="293"/>
      <c r="Q450" s="293"/>
      <c r="R450" s="293"/>
      <c r="S450" s="293"/>
      <c r="T450" s="293"/>
      <c r="U450" s="293"/>
      <c r="V450" s="293"/>
      <c r="W450" s="293"/>
      <c r="X450" s="293"/>
      <c r="Y450" s="293"/>
      <c r="Z450" s="293"/>
      <c r="AA450" s="293"/>
      <c r="AB450" s="293"/>
      <c r="AC450" s="293"/>
      <c r="AD450" s="293"/>
    </row>
    <row r="451">
      <c r="A451" s="293"/>
      <c r="B451" s="308"/>
      <c r="C451" s="293"/>
      <c r="D451" s="293"/>
      <c r="E451" s="293"/>
      <c r="F451" s="293"/>
      <c r="G451" s="293"/>
      <c r="H451" s="293"/>
      <c r="I451" s="293"/>
      <c r="J451" s="293"/>
      <c r="K451" s="293"/>
      <c r="L451" s="293"/>
      <c r="M451" s="293"/>
      <c r="N451" s="293"/>
      <c r="O451" s="293"/>
      <c r="P451" s="293"/>
      <c r="Q451" s="293"/>
      <c r="R451" s="293"/>
      <c r="S451" s="293"/>
      <c r="T451" s="293"/>
      <c r="U451" s="293"/>
      <c r="V451" s="293"/>
      <c r="W451" s="293"/>
      <c r="X451" s="293"/>
      <c r="Y451" s="293"/>
      <c r="Z451" s="293"/>
      <c r="AA451" s="293"/>
      <c r="AB451" s="293"/>
      <c r="AC451" s="293"/>
      <c r="AD451" s="293"/>
    </row>
    <row r="452">
      <c r="A452" s="293"/>
      <c r="B452" s="308"/>
      <c r="C452" s="293"/>
      <c r="D452" s="293"/>
      <c r="E452" s="293"/>
      <c r="F452" s="293"/>
      <c r="G452" s="293"/>
      <c r="H452" s="293"/>
      <c r="I452" s="293"/>
      <c r="J452" s="293"/>
      <c r="K452" s="293"/>
      <c r="L452" s="293"/>
      <c r="M452" s="293"/>
      <c r="N452" s="293"/>
      <c r="O452" s="293"/>
      <c r="P452" s="293"/>
      <c r="Q452" s="293"/>
      <c r="R452" s="293"/>
      <c r="S452" s="293"/>
      <c r="T452" s="293"/>
      <c r="U452" s="293"/>
      <c r="V452" s="293"/>
      <c r="W452" s="293"/>
      <c r="X452" s="293"/>
      <c r="Y452" s="293"/>
      <c r="Z452" s="293"/>
      <c r="AA452" s="293"/>
      <c r="AB452" s="293"/>
      <c r="AC452" s="293"/>
      <c r="AD452" s="293"/>
    </row>
    <row r="453">
      <c r="A453" s="293"/>
      <c r="B453" s="308"/>
      <c r="C453" s="293"/>
      <c r="D453" s="293"/>
      <c r="E453" s="293"/>
      <c r="F453" s="293"/>
      <c r="G453" s="293"/>
      <c r="H453" s="293"/>
      <c r="I453" s="293"/>
      <c r="J453" s="293"/>
      <c r="K453" s="293"/>
      <c r="L453" s="293"/>
      <c r="M453" s="293"/>
      <c r="N453" s="293"/>
      <c r="O453" s="293"/>
      <c r="P453" s="293"/>
      <c r="Q453" s="293"/>
      <c r="R453" s="293"/>
      <c r="S453" s="293"/>
      <c r="T453" s="293"/>
      <c r="U453" s="293"/>
      <c r="V453" s="293"/>
      <c r="W453" s="293"/>
      <c r="X453" s="293"/>
      <c r="Y453" s="293"/>
      <c r="Z453" s="293"/>
      <c r="AA453" s="293"/>
      <c r="AB453" s="293"/>
      <c r="AC453" s="293"/>
      <c r="AD453" s="293"/>
    </row>
    <row r="454">
      <c r="A454" s="293"/>
      <c r="B454" s="308"/>
      <c r="C454" s="293"/>
      <c r="D454" s="293"/>
      <c r="E454" s="293"/>
      <c r="F454" s="293"/>
      <c r="G454" s="293"/>
      <c r="H454" s="293"/>
      <c r="I454" s="293"/>
      <c r="J454" s="293"/>
      <c r="K454" s="293"/>
      <c r="L454" s="293"/>
      <c r="M454" s="293"/>
      <c r="N454" s="293"/>
      <c r="O454" s="293"/>
      <c r="P454" s="293"/>
      <c r="Q454" s="293"/>
      <c r="R454" s="293"/>
      <c r="S454" s="293"/>
      <c r="T454" s="293"/>
      <c r="U454" s="293"/>
      <c r="V454" s="293"/>
      <c r="W454" s="293"/>
      <c r="X454" s="293"/>
      <c r="Y454" s="293"/>
      <c r="Z454" s="293"/>
      <c r="AA454" s="293"/>
      <c r="AB454" s="293"/>
      <c r="AC454" s="293"/>
      <c r="AD454" s="293"/>
    </row>
    <row r="455">
      <c r="A455" s="293"/>
      <c r="B455" s="308"/>
      <c r="C455" s="293"/>
      <c r="D455" s="293"/>
      <c r="E455" s="293"/>
      <c r="F455" s="293"/>
      <c r="G455" s="293"/>
      <c r="H455" s="293"/>
      <c r="I455" s="293"/>
      <c r="J455" s="293"/>
      <c r="K455" s="293"/>
      <c r="L455" s="293"/>
      <c r="M455" s="293"/>
      <c r="N455" s="293"/>
      <c r="O455" s="293"/>
      <c r="P455" s="293"/>
      <c r="Q455" s="293"/>
      <c r="R455" s="293"/>
      <c r="S455" s="293"/>
      <c r="T455" s="293"/>
      <c r="U455" s="293"/>
      <c r="V455" s="293"/>
      <c r="W455" s="293"/>
      <c r="X455" s="293"/>
      <c r="Y455" s="293"/>
      <c r="Z455" s="293"/>
      <c r="AA455" s="293"/>
      <c r="AB455" s="293"/>
      <c r="AC455" s="293"/>
      <c r="AD455" s="293"/>
    </row>
    <row r="456">
      <c r="A456" s="293"/>
      <c r="B456" s="308"/>
      <c r="C456" s="293"/>
      <c r="D456" s="293"/>
      <c r="E456" s="293"/>
      <c r="F456" s="293"/>
      <c r="G456" s="293"/>
      <c r="H456" s="293"/>
      <c r="I456" s="293"/>
      <c r="J456" s="293"/>
      <c r="K456" s="293"/>
      <c r="L456" s="293"/>
      <c r="M456" s="293"/>
      <c r="N456" s="293"/>
      <c r="O456" s="293"/>
      <c r="P456" s="293"/>
      <c r="Q456" s="293"/>
      <c r="R456" s="293"/>
      <c r="S456" s="293"/>
      <c r="T456" s="293"/>
      <c r="U456" s="293"/>
      <c r="V456" s="293"/>
      <c r="W456" s="293"/>
      <c r="X456" s="293"/>
      <c r="Y456" s="293"/>
      <c r="Z456" s="293"/>
      <c r="AA456" s="293"/>
      <c r="AB456" s="293"/>
      <c r="AC456" s="293"/>
      <c r="AD456" s="293"/>
    </row>
    <row r="457">
      <c r="A457" s="293"/>
      <c r="B457" s="308"/>
      <c r="C457" s="293"/>
      <c r="D457" s="293"/>
      <c r="E457" s="293"/>
      <c r="F457" s="293"/>
      <c r="G457" s="293"/>
      <c r="H457" s="293"/>
      <c r="I457" s="293"/>
      <c r="J457" s="293"/>
      <c r="K457" s="293"/>
      <c r="L457" s="293"/>
      <c r="M457" s="293"/>
      <c r="N457" s="293"/>
      <c r="O457" s="293"/>
      <c r="P457" s="293"/>
      <c r="Q457" s="293"/>
      <c r="R457" s="293"/>
      <c r="S457" s="293"/>
      <c r="T457" s="293"/>
      <c r="U457" s="293"/>
      <c r="V457" s="293"/>
      <c r="W457" s="293"/>
      <c r="X457" s="293"/>
      <c r="Y457" s="293"/>
      <c r="Z457" s="293"/>
      <c r="AA457" s="293"/>
      <c r="AB457" s="293"/>
      <c r="AC457" s="293"/>
      <c r="AD457" s="293"/>
    </row>
    <row r="458">
      <c r="A458" s="293"/>
      <c r="B458" s="308"/>
      <c r="C458" s="293"/>
      <c r="D458" s="293"/>
      <c r="E458" s="293"/>
      <c r="F458" s="293"/>
      <c r="G458" s="293"/>
      <c r="H458" s="293"/>
      <c r="I458" s="293"/>
      <c r="J458" s="293"/>
      <c r="K458" s="293"/>
      <c r="L458" s="293"/>
      <c r="M458" s="293"/>
      <c r="N458" s="293"/>
      <c r="O458" s="293"/>
      <c r="P458" s="293"/>
      <c r="Q458" s="293"/>
      <c r="R458" s="293"/>
      <c r="S458" s="293"/>
      <c r="T458" s="293"/>
      <c r="U458" s="293"/>
      <c r="V458" s="293"/>
      <c r="W458" s="293"/>
      <c r="X458" s="293"/>
      <c r="Y458" s="293"/>
      <c r="Z458" s="293"/>
      <c r="AA458" s="293"/>
      <c r="AB458" s="293"/>
      <c r="AC458" s="293"/>
      <c r="AD458" s="293"/>
    </row>
    <row r="459">
      <c r="A459" s="293"/>
      <c r="B459" s="308"/>
      <c r="C459" s="293"/>
      <c r="D459" s="293"/>
      <c r="E459" s="293"/>
      <c r="F459" s="293"/>
      <c r="G459" s="293"/>
      <c r="H459" s="293"/>
      <c r="I459" s="293"/>
      <c r="J459" s="293"/>
      <c r="K459" s="293"/>
      <c r="L459" s="293"/>
      <c r="M459" s="293"/>
      <c r="N459" s="293"/>
      <c r="O459" s="293"/>
      <c r="P459" s="293"/>
      <c r="Q459" s="293"/>
      <c r="R459" s="293"/>
      <c r="S459" s="293"/>
      <c r="T459" s="293"/>
      <c r="U459" s="293"/>
      <c r="V459" s="293"/>
      <c r="W459" s="293"/>
      <c r="X459" s="293"/>
      <c r="Y459" s="293"/>
      <c r="Z459" s="293"/>
      <c r="AA459" s="293"/>
      <c r="AB459" s="293"/>
      <c r="AC459" s="293"/>
      <c r="AD459" s="293"/>
    </row>
    <row r="460">
      <c r="A460" s="293"/>
      <c r="B460" s="308"/>
      <c r="C460" s="293"/>
      <c r="D460" s="293"/>
      <c r="E460" s="293"/>
      <c r="F460" s="293"/>
      <c r="G460" s="293"/>
      <c r="H460" s="293"/>
      <c r="I460" s="293"/>
      <c r="J460" s="293"/>
      <c r="K460" s="293"/>
      <c r="L460" s="293"/>
      <c r="M460" s="293"/>
      <c r="N460" s="293"/>
      <c r="O460" s="293"/>
      <c r="P460" s="293"/>
      <c r="Q460" s="293"/>
      <c r="R460" s="293"/>
      <c r="S460" s="293"/>
      <c r="T460" s="293"/>
      <c r="U460" s="293"/>
      <c r="V460" s="293"/>
      <c r="W460" s="293"/>
      <c r="X460" s="293"/>
      <c r="Y460" s="293"/>
      <c r="Z460" s="293"/>
      <c r="AA460" s="293"/>
      <c r="AB460" s="293"/>
      <c r="AC460" s="293"/>
      <c r="AD460" s="293"/>
    </row>
    <row r="461">
      <c r="A461" s="293"/>
      <c r="B461" s="308"/>
      <c r="C461" s="293"/>
      <c r="D461" s="293"/>
      <c r="E461" s="293"/>
      <c r="F461" s="293"/>
      <c r="G461" s="293"/>
      <c r="H461" s="293"/>
      <c r="I461" s="293"/>
      <c r="J461" s="293"/>
      <c r="K461" s="293"/>
      <c r="L461" s="293"/>
      <c r="M461" s="293"/>
      <c r="N461" s="293"/>
      <c r="O461" s="293"/>
      <c r="P461" s="293"/>
      <c r="Q461" s="293"/>
      <c r="R461" s="293"/>
      <c r="S461" s="293"/>
      <c r="T461" s="293"/>
      <c r="U461" s="293"/>
      <c r="V461" s="293"/>
      <c r="W461" s="293"/>
      <c r="X461" s="293"/>
      <c r="Y461" s="293"/>
      <c r="Z461" s="293"/>
      <c r="AA461" s="293"/>
      <c r="AB461" s="293"/>
      <c r="AC461" s="293"/>
      <c r="AD461" s="293"/>
    </row>
    <row r="462">
      <c r="A462" s="293"/>
      <c r="B462" s="308"/>
      <c r="C462" s="293"/>
      <c r="D462" s="293"/>
      <c r="E462" s="293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Q462" s="293"/>
      <c r="R462" s="293"/>
      <c r="S462" s="293"/>
      <c r="T462" s="293"/>
      <c r="U462" s="293"/>
      <c r="V462" s="293"/>
      <c r="W462" s="293"/>
      <c r="X462" s="293"/>
      <c r="Y462" s="293"/>
      <c r="Z462" s="293"/>
      <c r="AA462" s="293"/>
      <c r="AB462" s="293"/>
      <c r="AC462" s="293"/>
      <c r="AD462" s="293"/>
    </row>
    <row r="463">
      <c r="A463" s="293"/>
      <c r="B463" s="308"/>
      <c r="C463" s="293"/>
      <c r="D463" s="293"/>
      <c r="E463" s="293"/>
      <c r="F463" s="293"/>
      <c r="G463" s="293"/>
      <c r="H463" s="293"/>
      <c r="I463" s="293"/>
      <c r="J463" s="293"/>
      <c r="K463" s="293"/>
      <c r="L463" s="293"/>
      <c r="M463" s="293"/>
      <c r="N463" s="293"/>
      <c r="O463" s="293"/>
      <c r="P463" s="293"/>
      <c r="Q463" s="293"/>
      <c r="R463" s="293"/>
      <c r="S463" s="293"/>
      <c r="T463" s="293"/>
      <c r="U463" s="293"/>
      <c r="V463" s="293"/>
      <c r="W463" s="293"/>
      <c r="X463" s="293"/>
      <c r="Y463" s="293"/>
      <c r="Z463" s="293"/>
      <c r="AA463" s="293"/>
      <c r="AB463" s="293"/>
      <c r="AC463" s="293"/>
      <c r="AD463" s="293"/>
    </row>
    <row r="464">
      <c r="A464" s="293"/>
      <c r="B464" s="308"/>
      <c r="C464" s="293"/>
      <c r="D464" s="293"/>
      <c r="E464" s="293"/>
      <c r="F464" s="293"/>
      <c r="G464" s="293"/>
      <c r="H464" s="293"/>
      <c r="I464" s="293"/>
      <c r="J464" s="293"/>
      <c r="K464" s="293"/>
      <c r="L464" s="293"/>
      <c r="M464" s="293"/>
      <c r="N464" s="293"/>
      <c r="O464" s="293"/>
      <c r="P464" s="293"/>
      <c r="Q464" s="293"/>
      <c r="R464" s="293"/>
      <c r="S464" s="293"/>
      <c r="T464" s="293"/>
      <c r="U464" s="293"/>
      <c r="V464" s="293"/>
      <c r="W464" s="293"/>
      <c r="X464" s="293"/>
      <c r="Y464" s="293"/>
      <c r="Z464" s="293"/>
      <c r="AA464" s="293"/>
      <c r="AB464" s="293"/>
      <c r="AC464" s="293"/>
      <c r="AD464" s="293"/>
    </row>
    <row r="465">
      <c r="A465" s="293"/>
      <c r="B465" s="308"/>
      <c r="C465" s="293"/>
      <c r="D465" s="293"/>
      <c r="E465" s="293"/>
      <c r="F465" s="293"/>
      <c r="G465" s="293"/>
      <c r="H465" s="293"/>
      <c r="I465" s="293"/>
      <c r="J465" s="293"/>
      <c r="K465" s="293"/>
      <c r="L465" s="293"/>
      <c r="M465" s="293"/>
      <c r="N465" s="293"/>
      <c r="O465" s="293"/>
      <c r="P465" s="293"/>
      <c r="Q465" s="293"/>
      <c r="R465" s="293"/>
      <c r="S465" s="293"/>
      <c r="T465" s="293"/>
      <c r="U465" s="293"/>
      <c r="V465" s="293"/>
      <c r="W465" s="293"/>
      <c r="X465" s="293"/>
      <c r="Y465" s="293"/>
      <c r="Z465" s="293"/>
      <c r="AA465" s="293"/>
      <c r="AB465" s="293"/>
      <c r="AC465" s="293"/>
      <c r="AD465" s="293"/>
    </row>
    <row r="466">
      <c r="A466" s="293"/>
      <c r="B466" s="308"/>
      <c r="C466" s="293"/>
      <c r="D466" s="293"/>
      <c r="E466" s="293"/>
      <c r="F466" s="293"/>
      <c r="G466" s="293"/>
      <c r="H466" s="293"/>
      <c r="I466" s="293"/>
      <c r="J466" s="293"/>
      <c r="K466" s="293"/>
      <c r="L466" s="293"/>
      <c r="M466" s="293"/>
      <c r="N466" s="293"/>
      <c r="O466" s="293"/>
      <c r="P466" s="293"/>
      <c r="Q466" s="293"/>
      <c r="R466" s="293"/>
      <c r="S466" s="293"/>
      <c r="T466" s="293"/>
      <c r="U466" s="293"/>
      <c r="V466" s="293"/>
      <c r="W466" s="293"/>
      <c r="X466" s="293"/>
      <c r="Y466" s="293"/>
      <c r="Z466" s="293"/>
      <c r="AA466" s="293"/>
      <c r="AB466" s="293"/>
      <c r="AC466" s="293"/>
      <c r="AD466" s="293"/>
    </row>
    <row r="467">
      <c r="A467" s="293"/>
      <c r="B467" s="308"/>
      <c r="C467" s="293"/>
      <c r="D467" s="293"/>
      <c r="E467" s="293"/>
      <c r="F467" s="293"/>
      <c r="G467" s="293"/>
      <c r="H467" s="293"/>
      <c r="I467" s="293"/>
      <c r="J467" s="293"/>
      <c r="K467" s="293"/>
      <c r="L467" s="293"/>
      <c r="M467" s="293"/>
      <c r="N467" s="293"/>
      <c r="O467" s="293"/>
      <c r="P467" s="293"/>
      <c r="Q467" s="293"/>
      <c r="R467" s="293"/>
      <c r="S467" s="293"/>
      <c r="T467" s="293"/>
      <c r="U467" s="293"/>
      <c r="V467" s="293"/>
      <c r="W467" s="293"/>
      <c r="X467" s="293"/>
      <c r="Y467" s="293"/>
      <c r="Z467" s="293"/>
      <c r="AA467" s="293"/>
      <c r="AB467" s="293"/>
      <c r="AC467" s="293"/>
      <c r="AD467" s="293"/>
    </row>
    <row r="468">
      <c r="A468" s="293"/>
      <c r="B468" s="308"/>
      <c r="C468" s="293"/>
      <c r="D468" s="293"/>
      <c r="E468" s="293"/>
      <c r="F468" s="293"/>
      <c r="G468" s="293"/>
      <c r="H468" s="293"/>
      <c r="I468" s="293"/>
      <c r="J468" s="293"/>
      <c r="K468" s="293"/>
      <c r="L468" s="293"/>
      <c r="M468" s="293"/>
      <c r="N468" s="293"/>
      <c r="O468" s="293"/>
      <c r="P468" s="293"/>
      <c r="Q468" s="293"/>
      <c r="R468" s="293"/>
      <c r="S468" s="293"/>
      <c r="T468" s="293"/>
      <c r="U468" s="293"/>
      <c r="V468" s="293"/>
      <c r="W468" s="293"/>
      <c r="X468" s="293"/>
      <c r="Y468" s="293"/>
      <c r="Z468" s="293"/>
      <c r="AA468" s="293"/>
      <c r="AB468" s="293"/>
      <c r="AC468" s="293"/>
      <c r="AD468" s="293"/>
    </row>
    <row r="469">
      <c r="A469" s="293"/>
      <c r="B469" s="308"/>
      <c r="C469" s="293"/>
      <c r="D469" s="293"/>
      <c r="E469" s="293"/>
      <c r="F469" s="293"/>
      <c r="G469" s="293"/>
      <c r="H469" s="293"/>
      <c r="I469" s="293"/>
      <c r="J469" s="293"/>
      <c r="K469" s="293"/>
      <c r="L469" s="293"/>
      <c r="M469" s="293"/>
      <c r="N469" s="293"/>
      <c r="O469" s="293"/>
      <c r="P469" s="293"/>
      <c r="Q469" s="293"/>
      <c r="R469" s="293"/>
      <c r="S469" s="293"/>
      <c r="T469" s="293"/>
      <c r="U469" s="293"/>
      <c r="V469" s="293"/>
      <c r="W469" s="293"/>
      <c r="X469" s="293"/>
      <c r="Y469" s="293"/>
      <c r="Z469" s="293"/>
      <c r="AA469" s="293"/>
      <c r="AB469" s="293"/>
      <c r="AC469" s="293"/>
      <c r="AD469" s="293"/>
    </row>
    <row r="470">
      <c r="A470" s="293"/>
      <c r="B470" s="308"/>
      <c r="C470" s="293"/>
      <c r="D470" s="293"/>
      <c r="E470" s="293"/>
      <c r="F470" s="293"/>
      <c r="G470" s="293"/>
      <c r="H470" s="293"/>
      <c r="I470" s="293"/>
      <c r="J470" s="293"/>
      <c r="K470" s="293"/>
      <c r="L470" s="293"/>
      <c r="M470" s="293"/>
      <c r="N470" s="293"/>
      <c r="O470" s="293"/>
      <c r="P470" s="293"/>
      <c r="Q470" s="293"/>
      <c r="R470" s="293"/>
      <c r="S470" s="293"/>
      <c r="T470" s="293"/>
      <c r="U470" s="293"/>
      <c r="V470" s="293"/>
      <c r="W470" s="293"/>
      <c r="X470" s="293"/>
      <c r="Y470" s="293"/>
      <c r="Z470" s="293"/>
      <c r="AA470" s="293"/>
      <c r="AB470" s="293"/>
      <c r="AC470" s="293"/>
      <c r="AD470" s="293"/>
    </row>
    <row r="471">
      <c r="A471" s="293"/>
      <c r="B471" s="308"/>
      <c r="C471" s="293"/>
      <c r="D471" s="293"/>
      <c r="E471" s="293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Q471" s="293"/>
      <c r="R471" s="293"/>
      <c r="S471" s="293"/>
      <c r="T471" s="293"/>
      <c r="U471" s="293"/>
      <c r="V471" s="293"/>
      <c r="W471" s="293"/>
      <c r="X471" s="293"/>
      <c r="Y471" s="293"/>
      <c r="Z471" s="293"/>
      <c r="AA471" s="293"/>
      <c r="AB471" s="293"/>
      <c r="AC471" s="293"/>
      <c r="AD471" s="293"/>
    </row>
    <row r="472">
      <c r="A472" s="293"/>
      <c r="B472" s="308"/>
      <c r="C472" s="293"/>
      <c r="D472" s="293"/>
      <c r="E472" s="293"/>
      <c r="F472" s="293"/>
      <c r="G472" s="293"/>
      <c r="H472" s="293"/>
      <c r="I472" s="293"/>
      <c r="J472" s="293"/>
      <c r="K472" s="293"/>
      <c r="L472" s="293"/>
      <c r="M472" s="293"/>
      <c r="N472" s="293"/>
      <c r="O472" s="293"/>
      <c r="P472" s="293"/>
      <c r="Q472" s="293"/>
      <c r="R472" s="293"/>
      <c r="S472" s="293"/>
      <c r="T472" s="293"/>
      <c r="U472" s="293"/>
      <c r="V472" s="293"/>
      <c r="W472" s="293"/>
      <c r="X472" s="293"/>
      <c r="Y472" s="293"/>
      <c r="Z472" s="293"/>
      <c r="AA472" s="293"/>
      <c r="AB472" s="293"/>
      <c r="AC472" s="293"/>
      <c r="AD472" s="293"/>
    </row>
    <row r="473">
      <c r="A473" s="293"/>
      <c r="B473" s="308"/>
      <c r="C473" s="293"/>
      <c r="D473" s="293"/>
      <c r="E473" s="293"/>
      <c r="F473" s="293"/>
      <c r="G473" s="293"/>
      <c r="H473" s="293"/>
      <c r="I473" s="293"/>
      <c r="J473" s="293"/>
      <c r="K473" s="293"/>
      <c r="L473" s="293"/>
      <c r="M473" s="293"/>
      <c r="N473" s="293"/>
      <c r="O473" s="293"/>
      <c r="P473" s="293"/>
      <c r="Q473" s="293"/>
      <c r="R473" s="293"/>
      <c r="S473" s="293"/>
      <c r="T473" s="293"/>
      <c r="U473" s="293"/>
      <c r="V473" s="293"/>
      <c r="W473" s="293"/>
      <c r="X473" s="293"/>
      <c r="Y473" s="293"/>
      <c r="Z473" s="293"/>
      <c r="AA473" s="293"/>
      <c r="AB473" s="293"/>
      <c r="AC473" s="293"/>
      <c r="AD473" s="293"/>
    </row>
    <row r="474">
      <c r="A474" s="293"/>
      <c r="B474" s="308"/>
      <c r="C474" s="293"/>
      <c r="D474" s="293"/>
      <c r="E474" s="293"/>
      <c r="F474" s="293"/>
      <c r="G474" s="293"/>
      <c r="H474" s="293"/>
      <c r="I474" s="293"/>
      <c r="J474" s="293"/>
      <c r="K474" s="293"/>
      <c r="L474" s="293"/>
      <c r="M474" s="293"/>
      <c r="N474" s="293"/>
      <c r="O474" s="293"/>
      <c r="P474" s="293"/>
      <c r="Q474" s="293"/>
      <c r="R474" s="293"/>
      <c r="S474" s="293"/>
      <c r="T474" s="293"/>
      <c r="U474" s="293"/>
      <c r="V474" s="293"/>
      <c r="W474" s="293"/>
      <c r="X474" s="293"/>
      <c r="Y474" s="293"/>
      <c r="Z474" s="293"/>
      <c r="AA474" s="293"/>
      <c r="AB474" s="293"/>
      <c r="AC474" s="293"/>
      <c r="AD474" s="293"/>
    </row>
    <row r="475">
      <c r="A475" s="293"/>
      <c r="B475" s="308"/>
      <c r="C475" s="293"/>
      <c r="D475" s="293"/>
      <c r="E475" s="293"/>
      <c r="F475" s="293"/>
      <c r="G475" s="293"/>
      <c r="H475" s="293"/>
      <c r="I475" s="293"/>
      <c r="J475" s="293"/>
      <c r="K475" s="293"/>
      <c r="L475" s="293"/>
      <c r="M475" s="293"/>
      <c r="N475" s="293"/>
      <c r="O475" s="293"/>
      <c r="P475" s="293"/>
      <c r="Q475" s="293"/>
      <c r="R475" s="293"/>
      <c r="S475" s="293"/>
      <c r="T475" s="293"/>
      <c r="U475" s="293"/>
      <c r="V475" s="293"/>
      <c r="W475" s="293"/>
      <c r="X475" s="293"/>
      <c r="Y475" s="293"/>
      <c r="Z475" s="293"/>
      <c r="AA475" s="293"/>
      <c r="AB475" s="293"/>
      <c r="AC475" s="293"/>
      <c r="AD475" s="293"/>
    </row>
    <row r="476">
      <c r="A476" s="293"/>
      <c r="B476" s="308"/>
      <c r="C476" s="293"/>
      <c r="D476" s="293"/>
      <c r="E476" s="293"/>
      <c r="F476" s="293"/>
      <c r="G476" s="293"/>
      <c r="H476" s="293"/>
      <c r="I476" s="293"/>
      <c r="J476" s="293"/>
      <c r="K476" s="293"/>
      <c r="L476" s="293"/>
      <c r="M476" s="293"/>
      <c r="N476" s="293"/>
      <c r="O476" s="293"/>
      <c r="P476" s="293"/>
      <c r="Q476" s="293"/>
      <c r="R476" s="293"/>
      <c r="S476" s="293"/>
      <c r="T476" s="293"/>
      <c r="U476" s="293"/>
      <c r="V476" s="293"/>
      <c r="W476" s="293"/>
      <c r="X476" s="293"/>
      <c r="Y476" s="293"/>
      <c r="Z476" s="293"/>
      <c r="AA476" s="293"/>
      <c r="AB476" s="293"/>
      <c r="AC476" s="293"/>
      <c r="AD476" s="293"/>
    </row>
    <row r="477">
      <c r="A477" s="293"/>
      <c r="B477" s="308"/>
      <c r="C477" s="293"/>
      <c r="D477" s="293"/>
      <c r="E477" s="293"/>
      <c r="F477" s="293"/>
      <c r="G477" s="293"/>
      <c r="H477" s="293"/>
      <c r="I477" s="293"/>
      <c r="J477" s="293"/>
      <c r="K477" s="293"/>
      <c r="L477" s="293"/>
      <c r="M477" s="293"/>
      <c r="N477" s="293"/>
      <c r="O477" s="293"/>
      <c r="P477" s="293"/>
      <c r="Q477" s="293"/>
      <c r="R477" s="293"/>
      <c r="S477" s="293"/>
      <c r="T477" s="293"/>
      <c r="U477" s="293"/>
      <c r="V477" s="293"/>
      <c r="W477" s="293"/>
      <c r="X477" s="293"/>
      <c r="Y477" s="293"/>
      <c r="Z477" s="293"/>
      <c r="AA477" s="293"/>
      <c r="AB477" s="293"/>
      <c r="AC477" s="293"/>
      <c r="AD477" s="293"/>
    </row>
    <row r="478">
      <c r="A478" s="293"/>
      <c r="B478" s="308"/>
      <c r="C478" s="293"/>
      <c r="D478" s="293"/>
      <c r="E478" s="293"/>
      <c r="F478" s="293"/>
      <c r="G478" s="293"/>
      <c r="H478" s="293"/>
      <c r="I478" s="293"/>
      <c r="J478" s="293"/>
      <c r="K478" s="293"/>
      <c r="L478" s="293"/>
      <c r="M478" s="293"/>
      <c r="N478" s="293"/>
      <c r="O478" s="293"/>
      <c r="P478" s="293"/>
      <c r="Q478" s="293"/>
      <c r="R478" s="293"/>
      <c r="S478" s="293"/>
      <c r="T478" s="293"/>
      <c r="U478" s="293"/>
      <c r="V478" s="293"/>
      <c r="W478" s="293"/>
      <c r="X478" s="293"/>
      <c r="Y478" s="293"/>
      <c r="Z478" s="293"/>
      <c r="AA478" s="293"/>
      <c r="AB478" s="293"/>
      <c r="AC478" s="293"/>
      <c r="AD478" s="293"/>
    </row>
    <row r="479">
      <c r="A479" s="293"/>
      <c r="B479" s="308"/>
      <c r="C479" s="293"/>
      <c r="D479" s="293"/>
      <c r="E479" s="293"/>
      <c r="F479" s="293"/>
      <c r="G479" s="293"/>
      <c r="H479" s="293"/>
      <c r="I479" s="293"/>
      <c r="J479" s="293"/>
      <c r="K479" s="293"/>
      <c r="L479" s="293"/>
      <c r="M479" s="293"/>
      <c r="N479" s="293"/>
      <c r="O479" s="293"/>
      <c r="P479" s="293"/>
      <c r="Q479" s="293"/>
      <c r="R479" s="293"/>
      <c r="S479" s="293"/>
      <c r="T479" s="293"/>
      <c r="U479" s="293"/>
      <c r="V479" s="293"/>
      <c r="W479" s="293"/>
      <c r="X479" s="293"/>
      <c r="Y479" s="293"/>
      <c r="Z479" s="293"/>
      <c r="AA479" s="293"/>
      <c r="AB479" s="293"/>
      <c r="AC479" s="293"/>
      <c r="AD479" s="293"/>
    </row>
    <row r="480">
      <c r="A480" s="293"/>
      <c r="B480" s="308"/>
      <c r="C480" s="293"/>
      <c r="D480" s="293"/>
      <c r="E480" s="293"/>
      <c r="F480" s="293"/>
      <c r="G480" s="293"/>
      <c r="H480" s="293"/>
      <c r="I480" s="293"/>
      <c r="J480" s="293"/>
      <c r="K480" s="29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  <c r="AA480" s="293"/>
      <c r="AB480" s="293"/>
      <c r="AC480" s="293"/>
      <c r="AD480" s="293"/>
    </row>
    <row r="481">
      <c r="A481" s="293"/>
      <c r="B481" s="308"/>
      <c r="C481" s="293"/>
      <c r="D481" s="293"/>
      <c r="E481" s="293"/>
      <c r="F481" s="293"/>
      <c r="G481" s="293"/>
      <c r="H481" s="293"/>
      <c r="I481" s="293"/>
      <c r="J481" s="293"/>
      <c r="K481" s="293"/>
      <c r="L481" s="293"/>
      <c r="M481" s="293"/>
      <c r="N481" s="293"/>
      <c r="O481" s="293"/>
      <c r="P481" s="293"/>
      <c r="Q481" s="293"/>
      <c r="R481" s="293"/>
      <c r="S481" s="293"/>
      <c r="T481" s="293"/>
      <c r="U481" s="293"/>
      <c r="V481" s="293"/>
      <c r="W481" s="293"/>
      <c r="X481" s="293"/>
      <c r="Y481" s="293"/>
      <c r="Z481" s="293"/>
      <c r="AA481" s="293"/>
      <c r="AB481" s="293"/>
      <c r="AC481" s="293"/>
      <c r="AD481" s="293"/>
    </row>
    <row r="482">
      <c r="A482" s="293"/>
      <c r="B482" s="308"/>
      <c r="C482" s="293"/>
      <c r="D482" s="293"/>
      <c r="E482" s="293"/>
      <c r="F482" s="293"/>
      <c r="G482" s="293"/>
      <c r="H482" s="293"/>
      <c r="I482" s="293"/>
      <c r="J482" s="293"/>
      <c r="K482" s="293"/>
      <c r="L482" s="293"/>
      <c r="M482" s="293"/>
      <c r="N482" s="293"/>
      <c r="O482" s="293"/>
      <c r="P482" s="293"/>
      <c r="Q482" s="293"/>
      <c r="R482" s="293"/>
      <c r="S482" s="293"/>
      <c r="T482" s="293"/>
      <c r="U482" s="293"/>
      <c r="V482" s="293"/>
      <c r="W482" s="293"/>
      <c r="X482" s="293"/>
      <c r="Y482" s="293"/>
      <c r="Z482" s="293"/>
      <c r="AA482" s="293"/>
      <c r="AB482" s="293"/>
      <c r="AC482" s="293"/>
      <c r="AD482" s="293"/>
    </row>
    <row r="483">
      <c r="A483" s="293"/>
      <c r="B483" s="308"/>
      <c r="C483" s="293"/>
      <c r="D483" s="293"/>
      <c r="E483" s="293"/>
      <c r="F483" s="293"/>
      <c r="G483" s="293"/>
      <c r="H483" s="293"/>
      <c r="I483" s="293"/>
      <c r="J483" s="293"/>
      <c r="K483" s="293"/>
      <c r="L483" s="293"/>
      <c r="M483" s="293"/>
      <c r="N483" s="293"/>
      <c r="O483" s="293"/>
      <c r="P483" s="293"/>
      <c r="Q483" s="293"/>
      <c r="R483" s="293"/>
      <c r="S483" s="293"/>
      <c r="T483" s="293"/>
      <c r="U483" s="293"/>
      <c r="V483" s="293"/>
      <c r="W483" s="293"/>
      <c r="X483" s="293"/>
      <c r="Y483" s="293"/>
      <c r="Z483" s="293"/>
      <c r="AA483" s="293"/>
      <c r="AB483" s="293"/>
      <c r="AC483" s="293"/>
      <c r="AD483" s="293"/>
    </row>
    <row r="484">
      <c r="A484" s="293"/>
      <c r="B484" s="308"/>
      <c r="C484" s="293"/>
      <c r="D484" s="293"/>
      <c r="E484" s="293"/>
      <c r="F484" s="293"/>
      <c r="G484" s="293"/>
      <c r="H484" s="293"/>
      <c r="I484" s="293"/>
      <c r="J484" s="293"/>
      <c r="K484" s="293"/>
      <c r="L484" s="293"/>
      <c r="M484" s="293"/>
      <c r="N484" s="293"/>
      <c r="O484" s="293"/>
      <c r="P484" s="293"/>
      <c r="Q484" s="293"/>
      <c r="R484" s="293"/>
      <c r="S484" s="293"/>
      <c r="T484" s="293"/>
      <c r="U484" s="293"/>
      <c r="V484" s="293"/>
      <c r="W484" s="293"/>
      <c r="X484" s="293"/>
      <c r="Y484" s="293"/>
      <c r="Z484" s="293"/>
      <c r="AA484" s="293"/>
      <c r="AB484" s="293"/>
      <c r="AC484" s="293"/>
      <c r="AD484" s="293"/>
    </row>
    <row r="485">
      <c r="A485" s="293"/>
      <c r="B485" s="308"/>
      <c r="C485" s="293"/>
      <c r="D485" s="293"/>
      <c r="E485" s="293"/>
      <c r="F485" s="293"/>
      <c r="G485" s="293"/>
      <c r="H485" s="293"/>
      <c r="I485" s="293"/>
      <c r="J485" s="293"/>
      <c r="K485" s="293"/>
      <c r="L485" s="293"/>
      <c r="M485" s="293"/>
      <c r="N485" s="293"/>
      <c r="O485" s="293"/>
      <c r="P485" s="293"/>
      <c r="Q485" s="293"/>
      <c r="R485" s="293"/>
      <c r="S485" s="293"/>
      <c r="T485" s="293"/>
      <c r="U485" s="293"/>
      <c r="V485" s="293"/>
      <c r="W485" s="293"/>
      <c r="X485" s="293"/>
      <c r="Y485" s="293"/>
      <c r="Z485" s="293"/>
      <c r="AA485" s="293"/>
      <c r="AB485" s="293"/>
      <c r="AC485" s="293"/>
      <c r="AD485" s="293"/>
    </row>
    <row r="486">
      <c r="A486" s="293"/>
      <c r="B486" s="308"/>
      <c r="C486" s="293"/>
      <c r="D486" s="293"/>
      <c r="E486" s="293"/>
      <c r="F486" s="293"/>
      <c r="G486" s="293"/>
      <c r="H486" s="293"/>
      <c r="I486" s="293"/>
      <c r="J486" s="293"/>
      <c r="K486" s="293"/>
      <c r="L486" s="293"/>
      <c r="M486" s="293"/>
      <c r="N486" s="293"/>
      <c r="O486" s="293"/>
      <c r="P486" s="293"/>
      <c r="Q486" s="293"/>
      <c r="R486" s="293"/>
      <c r="S486" s="293"/>
      <c r="T486" s="293"/>
      <c r="U486" s="293"/>
      <c r="V486" s="293"/>
      <c r="W486" s="293"/>
      <c r="X486" s="293"/>
      <c r="Y486" s="293"/>
      <c r="Z486" s="293"/>
      <c r="AA486" s="293"/>
      <c r="AB486" s="293"/>
      <c r="AC486" s="293"/>
      <c r="AD486" s="293"/>
    </row>
    <row r="487">
      <c r="A487" s="293"/>
      <c r="B487" s="308"/>
      <c r="C487" s="293"/>
      <c r="D487" s="293"/>
      <c r="E487" s="293"/>
      <c r="F487" s="293"/>
      <c r="G487" s="293"/>
      <c r="H487" s="293"/>
      <c r="I487" s="293"/>
      <c r="J487" s="293"/>
      <c r="K487" s="293"/>
      <c r="L487" s="293"/>
      <c r="M487" s="293"/>
      <c r="N487" s="293"/>
      <c r="O487" s="293"/>
      <c r="P487" s="293"/>
      <c r="Q487" s="293"/>
      <c r="R487" s="293"/>
      <c r="S487" s="293"/>
      <c r="T487" s="293"/>
      <c r="U487" s="293"/>
      <c r="V487" s="293"/>
      <c r="W487" s="293"/>
      <c r="X487" s="293"/>
      <c r="Y487" s="293"/>
      <c r="Z487" s="293"/>
      <c r="AA487" s="293"/>
      <c r="AB487" s="293"/>
      <c r="AC487" s="293"/>
      <c r="AD487" s="293"/>
    </row>
    <row r="488">
      <c r="A488" s="293"/>
      <c r="B488" s="308"/>
      <c r="C488" s="293"/>
      <c r="D488" s="293"/>
      <c r="E488" s="293"/>
      <c r="F488" s="29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Q488" s="293"/>
      <c r="R488" s="293"/>
      <c r="S488" s="293"/>
      <c r="T488" s="293"/>
      <c r="U488" s="293"/>
      <c r="V488" s="293"/>
      <c r="W488" s="293"/>
      <c r="X488" s="293"/>
      <c r="Y488" s="293"/>
      <c r="Z488" s="293"/>
      <c r="AA488" s="293"/>
      <c r="AB488" s="293"/>
      <c r="AC488" s="293"/>
      <c r="AD488" s="293"/>
    </row>
    <row r="489">
      <c r="A489" s="293"/>
      <c r="B489" s="308"/>
      <c r="C489" s="293"/>
      <c r="D489" s="293"/>
      <c r="E489" s="293"/>
      <c r="F489" s="293"/>
      <c r="G489" s="293"/>
      <c r="H489" s="293"/>
      <c r="I489" s="293"/>
      <c r="J489" s="293"/>
      <c r="K489" s="293"/>
      <c r="L489" s="293"/>
      <c r="M489" s="293"/>
      <c r="N489" s="293"/>
      <c r="O489" s="293"/>
      <c r="P489" s="293"/>
      <c r="Q489" s="293"/>
      <c r="R489" s="293"/>
      <c r="S489" s="293"/>
      <c r="T489" s="293"/>
      <c r="U489" s="293"/>
      <c r="V489" s="293"/>
      <c r="W489" s="293"/>
      <c r="X489" s="293"/>
      <c r="Y489" s="293"/>
      <c r="Z489" s="293"/>
      <c r="AA489" s="293"/>
      <c r="AB489" s="293"/>
      <c r="AC489" s="293"/>
      <c r="AD489" s="293"/>
    </row>
    <row r="490">
      <c r="A490" s="293"/>
      <c r="B490" s="308"/>
      <c r="C490" s="293"/>
      <c r="D490" s="293"/>
      <c r="E490" s="293"/>
      <c r="F490" s="293"/>
      <c r="G490" s="293"/>
      <c r="H490" s="293"/>
      <c r="I490" s="293"/>
      <c r="J490" s="293"/>
      <c r="K490" s="293"/>
      <c r="L490" s="293"/>
      <c r="M490" s="293"/>
      <c r="N490" s="293"/>
      <c r="O490" s="293"/>
      <c r="P490" s="293"/>
      <c r="Q490" s="293"/>
      <c r="R490" s="293"/>
      <c r="S490" s="293"/>
      <c r="T490" s="293"/>
      <c r="U490" s="293"/>
      <c r="V490" s="293"/>
      <c r="W490" s="293"/>
      <c r="X490" s="293"/>
      <c r="Y490" s="293"/>
      <c r="Z490" s="293"/>
      <c r="AA490" s="293"/>
      <c r="AB490" s="293"/>
      <c r="AC490" s="293"/>
      <c r="AD490" s="293"/>
    </row>
    <row r="491">
      <c r="A491" s="293"/>
      <c r="B491" s="308"/>
      <c r="C491" s="293"/>
      <c r="D491" s="293"/>
      <c r="E491" s="293"/>
      <c r="F491" s="293"/>
      <c r="G491" s="293"/>
      <c r="H491" s="293"/>
      <c r="I491" s="293"/>
      <c r="J491" s="293"/>
      <c r="K491" s="293"/>
      <c r="L491" s="293"/>
      <c r="M491" s="293"/>
      <c r="N491" s="293"/>
      <c r="O491" s="293"/>
      <c r="P491" s="293"/>
      <c r="Q491" s="293"/>
      <c r="R491" s="293"/>
      <c r="S491" s="293"/>
      <c r="T491" s="293"/>
      <c r="U491" s="293"/>
      <c r="V491" s="293"/>
      <c r="W491" s="293"/>
      <c r="X491" s="293"/>
      <c r="Y491" s="293"/>
      <c r="Z491" s="293"/>
      <c r="AA491" s="293"/>
      <c r="AB491" s="293"/>
      <c r="AC491" s="293"/>
      <c r="AD491" s="293"/>
    </row>
    <row r="492">
      <c r="A492" s="293"/>
      <c r="B492" s="308"/>
      <c r="C492" s="293"/>
      <c r="D492" s="293"/>
      <c r="E492" s="293"/>
      <c r="F492" s="293"/>
      <c r="G492" s="293"/>
      <c r="H492" s="293"/>
      <c r="I492" s="293"/>
      <c r="J492" s="293"/>
      <c r="K492" s="293"/>
      <c r="L492" s="293"/>
      <c r="M492" s="293"/>
      <c r="N492" s="293"/>
      <c r="O492" s="293"/>
      <c r="P492" s="293"/>
      <c r="Q492" s="293"/>
      <c r="R492" s="293"/>
      <c r="S492" s="293"/>
      <c r="T492" s="293"/>
      <c r="U492" s="293"/>
      <c r="V492" s="293"/>
      <c r="W492" s="293"/>
      <c r="X492" s="293"/>
      <c r="Y492" s="293"/>
      <c r="Z492" s="293"/>
      <c r="AA492" s="293"/>
      <c r="AB492" s="293"/>
      <c r="AC492" s="293"/>
      <c r="AD492" s="293"/>
    </row>
    <row r="493">
      <c r="A493" s="293"/>
      <c r="B493" s="308"/>
      <c r="C493" s="293"/>
      <c r="D493" s="293"/>
      <c r="E493" s="293"/>
      <c r="F493" s="293"/>
      <c r="G493" s="293"/>
      <c r="H493" s="293"/>
      <c r="I493" s="293"/>
      <c r="J493" s="293"/>
      <c r="K493" s="293"/>
      <c r="L493" s="293"/>
      <c r="M493" s="293"/>
      <c r="N493" s="293"/>
      <c r="O493" s="293"/>
      <c r="P493" s="293"/>
      <c r="Q493" s="293"/>
      <c r="R493" s="293"/>
      <c r="S493" s="293"/>
      <c r="T493" s="293"/>
      <c r="U493" s="293"/>
      <c r="V493" s="293"/>
      <c r="W493" s="293"/>
      <c r="X493" s="293"/>
      <c r="Y493" s="293"/>
      <c r="Z493" s="293"/>
      <c r="AA493" s="293"/>
      <c r="AB493" s="293"/>
      <c r="AC493" s="293"/>
      <c r="AD493" s="293"/>
    </row>
    <row r="494">
      <c r="A494" s="293"/>
      <c r="B494" s="308"/>
      <c r="C494" s="293"/>
      <c r="D494" s="293"/>
      <c r="E494" s="293"/>
      <c r="F494" s="293"/>
      <c r="G494" s="293"/>
      <c r="H494" s="293"/>
      <c r="I494" s="293"/>
      <c r="J494" s="293"/>
      <c r="K494" s="293"/>
      <c r="L494" s="293"/>
      <c r="M494" s="293"/>
      <c r="N494" s="293"/>
      <c r="O494" s="293"/>
      <c r="P494" s="293"/>
      <c r="Q494" s="293"/>
      <c r="R494" s="293"/>
      <c r="S494" s="293"/>
      <c r="T494" s="293"/>
      <c r="U494" s="293"/>
      <c r="V494" s="293"/>
      <c r="W494" s="293"/>
      <c r="X494" s="293"/>
      <c r="Y494" s="293"/>
      <c r="Z494" s="293"/>
      <c r="AA494" s="293"/>
      <c r="AB494" s="293"/>
      <c r="AC494" s="293"/>
      <c r="AD494" s="293"/>
    </row>
    <row r="495">
      <c r="A495" s="293"/>
      <c r="B495" s="308"/>
      <c r="C495" s="293"/>
      <c r="D495" s="293"/>
      <c r="E495" s="293"/>
      <c r="F495" s="293"/>
      <c r="G495" s="293"/>
      <c r="H495" s="293"/>
      <c r="I495" s="293"/>
      <c r="J495" s="293"/>
      <c r="K495" s="293"/>
      <c r="L495" s="293"/>
      <c r="M495" s="293"/>
      <c r="N495" s="293"/>
      <c r="O495" s="293"/>
      <c r="P495" s="293"/>
      <c r="Q495" s="293"/>
      <c r="R495" s="293"/>
      <c r="S495" s="293"/>
      <c r="T495" s="293"/>
      <c r="U495" s="293"/>
      <c r="V495" s="293"/>
      <c r="W495" s="293"/>
      <c r="X495" s="293"/>
      <c r="Y495" s="293"/>
      <c r="Z495" s="293"/>
      <c r="AA495" s="293"/>
      <c r="AB495" s="293"/>
      <c r="AC495" s="293"/>
      <c r="AD495" s="293"/>
    </row>
    <row r="496">
      <c r="A496" s="293"/>
      <c r="B496" s="308"/>
      <c r="C496" s="293"/>
      <c r="D496" s="293"/>
      <c r="E496" s="293"/>
      <c r="F496" s="293"/>
      <c r="G496" s="293"/>
      <c r="H496" s="293"/>
      <c r="I496" s="293"/>
      <c r="J496" s="293"/>
      <c r="K496" s="293"/>
      <c r="L496" s="293"/>
      <c r="M496" s="293"/>
      <c r="N496" s="293"/>
      <c r="O496" s="293"/>
      <c r="P496" s="293"/>
      <c r="Q496" s="293"/>
      <c r="R496" s="293"/>
      <c r="S496" s="293"/>
      <c r="T496" s="293"/>
      <c r="U496" s="293"/>
      <c r="V496" s="293"/>
      <c r="W496" s="293"/>
      <c r="X496" s="293"/>
      <c r="Y496" s="293"/>
      <c r="Z496" s="293"/>
      <c r="AA496" s="293"/>
      <c r="AB496" s="293"/>
      <c r="AC496" s="293"/>
      <c r="AD496" s="293"/>
    </row>
    <row r="497">
      <c r="A497" s="293"/>
      <c r="B497" s="308"/>
      <c r="C497" s="293"/>
      <c r="D497" s="293"/>
      <c r="E497" s="293"/>
      <c r="F497" s="293"/>
      <c r="G497" s="293"/>
      <c r="H497" s="293"/>
      <c r="I497" s="293"/>
      <c r="J497" s="293"/>
      <c r="K497" s="293"/>
      <c r="L497" s="293"/>
      <c r="M497" s="293"/>
      <c r="N497" s="293"/>
      <c r="O497" s="293"/>
      <c r="P497" s="293"/>
      <c r="Q497" s="293"/>
      <c r="R497" s="293"/>
      <c r="S497" s="293"/>
      <c r="T497" s="293"/>
      <c r="U497" s="293"/>
      <c r="V497" s="293"/>
      <c r="W497" s="293"/>
      <c r="X497" s="293"/>
      <c r="Y497" s="293"/>
      <c r="Z497" s="293"/>
      <c r="AA497" s="293"/>
      <c r="AB497" s="293"/>
      <c r="AC497" s="293"/>
      <c r="AD497" s="293"/>
    </row>
    <row r="498">
      <c r="A498" s="293"/>
      <c r="B498" s="308"/>
      <c r="C498" s="293"/>
      <c r="D498" s="293"/>
      <c r="E498" s="293"/>
      <c r="F498" s="293"/>
      <c r="G498" s="293"/>
      <c r="H498" s="293"/>
      <c r="I498" s="293"/>
      <c r="J498" s="293"/>
      <c r="K498" s="293"/>
      <c r="L498" s="293"/>
      <c r="M498" s="293"/>
      <c r="N498" s="293"/>
      <c r="O498" s="293"/>
      <c r="P498" s="293"/>
      <c r="Q498" s="293"/>
      <c r="R498" s="293"/>
      <c r="S498" s="293"/>
      <c r="T498" s="293"/>
      <c r="U498" s="293"/>
      <c r="V498" s="293"/>
      <c r="W498" s="293"/>
      <c r="X498" s="293"/>
      <c r="Y498" s="293"/>
      <c r="Z498" s="293"/>
      <c r="AA498" s="293"/>
      <c r="AB498" s="293"/>
      <c r="AC498" s="293"/>
      <c r="AD498" s="293"/>
    </row>
    <row r="499">
      <c r="A499" s="293"/>
      <c r="B499" s="308"/>
      <c r="C499" s="293"/>
      <c r="D499" s="293"/>
      <c r="E499" s="293"/>
      <c r="F499" s="293"/>
      <c r="G499" s="293"/>
      <c r="H499" s="293"/>
      <c r="I499" s="293"/>
      <c r="J499" s="293"/>
      <c r="K499" s="293"/>
      <c r="L499" s="293"/>
      <c r="M499" s="293"/>
      <c r="N499" s="293"/>
      <c r="O499" s="293"/>
      <c r="P499" s="293"/>
      <c r="Q499" s="293"/>
      <c r="R499" s="293"/>
      <c r="S499" s="293"/>
      <c r="T499" s="293"/>
      <c r="U499" s="293"/>
      <c r="V499" s="293"/>
      <c r="W499" s="293"/>
      <c r="X499" s="293"/>
      <c r="Y499" s="293"/>
      <c r="Z499" s="293"/>
      <c r="AA499" s="293"/>
      <c r="AB499" s="293"/>
      <c r="AC499" s="293"/>
      <c r="AD499" s="293"/>
    </row>
    <row r="500">
      <c r="A500" s="293"/>
      <c r="B500" s="308"/>
      <c r="C500" s="293"/>
      <c r="D500" s="293"/>
      <c r="E500" s="293"/>
      <c r="F500" s="293"/>
      <c r="G500" s="293"/>
      <c r="H500" s="293"/>
      <c r="I500" s="293"/>
      <c r="J500" s="293"/>
      <c r="K500" s="293"/>
      <c r="L500" s="293"/>
      <c r="M500" s="293"/>
      <c r="N500" s="293"/>
      <c r="O500" s="293"/>
      <c r="P500" s="293"/>
      <c r="Q500" s="293"/>
      <c r="R500" s="293"/>
      <c r="S500" s="293"/>
      <c r="T500" s="293"/>
      <c r="U500" s="293"/>
      <c r="V500" s="293"/>
      <c r="W500" s="293"/>
      <c r="X500" s="293"/>
      <c r="Y500" s="293"/>
      <c r="Z500" s="293"/>
      <c r="AA500" s="293"/>
      <c r="AB500" s="293"/>
      <c r="AC500" s="293"/>
      <c r="AD500" s="293"/>
    </row>
    <row r="501">
      <c r="A501" s="293"/>
      <c r="B501" s="308"/>
      <c r="C501" s="293"/>
      <c r="D501" s="293"/>
      <c r="E501" s="293"/>
      <c r="F501" s="293"/>
      <c r="G501" s="293"/>
      <c r="H501" s="293"/>
      <c r="I501" s="293"/>
      <c r="J501" s="293"/>
      <c r="K501" s="293"/>
      <c r="L501" s="293"/>
      <c r="M501" s="293"/>
      <c r="N501" s="293"/>
      <c r="O501" s="293"/>
      <c r="P501" s="293"/>
      <c r="Q501" s="293"/>
      <c r="R501" s="293"/>
      <c r="S501" s="293"/>
      <c r="T501" s="293"/>
      <c r="U501" s="293"/>
      <c r="V501" s="293"/>
      <c r="W501" s="293"/>
      <c r="X501" s="293"/>
      <c r="Y501" s="293"/>
      <c r="Z501" s="293"/>
      <c r="AA501" s="293"/>
      <c r="AB501" s="293"/>
      <c r="AC501" s="293"/>
      <c r="AD501" s="293"/>
    </row>
    <row r="502">
      <c r="A502" s="293"/>
      <c r="B502" s="308"/>
      <c r="C502" s="293"/>
      <c r="D502" s="293"/>
      <c r="E502" s="293"/>
      <c r="F502" s="293"/>
      <c r="G502" s="293"/>
      <c r="H502" s="293"/>
      <c r="I502" s="293"/>
      <c r="J502" s="293"/>
      <c r="K502" s="293"/>
      <c r="L502" s="293"/>
      <c r="M502" s="293"/>
      <c r="N502" s="293"/>
      <c r="O502" s="293"/>
      <c r="P502" s="293"/>
      <c r="Q502" s="293"/>
      <c r="R502" s="293"/>
      <c r="S502" s="293"/>
      <c r="T502" s="293"/>
      <c r="U502" s="293"/>
      <c r="V502" s="293"/>
      <c r="W502" s="293"/>
      <c r="X502" s="293"/>
      <c r="Y502" s="293"/>
      <c r="Z502" s="293"/>
      <c r="AA502" s="293"/>
      <c r="AB502" s="293"/>
      <c r="AC502" s="293"/>
      <c r="AD502" s="293"/>
    </row>
    <row r="503">
      <c r="A503" s="293"/>
      <c r="B503" s="308"/>
      <c r="C503" s="293"/>
      <c r="D503" s="293"/>
      <c r="E503" s="293"/>
      <c r="F503" s="293"/>
      <c r="G503" s="293"/>
      <c r="H503" s="293"/>
      <c r="I503" s="293"/>
      <c r="J503" s="293"/>
      <c r="K503" s="293"/>
      <c r="L503" s="293"/>
      <c r="M503" s="293"/>
      <c r="N503" s="293"/>
      <c r="O503" s="293"/>
      <c r="P503" s="293"/>
      <c r="Q503" s="293"/>
      <c r="R503" s="293"/>
      <c r="S503" s="293"/>
      <c r="T503" s="293"/>
      <c r="U503" s="293"/>
      <c r="V503" s="293"/>
      <c r="W503" s="293"/>
      <c r="X503" s="293"/>
      <c r="Y503" s="293"/>
      <c r="Z503" s="293"/>
      <c r="AA503" s="293"/>
      <c r="AB503" s="293"/>
      <c r="AC503" s="293"/>
      <c r="AD503" s="293"/>
    </row>
    <row r="504">
      <c r="A504" s="293"/>
      <c r="B504" s="308"/>
      <c r="C504" s="293"/>
      <c r="D504" s="293"/>
      <c r="E504" s="293"/>
      <c r="F504" s="293"/>
      <c r="G504" s="293"/>
      <c r="H504" s="293"/>
      <c r="I504" s="293"/>
      <c r="J504" s="293"/>
      <c r="K504" s="293"/>
      <c r="L504" s="293"/>
      <c r="M504" s="293"/>
      <c r="N504" s="293"/>
      <c r="O504" s="293"/>
      <c r="P504" s="293"/>
      <c r="Q504" s="293"/>
      <c r="R504" s="293"/>
      <c r="S504" s="293"/>
      <c r="T504" s="293"/>
      <c r="U504" s="293"/>
      <c r="V504" s="293"/>
      <c r="W504" s="293"/>
      <c r="X504" s="293"/>
      <c r="Y504" s="293"/>
      <c r="Z504" s="293"/>
      <c r="AA504" s="293"/>
      <c r="AB504" s="293"/>
      <c r="AC504" s="293"/>
      <c r="AD504" s="293"/>
    </row>
    <row r="505">
      <c r="A505" s="293"/>
      <c r="B505" s="308"/>
      <c r="C505" s="293"/>
      <c r="D505" s="293"/>
      <c r="E505" s="293"/>
      <c r="F505" s="293"/>
      <c r="G505" s="293"/>
      <c r="H505" s="293"/>
      <c r="I505" s="293"/>
      <c r="J505" s="293"/>
      <c r="K505" s="293"/>
      <c r="L505" s="293"/>
      <c r="M505" s="293"/>
      <c r="N505" s="293"/>
      <c r="O505" s="293"/>
      <c r="P505" s="293"/>
      <c r="Q505" s="293"/>
      <c r="R505" s="293"/>
      <c r="S505" s="293"/>
      <c r="T505" s="293"/>
      <c r="U505" s="293"/>
      <c r="V505" s="293"/>
      <c r="W505" s="293"/>
      <c r="X505" s="293"/>
      <c r="Y505" s="293"/>
      <c r="Z505" s="293"/>
      <c r="AA505" s="293"/>
      <c r="AB505" s="293"/>
      <c r="AC505" s="293"/>
      <c r="AD505" s="293"/>
    </row>
    <row r="506">
      <c r="A506" s="293"/>
      <c r="B506" s="308"/>
      <c r="C506" s="293"/>
      <c r="D506" s="293"/>
      <c r="E506" s="293"/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Q506" s="293"/>
      <c r="R506" s="293"/>
      <c r="S506" s="293"/>
      <c r="T506" s="293"/>
      <c r="U506" s="293"/>
      <c r="V506" s="293"/>
      <c r="W506" s="293"/>
      <c r="X506" s="293"/>
      <c r="Y506" s="293"/>
      <c r="Z506" s="293"/>
      <c r="AA506" s="293"/>
      <c r="AB506" s="293"/>
      <c r="AC506" s="293"/>
      <c r="AD506" s="293"/>
    </row>
    <row r="507">
      <c r="A507" s="293"/>
      <c r="B507" s="308"/>
      <c r="C507" s="293"/>
      <c r="D507" s="293"/>
      <c r="E507" s="293"/>
      <c r="F507" s="293"/>
      <c r="G507" s="293"/>
      <c r="H507" s="293"/>
      <c r="I507" s="293"/>
      <c r="J507" s="293"/>
      <c r="K507" s="293"/>
      <c r="L507" s="293"/>
      <c r="M507" s="293"/>
      <c r="N507" s="293"/>
      <c r="O507" s="293"/>
      <c r="P507" s="293"/>
      <c r="Q507" s="293"/>
      <c r="R507" s="293"/>
      <c r="S507" s="293"/>
      <c r="T507" s="293"/>
      <c r="U507" s="293"/>
      <c r="V507" s="293"/>
      <c r="W507" s="293"/>
      <c r="X507" s="293"/>
      <c r="Y507" s="293"/>
      <c r="Z507" s="293"/>
      <c r="AA507" s="293"/>
      <c r="AB507" s="293"/>
      <c r="AC507" s="293"/>
      <c r="AD507" s="293"/>
    </row>
    <row r="508">
      <c r="A508" s="293"/>
      <c r="B508" s="308"/>
      <c r="C508" s="293"/>
      <c r="D508" s="293"/>
      <c r="E508" s="293"/>
      <c r="F508" s="293"/>
      <c r="G508" s="293"/>
      <c r="H508" s="293"/>
      <c r="I508" s="293"/>
      <c r="J508" s="293"/>
      <c r="K508" s="293"/>
      <c r="L508" s="293"/>
      <c r="M508" s="293"/>
      <c r="N508" s="293"/>
      <c r="O508" s="293"/>
      <c r="P508" s="293"/>
      <c r="Q508" s="293"/>
      <c r="R508" s="293"/>
      <c r="S508" s="293"/>
      <c r="T508" s="293"/>
      <c r="U508" s="293"/>
      <c r="V508" s="293"/>
      <c r="W508" s="293"/>
      <c r="X508" s="293"/>
      <c r="Y508" s="293"/>
      <c r="Z508" s="293"/>
      <c r="AA508" s="293"/>
      <c r="AB508" s="293"/>
      <c r="AC508" s="293"/>
      <c r="AD508" s="293"/>
    </row>
    <row r="509">
      <c r="A509" s="293"/>
      <c r="B509" s="308"/>
      <c r="C509" s="293"/>
      <c r="D509" s="293"/>
      <c r="E509" s="293"/>
      <c r="F509" s="293"/>
      <c r="G509" s="293"/>
      <c r="H509" s="293"/>
      <c r="I509" s="293"/>
      <c r="J509" s="293"/>
      <c r="K509" s="293"/>
      <c r="L509" s="293"/>
      <c r="M509" s="293"/>
      <c r="N509" s="293"/>
      <c r="O509" s="293"/>
      <c r="P509" s="293"/>
      <c r="Q509" s="293"/>
      <c r="R509" s="293"/>
      <c r="S509" s="293"/>
      <c r="T509" s="293"/>
      <c r="U509" s="293"/>
      <c r="V509" s="293"/>
      <c r="W509" s="293"/>
      <c r="X509" s="293"/>
      <c r="Y509" s="293"/>
      <c r="Z509" s="293"/>
      <c r="AA509" s="293"/>
      <c r="AB509" s="293"/>
      <c r="AC509" s="293"/>
      <c r="AD509" s="293"/>
    </row>
    <row r="510">
      <c r="A510" s="293"/>
      <c r="B510" s="308"/>
      <c r="C510" s="293"/>
      <c r="D510" s="293"/>
      <c r="E510" s="293"/>
      <c r="F510" s="293"/>
      <c r="G510" s="293"/>
      <c r="H510" s="293"/>
      <c r="I510" s="293"/>
      <c r="J510" s="293"/>
      <c r="K510" s="293"/>
      <c r="L510" s="293"/>
      <c r="M510" s="293"/>
      <c r="N510" s="293"/>
      <c r="O510" s="293"/>
      <c r="P510" s="293"/>
      <c r="Q510" s="293"/>
      <c r="R510" s="293"/>
      <c r="S510" s="293"/>
      <c r="T510" s="293"/>
      <c r="U510" s="293"/>
      <c r="V510" s="293"/>
      <c r="W510" s="293"/>
      <c r="X510" s="293"/>
      <c r="Y510" s="293"/>
      <c r="Z510" s="293"/>
      <c r="AA510" s="293"/>
      <c r="AB510" s="293"/>
      <c r="AC510" s="293"/>
      <c r="AD510" s="293"/>
    </row>
    <row r="511">
      <c r="A511" s="293"/>
      <c r="B511" s="308"/>
      <c r="C511" s="293"/>
      <c r="D511" s="293"/>
      <c r="E511" s="293"/>
      <c r="F511" s="293"/>
      <c r="G511" s="293"/>
      <c r="H511" s="293"/>
      <c r="I511" s="293"/>
      <c r="J511" s="293"/>
      <c r="K511" s="293"/>
      <c r="L511" s="293"/>
      <c r="M511" s="293"/>
      <c r="N511" s="293"/>
      <c r="O511" s="293"/>
      <c r="P511" s="293"/>
      <c r="Q511" s="293"/>
      <c r="R511" s="293"/>
      <c r="S511" s="293"/>
      <c r="T511" s="293"/>
      <c r="U511" s="293"/>
      <c r="V511" s="293"/>
      <c r="W511" s="293"/>
      <c r="X511" s="293"/>
      <c r="Y511" s="293"/>
      <c r="Z511" s="293"/>
      <c r="AA511" s="293"/>
      <c r="AB511" s="293"/>
      <c r="AC511" s="293"/>
      <c r="AD511" s="293"/>
    </row>
    <row r="512">
      <c r="A512" s="293"/>
      <c r="B512" s="308"/>
      <c r="C512" s="293"/>
      <c r="D512" s="293"/>
      <c r="E512" s="293"/>
      <c r="F512" s="293"/>
      <c r="G512" s="293"/>
      <c r="H512" s="293"/>
      <c r="I512" s="293"/>
      <c r="J512" s="293"/>
      <c r="K512" s="293"/>
      <c r="L512" s="293"/>
      <c r="M512" s="293"/>
      <c r="N512" s="293"/>
      <c r="O512" s="293"/>
      <c r="P512" s="293"/>
      <c r="Q512" s="293"/>
      <c r="R512" s="293"/>
      <c r="S512" s="293"/>
      <c r="T512" s="293"/>
      <c r="U512" s="293"/>
      <c r="V512" s="293"/>
      <c r="W512" s="293"/>
      <c r="X512" s="293"/>
      <c r="Y512" s="293"/>
      <c r="Z512" s="293"/>
      <c r="AA512" s="293"/>
      <c r="AB512" s="293"/>
      <c r="AC512" s="293"/>
      <c r="AD512" s="293"/>
    </row>
    <row r="513">
      <c r="A513" s="293"/>
      <c r="B513" s="308"/>
      <c r="C513" s="293"/>
      <c r="D513" s="293"/>
      <c r="E513" s="293"/>
      <c r="F513" s="293"/>
      <c r="G513" s="293"/>
      <c r="H513" s="293"/>
      <c r="I513" s="293"/>
      <c r="J513" s="293"/>
      <c r="K513" s="293"/>
      <c r="L513" s="293"/>
      <c r="M513" s="293"/>
      <c r="N513" s="293"/>
      <c r="O513" s="293"/>
      <c r="P513" s="293"/>
      <c r="Q513" s="293"/>
      <c r="R513" s="293"/>
      <c r="S513" s="293"/>
      <c r="T513" s="293"/>
      <c r="U513" s="293"/>
      <c r="V513" s="293"/>
      <c r="W513" s="293"/>
      <c r="X513" s="293"/>
      <c r="Y513" s="293"/>
      <c r="Z513" s="293"/>
      <c r="AA513" s="293"/>
      <c r="AB513" s="293"/>
      <c r="AC513" s="293"/>
      <c r="AD513" s="293"/>
    </row>
    <row r="514">
      <c r="A514" s="293"/>
      <c r="B514" s="308"/>
      <c r="C514" s="293"/>
      <c r="D514" s="293"/>
      <c r="E514" s="293"/>
      <c r="F514" s="293"/>
      <c r="G514" s="293"/>
      <c r="H514" s="293"/>
      <c r="I514" s="293"/>
      <c r="J514" s="293"/>
      <c r="K514" s="293"/>
      <c r="L514" s="293"/>
      <c r="M514" s="293"/>
      <c r="N514" s="293"/>
      <c r="O514" s="293"/>
      <c r="P514" s="293"/>
      <c r="Q514" s="293"/>
      <c r="R514" s="293"/>
      <c r="S514" s="293"/>
      <c r="T514" s="293"/>
      <c r="U514" s="293"/>
      <c r="V514" s="293"/>
      <c r="W514" s="293"/>
      <c r="X514" s="293"/>
      <c r="Y514" s="293"/>
      <c r="Z514" s="293"/>
      <c r="AA514" s="293"/>
      <c r="AB514" s="293"/>
      <c r="AC514" s="293"/>
      <c r="AD514" s="293"/>
    </row>
    <row r="515">
      <c r="A515" s="293"/>
      <c r="B515" s="308"/>
      <c r="C515" s="293"/>
      <c r="D515" s="293"/>
      <c r="E515" s="293"/>
      <c r="F515" s="293"/>
      <c r="G515" s="293"/>
      <c r="H515" s="293"/>
      <c r="I515" s="293"/>
      <c r="J515" s="293"/>
      <c r="K515" s="293"/>
      <c r="L515" s="293"/>
      <c r="M515" s="293"/>
      <c r="N515" s="293"/>
      <c r="O515" s="293"/>
      <c r="P515" s="293"/>
      <c r="Q515" s="293"/>
      <c r="R515" s="293"/>
      <c r="S515" s="293"/>
      <c r="T515" s="293"/>
      <c r="U515" s="293"/>
      <c r="V515" s="293"/>
      <c r="W515" s="293"/>
      <c r="X515" s="293"/>
      <c r="Y515" s="293"/>
      <c r="Z515" s="293"/>
      <c r="AA515" s="293"/>
      <c r="AB515" s="293"/>
      <c r="AC515" s="293"/>
      <c r="AD515" s="293"/>
    </row>
    <row r="516">
      <c r="A516" s="293"/>
      <c r="B516" s="308"/>
      <c r="C516" s="293"/>
      <c r="D516" s="293"/>
      <c r="E516" s="293"/>
      <c r="F516" s="293"/>
      <c r="G516" s="293"/>
      <c r="H516" s="293"/>
      <c r="I516" s="293"/>
      <c r="J516" s="293"/>
      <c r="K516" s="293"/>
      <c r="L516" s="293"/>
      <c r="M516" s="293"/>
      <c r="N516" s="293"/>
      <c r="O516" s="293"/>
      <c r="P516" s="293"/>
      <c r="Q516" s="293"/>
      <c r="R516" s="293"/>
      <c r="S516" s="293"/>
      <c r="T516" s="293"/>
      <c r="U516" s="293"/>
      <c r="V516" s="293"/>
      <c r="W516" s="293"/>
      <c r="X516" s="293"/>
      <c r="Y516" s="293"/>
      <c r="Z516" s="293"/>
      <c r="AA516" s="293"/>
      <c r="AB516" s="293"/>
      <c r="AC516" s="293"/>
      <c r="AD516" s="293"/>
    </row>
    <row r="517">
      <c r="A517" s="293"/>
      <c r="B517" s="308"/>
      <c r="C517" s="293"/>
      <c r="D517" s="293"/>
      <c r="E517" s="293"/>
      <c r="F517" s="293"/>
      <c r="G517" s="293"/>
      <c r="H517" s="293"/>
      <c r="I517" s="293"/>
      <c r="J517" s="293"/>
      <c r="K517" s="293"/>
      <c r="L517" s="293"/>
      <c r="M517" s="293"/>
      <c r="N517" s="293"/>
      <c r="O517" s="293"/>
      <c r="P517" s="293"/>
      <c r="Q517" s="293"/>
      <c r="R517" s="293"/>
      <c r="S517" s="293"/>
      <c r="T517" s="293"/>
      <c r="U517" s="293"/>
      <c r="V517" s="293"/>
      <c r="W517" s="293"/>
      <c r="X517" s="293"/>
      <c r="Y517" s="293"/>
      <c r="Z517" s="293"/>
      <c r="AA517" s="293"/>
      <c r="AB517" s="293"/>
      <c r="AC517" s="293"/>
      <c r="AD517" s="293"/>
    </row>
    <row r="518">
      <c r="A518" s="293"/>
      <c r="B518" s="308"/>
      <c r="C518" s="293"/>
      <c r="D518" s="293"/>
      <c r="E518" s="293"/>
      <c r="F518" s="293"/>
      <c r="G518" s="293"/>
      <c r="H518" s="293"/>
      <c r="I518" s="293"/>
      <c r="J518" s="293"/>
      <c r="K518" s="293"/>
      <c r="L518" s="293"/>
      <c r="M518" s="293"/>
      <c r="N518" s="293"/>
      <c r="O518" s="293"/>
      <c r="P518" s="293"/>
      <c r="Q518" s="293"/>
      <c r="R518" s="293"/>
      <c r="S518" s="293"/>
      <c r="T518" s="293"/>
      <c r="U518" s="293"/>
      <c r="V518" s="293"/>
      <c r="W518" s="293"/>
      <c r="X518" s="293"/>
      <c r="Y518" s="293"/>
      <c r="Z518" s="293"/>
      <c r="AA518" s="293"/>
      <c r="AB518" s="293"/>
      <c r="AC518" s="293"/>
      <c r="AD518" s="293"/>
    </row>
    <row r="519">
      <c r="A519" s="293"/>
      <c r="B519" s="308"/>
      <c r="C519" s="293"/>
      <c r="D519" s="293"/>
      <c r="E519" s="293"/>
      <c r="F519" s="293"/>
      <c r="G519" s="293"/>
      <c r="H519" s="293"/>
      <c r="I519" s="293"/>
      <c r="J519" s="293"/>
      <c r="K519" s="293"/>
      <c r="L519" s="293"/>
      <c r="M519" s="293"/>
      <c r="N519" s="293"/>
      <c r="O519" s="293"/>
      <c r="P519" s="293"/>
      <c r="Q519" s="293"/>
      <c r="R519" s="293"/>
      <c r="S519" s="293"/>
      <c r="T519" s="293"/>
      <c r="U519" s="293"/>
      <c r="V519" s="293"/>
      <c r="W519" s="293"/>
      <c r="X519" s="293"/>
      <c r="Y519" s="293"/>
      <c r="Z519" s="293"/>
      <c r="AA519" s="293"/>
      <c r="AB519" s="293"/>
      <c r="AC519" s="293"/>
      <c r="AD519" s="293"/>
    </row>
    <row r="520">
      <c r="A520" s="293"/>
      <c r="B520" s="308"/>
      <c r="C520" s="293"/>
      <c r="D520" s="293"/>
      <c r="E520" s="293"/>
      <c r="F520" s="293"/>
      <c r="G520" s="293"/>
      <c r="H520" s="293"/>
      <c r="I520" s="293"/>
      <c r="J520" s="293"/>
      <c r="K520" s="293"/>
      <c r="L520" s="293"/>
      <c r="M520" s="293"/>
      <c r="N520" s="293"/>
      <c r="O520" s="293"/>
      <c r="P520" s="293"/>
      <c r="Q520" s="293"/>
      <c r="R520" s="293"/>
      <c r="S520" s="293"/>
      <c r="T520" s="293"/>
      <c r="U520" s="293"/>
      <c r="V520" s="293"/>
      <c r="W520" s="293"/>
      <c r="X520" s="293"/>
      <c r="Y520" s="293"/>
      <c r="Z520" s="293"/>
      <c r="AA520" s="293"/>
      <c r="AB520" s="293"/>
      <c r="AC520" s="293"/>
      <c r="AD520" s="293"/>
    </row>
    <row r="521">
      <c r="A521" s="293"/>
      <c r="B521" s="308"/>
      <c r="C521" s="293"/>
      <c r="D521" s="293"/>
      <c r="E521" s="293"/>
      <c r="F521" s="293"/>
      <c r="G521" s="293"/>
      <c r="H521" s="293"/>
      <c r="I521" s="293"/>
      <c r="J521" s="293"/>
      <c r="K521" s="293"/>
      <c r="L521" s="293"/>
      <c r="M521" s="293"/>
      <c r="N521" s="293"/>
      <c r="O521" s="293"/>
      <c r="P521" s="293"/>
      <c r="Q521" s="293"/>
      <c r="R521" s="293"/>
      <c r="S521" s="293"/>
      <c r="T521" s="293"/>
      <c r="U521" s="293"/>
      <c r="V521" s="293"/>
      <c r="W521" s="293"/>
      <c r="X521" s="293"/>
      <c r="Y521" s="293"/>
      <c r="Z521" s="293"/>
      <c r="AA521" s="293"/>
      <c r="AB521" s="293"/>
      <c r="AC521" s="293"/>
      <c r="AD521" s="293"/>
    </row>
    <row r="522">
      <c r="A522" s="293"/>
      <c r="B522" s="308"/>
      <c r="C522" s="293"/>
      <c r="D522" s="293"/>
      <c r="E522" s="293"/>
      <c r="F522" s="293"/>
      <c r="G522" s="293"/>
      <c r="H522" s="293"/>
      <c r="I522" s="293"/>
      <c r="J522" s="293"/>
      <c r="K522" s="293"/>
      <c r="L522" s="293"/>
      <c r="M522" s="293"/>
      <c r="N522" s="293"/>
      <c r="O522" s="293"/>
      <c r="P522" s="293"/>
      <c r="Q522" s="293"/>
      <c r="R522" s="293"/>
      <c r="S522" s="293"/>
      <c r="T522" s="293"/>
      <c r="U522" s="293"/>
      <c r="V522" s="293"/>
      <c r="W522" s="293"/>
      <c r="X522" s="293"/>
      <c r="Y522" s="293"/>
      <c r="Z522" s="293"/>
      <c r="AA522" s="293"/>
      <c r="AB522" s="293"/>
      <c r="AC522" s="293"/>
      <c r="AD522" s="293"/>
    </row>
    <row r="523">
      <c r="A523" s="293"/>
      <c r="B523" s="308"/>
      <c r="C523" s="293"/>
      <c r="D523" s="293"/>
      <c r="E523" s="293"/>
      <c r="F523" s="293"/>
      <c r="G523" s="293"/>
      <c r="H523" s="293"/>
      <c r="I523" s="293"/>
      <c r="J523" s="293"/>
      <c r="K523" s="293"/>
      <c r="L523" s="293"/>
      <c r="M523" s="293"/>
      <c r="N523" s="293"/>
      <c r="O523" s="293"/>
      <c r="P523" s="293"/>
      <c r="Q523" s="293"/>
      <c r="R523" s="293"/>
      <c r="S523" s="293"/>
      <c r="T523" s="293"/>
      <c r="U523" s="293"/>
      <c r="V523" s="293"/>
      <c r="W523" s="293"/>
      <c r="X523" s="293"/>
      <c r="Y523" s="293"/>
      <c r="Z523" s="293"/>
      <c r="AA523" s="293"/>
      <c r="AB523" s="293"/>
      <c r="AC523" s="293"/>
      <c r="AD523" s="293"/>
    </row>
    <row r="524">
      <c r="A524" s="293"/>
      <c r="B524" s="308"/>
      <c r="C524" s="293"/>
      <c r="D524" s="293"/>
      <c r="E524" s="293"/>
      <c r="F524" s="293"/>
      <c r="G524" s="293"/>
      <c r="H524" s="293"/>
      <c r="I524" s="293"/>
      <c r="J524" s="293"/>
      <c r="K524" s="293"/>
      <c r="L524" s="293"/>
      <c r="M524" s="293"/>
      <c r="N524" s="293"/>
      <c r="O524" s="293"/>
      <c r="P524" s="293"/>
      <c r="Q524" s="293"/>
      <c r="R524" s="293"/>
      <c r="S524" s="293"/>
      <c r="T524" s="293"/>
      <c r="U524" s="293"/>
      <c r="V524" s="293"/>
      <c r="W524" s="293"/>
      <c r="X524" s="293"/>
      <c r="Y524" s="293"/>
      <c r="Z524" s="293"/>
      <c r="AA524" s="293"/>
      <c r="AB524" s="293"/>
      <c r="AC524" s="293"/>
      <c r="AD524" s="293"/>
    </row>
    <row r="525">
      <c r="A525" s="293"/>
      <c r="B525" s="308"/>
      <c r="C525" s="293"/>
      <c r="D525" s="293"/>
      <c r="E525" s="293"/>
      <c r="F525" s="293"/>
      <c r="G525" s="293"/>
      <c r="H525" s="293"/>
      <c r="I525" s="293"/>
      <c r="J525" s="293"/>
      <c r="K525" s="293"/>
      <c r="L525" s="293"/>
      <c r="M525" s="293"/>
      <c r="N525" s="293"/>
      <c r="O525" s="293"/>
      <c r="P525" s="293"/>
      <c r="Q525" s="293"/>
      <c r="R525" s="293"/>
      <c r="S525" s="293"/>
      <c r="T525" s="293"/>
      <c r="U525" s="293"/>
      <c r="V525" s="293"/>
      <c r="W525" s="293"/>
      <c r="X525" s="293"/>
      <c r="Y525" s="293"/>
      <c r="Z525" s="293"/>
      <c r="AA525" s="293"/>
      <c r="AB525" s="293"/>
      <c r="AC525" s="293"/>
      <c r="AD525" s="293"/>
    </row>
    <row r="526">
      <c r="A526" s="293"/>
      <c r="B526" s="308"/>
      <c r="C526" s="293"/>
      <c r="D526" s="293"/>
      <c r="E526" s="293"/>
      <c r="F526" s="293"/>
      <c r="G526" s="293"/>
      <c r="H526" s="293"/>
      <c r="I526" s="293"/>
      <c r="J526" s="293"/>
      <c r="K526" s="293"/>
      <c r="L526" s="293"/>
      <c r="M526" s="293"/>
      <c r="N526" s="293"/>
      <c r="O526" s="293"/>
      <c r="P526" s="293"/>
      <c r="Q526" s="293"/>
      <c r="R526" s="293"/>
      <c r="S526" s="293"/>
      <c r="T526" s="293"/>
      <c r="U526" s="293"/>
      <c r="V526" s="293"/>
      <c r="W526" s="293"/>
      <c r="X526" s="293"/>
      <c r="Y526" s="293"/>
      <c r="Z526" s="293"/>
      <c r="AA526" s="293"/>
      <c r="AB526" s="293"/>
      <c r="AC526" s="293"/>
      <c r="AD526" s="293"/>
    </row>
    <row r="527">
      <c r="A527" s="293"/>
      <c r="B527" s="308"/>
      <c r="C527" s="293"/>
      <c r="D527" s="293"/>
      <c r="E527" s="293"/>
      <c r="F527" s="293"/>
      <c r="G527" s="293"/>
      <c r="H527" s="293"/>
      <c r="I527" s="293"/>
      <c r="J527" s="293"/>
      <c r="K527" s="293"/>
      <c r="L527" s="293"/>
      <c r="M527" s="293"/>
      <c r="N527" s="293"/>
      <c r="O527" s="293"/>
      <c r="P527" s="293"/>
      <c r="Q527" s="293"/>
      <c r="R527" s="293"/>
      <c r="S527" s="293"/>
      <c r="T527" s="293"/>
      <c r="U527" s="293"/>
      <c r="V527" s="293"/>
      <c r="W527" s="293"/>
      <c r="X527" s="293"/>
      <c r="Y527" s="293"/>
      <c r="Z527" s="293"/>
      <c r="AA527" s="293"/>
      <c r="AB527" s="293"/>
      <c r="AC527" s="293"/>
      <c r="AD527" s="293"/>
    </row>
    <row r="528">
      <c r="A528" s="293"/>
      <c r="B528" s="308"/>
      <c r="C528" s="293"/>
      <c r="D528" s="293"/>
      <c r="E528" s="293"/>
      <c r="F528" s="293"/>
      <c r="G528" s="293"/>
      <c r="H528" s="293"/>
      <c r="I528" s="293"/>
      <c r="J528" s="293"/>
      <c r="K528" s="293"/>
      <c r="L528" s="293"/>
      <c r="M528" s="293"/>
      <c r="N528" s="293"/>
      <c r="O528" s="293"/>
      <c r="P528" s="293"/>
      <c r="Q528" s="293"/>
      <c r="R528" s="293"/>
      <c r="S528" s="293"/>
      <c r="T528" s="293"/>
      <c r="U528" s="293"/>
      <c r="V528" s="293"/>
      <c r="W528" s="293"/>
      <c r="X528" s="293"/>
      <c r="Y528" s="293"/>
      <c r="Z528" s="293"/>
      <c r="AA528" s="293"/>
      <c r="AB528" s="293"/>
      <c r="AC528" s="293"/>
      <c r="AD528" s="293"/>
    </row>
    <row r="529">
      <c r="A529" s="293"/>
      <c r="B529" s="308"/>
      <c r="C529" s="293"/>
      <c r="D529" s="293"/>
      <c r="E529" s="293"/>
      <c r="F529" s="293"/>
      <c r="G529" s="293"/>
      <c r="H529" s="293"/>
      <c r="I529" s="293"/>
      <c r="J529" s="293"/>
      <c r="K529" s="293"/>
      <c r="L529" s="293"/>
      <c r="M529" s="293"/>
      <c r="N529" s="293"/>
      <c r="O529" s="293"/>
      <c r="P529" s="293"/>
      <c r="Q529" s="293"/>
      <c r="R529" s="293"/>
      <c r="S529" s="293"/>
      <c r="T529" s="293"/>
      <c r="U529" s="293"/>
      <c r="V529" s="293"/>
      <c r="W529" s="293"/>
      <c r="X529" s="293"/>
      <c r="Y529" s="293"/>
      <c r="Z529" s="293"/>
      <c r="AA529" s="293"/>
      <c r="AB529" s="293"/>
      <c r="AC529" s="293"/>
      <c r="AD529" s="293"/>
    </row>
    <row r="530">
      <c r="A530" s="293"/>
      <c r="B530" s="308"/>
      <c r="C530" s="293"/>
      <c r="D530" s="293"/>
      <c r="E530" s="293"/>
      <c r="F530" s="293"/>
      <c r="G530" s="293"/>
      <c r="H530" s="293"/>
      <c r="I530" s="293"/>
      <c r="J530" s="293"/>
      <c r="K530" s="293"/>
      <c r="L530" s="293"/>
      <c r="M530" s="293"/>
      <c r="N530" s="293"/>
      <c r="O530" s="293"/>
      <c r="P530" s="293"/>
      <c r="Q530" s="293"/>
      <c r="R530" s="293"/>
      <c r="S530" s="293"/>
      <c r="T530" s="293"/>
      <c r="U530" s="293"/>
      <c r="V530" s="293"/>
      <c r="W530" s="293"/>
      <c r="X530" s="293"/>
      <c r="Y530" s="293"/>
      <c r="Z530" s="293"/>
      <c r="AA530" s="293"/>
      <c r="AB530" s="293"/>
      <c r="AC530" s="293"/>
      <c r="AD530" s="293"/>
    </row>
    <row r="531">
      <c r="A531" s="293"/>
      <c r="B531" s="308"/>
      <c r="C531" s="293"/>
      <c r="D531" s="293"/>
      <c r="E531" s="293"/>
      <c r="F531" s="293"/>
      <c r="G531" s="293"/>
      <c r="H531" s="293"/>
      <c r="I531" s="293"/>
      <c r="J531" s="293"/>
      <c r="K531" s="293"/>
      <c r="L531" s="293"/>
      <c r="M531" s="293"/>
      <c r="N531" s="293"/>
      <c r="O531" s="293"/>
      <c r="P531" s="293"/>
      <c r="Q531" s="293"/>
      <c r="R531" s="293"/>
      <c r="S531" s="293"/>
      <c r="T531" s="293"/>
      <c r="U531" s="293"/>
      <c r="V531" s="293"/>
      <c r="W531" s="293"/>
      <c r="X531" s="293"/>
      <c r="Y531" s="293"/>
      <c r="Z531" s="293"/>
      <c r="AA531" s="293"/>
      <c r="AB531" s="293"/>
      <c r="AC531" s="293"/>
      <c r="AD531" s="293"/>
    </row>
    <row r="532">
      <c r="A532" s="293"/>
      <c r="B532" s="308"/>
      <c r="C532" s="293"/>
      <c r="D532" s="293"/>
      <c r="E532" s="293"/>
      <c r="F532" s="293"/>
      <c r="G532" s="293"/>
      <c r="H532" s="293"/>
      <c r="I532" s="293"/>
      <c r="J532" s="293"/>
      <c r="K532" s="293"/>
      <c r="L532" s="293"/>
      <c r="M532" s="293"/>
      <c r="N532" s="293"/>
      <c r="O532" s="293"/>
      <c r="P532" s="293"/>
      <c r="Q532" s="293"/>
      <c r="R532" s="293"/>
      <c r="S532" s="293"/>
      <c r="T532" s="293"/>
      <c r="U532" s="293"/>
      <c r="V532" s="293"/>
      <c r="W532" s="293"/>
      <c r="X532" s="293"/>
      <c r="Y532" s="293"/>
      <c r="Z532" s="293"/>
      <c r="AA532" s="293"/>
      <c r="AB532" s="293"/>
      <c r="AC532" s="293"/>
      <c r="AD532" s="293"/>
    </row>
    <row r="533">
      <c r="A533" s="293"/>
      <c r="B533" s="308"/>
      <c r="C533" s="293"/>
      <c r="D533" s="293"/>
      <c r="E533" s="293"/>
      <c r="F533" s="293"/>
      <c r="G533" s="293"/>
      <c r="H533" s="293"/>
      <c r="I533" s="293"/>
      <c r="J533" s="293"/>
      <c r="K533" s="293"/>
      <c r="L533" s="293"/>
      <c r="M533" s="293"/>
      <c r="N533" s="293"/>
      <c r="O533" s="293"/>
      <c r="P533" s="293"/>
      <c r="Q533" s="293"/>
      <c r="R533" s="293"/>
      <c r="S533" s="293"/>
      <c r="T533" s="293"/>
      <c r="U533" s="293"/>
      <c r="V533" s="293"/>
      <c r="W533" s="293"/>
      <c r="X533" s="293"/>
      <c r="Y533" s="293"/>
      <c r="Z533" s="293"/>
      <c r="AA533" s="293"/>
      <c r="AB533" s="293"/>
      <c r="AC533" s="293"/>
      <c r="AD533" s="293"/>
    </row>
    <row r="534">
      <c r="A534" s="293"/>
      <c r="B534" s="308"/>
      <c r="C534" s="293"/>
      <c r="D534" s="293"/>
      <c r="E534" s="293"/>
      <c r="F534" s="293"/>
      <c r="G534" s="293"/>
      <c r="H534" s="293"/>
      <c r="I534" s="293"/>
      <c r="J534" s="293"/>
      <c r="K534" s="293"/>
      <c r="L534" s="293"/>
      <c r="M534" s="293"/>
      <c r="N534" s="293"/>
      <c r="O534" s="293"/>
      <c r="P534" s="293"/>
      <c r="Q534" s="293"/>
      <c r="R534" s="293"/>
      <c r="S534" s="293"/>
      <c r="T534" s="293"/>
      <c r="U534" s="293"/>
      <c r="V534" s="293"/>
      <c r="W534" s="293"/>
      <c r="X534" s="293"/>
      <c r="Y534" s="293"/>
      <c r="Z534" s="293"/>
      <c r="AA534" s="293"/>
      <c r="AB534" s="293"/>
      <c r="AC534" s="293"/>
      <c r="AD534" s="293"/>
    </row>
    <row r="535">
      <c r="A535" s="293"/>
      <c r="B535" s="308"/>
      <c r="C535" s="293"/>
      <c r="D535" s="293"/>
      <c r="E535" s="293"/>
      <c r="F535" s="293"/>
      <c r="G535" s="293"/>
      <c r="H535" s="293"/>
      <c r="I535" s="293"/>
      <c r="J535" s="293"/>
      <c r="K535" s="293"/>
      <c r="L535" s="293"/>
      <c r="M535" s="293"/>
      <c r="N535" s="293"/>
      <c r="O535" s="293"/>
      <c r="P535" s="293"/>
      <c r="Q535" s="293"/>
      <c r="R535" s="293"/>
      <c r="S535" s="293"/>
      <c r="T535" s="293"/>
      <c r="U535" s="293"/>
      <c r="V535" s="293"/>
      <c r="W535" s="293"/>
      <c r="X535" s="293"/>
      <c r="Y535" s="293"/>
      <c r="Z535" s="293"/>
      <c r="AA535" s="293"/>
      <c r="AB535" s="293"/>
      <c r="AC535" s="293"/>
      <c r="AD535" s="293"/>
    </row>
    <row r="536">
      <c r="A536" s="293"/>
      <c r="B536" s="308"/>
      <c r="C536" s="293"/>
      <c r="D536" s="293"/>
      <c r="E536" s="293"/>
      <c r="F536" s="293"/>
      <c r="G536" s="293"/>
      <c r="H536" s="293"/>
      <c r="I536" s="293"/>
      <c r="J536" s="293"/>
      <c r="K536" s="293"/>
      <c r="L536" s="293"/>
      <c r="M536" s="293"/>
      <c r="N536" s="293"/>
      <c r="O536" s="293"/>
      <c r="P536" s="293"/>
      <c r="Q536" s="293"/>
      <c r="R536" s="293"/>
      <c r="S536" s="293"/>
      <c r="T536" s="293"/>
      <c r="U536" s="293"/>
      <c r="V536" s="293"/>
      <c r="W536" s="293"/>
      <c r="X536" s="293"/>
      <c r="Y536" s="293"/>
      <c r="Z536" s="293"/>
      <c r="AA536" s="293"/>
      <c r="AB536" s="293"/>
      <c r="AC536" s="293"/>
      <c r="AD536" s="293"/>
    </row>
    <row r="537">
      <c r="A537" s="293"/>
      <c r="B537" s="308"/>
      <c r="C537" s="293"/>
      <c r="D537" s="293"/>
      <c r="E537" s="293"/>
      <c r="F537" s="293"/>
      <c r="G537" s="293"/>
      <c r="H537" s="293"/>
      <c r="I537" s="293"/>
      <c r="J537" s="293"/>
      <c r="K537" s="293"/>
      <c r="L537" s="293"/>
      <c r="M537" s="293"/>
      <c r="N537" s="293"/>
      <c r="O537" s="293"/>
      <c r="P537" s="293"/>
      <c r="Q537" s="293"/>
      <c r="R537" s="293"/>
      <c r="S537" s="293"/>
      <c r="T537" s="293"/>
      <c r="U537" s="293"/>
      <c r="V537" s="293"/>
      <c r="W537" s="293"/>
      <c r="X537" s="293"/>
      <c r="Y537" s="293"/>
      <c r="Z537" s="293"/>
      <c r="AA537" s="293"/>
      <c r="AB537" s="293"/>
      <c r="AC537" s="293"/>
      <c r="AD537" s="293"/>
    </row>
    <row r="538">
      <c r="A538" s="293"/>
      <c r="B538" s="308"/>
      <c r="C538" s="293"/>
      <c r="D538" s="293"/>
      <c r="E538" s="293"/>
      <c r="F538" s="293"/>
      <c r="G538" s="293"/>
      <c r="H538" s="293"/>
      <c r="I538" s="293"/>
      <c r="J538" s="293"/>
      <c r="K538" s="293"/>
      <c r="L538" s="293"/>
      <c r="M538" s="293"/>
      <c r="N538" s="293"/>
      <c r="O538" s="293"/>
      <c r="P538" s="293"/>
      <c r="Q538" s="293"/>
      <c r="R538" s="293"/>
      <c r="S538" s="293"/>
      <c r="T538" s="293"/>
      <c r="U538" s="293"/>
      <c r="V538" s="293"/>
      <c r="W538" s="293"/>
      <c r="X538" s="293"/>
      <c r="Y538" s="293"/>
      <c r="Z538" s="293"/>
      <c r="AA538" s="293"/>
      <c r="AB538" s="293"/>
      <c r="AC538" s="293"/>
      <c r="AD538" s="293"/>
    </row>
    <row r="539">
      <c r="A539" s="293"/>
      <c r="B539" s="308"/>
      <c r="C539" s="293"/>
      <c r="D539" s="293"/>
      <c r="E539" s="293"/>
      <c r="F539" s="293"/>
      <c r="G539" s="293"/>
      <c r="H539" s="293"/>
      <c r="I539" s="293"/>
      <c r="J539" s="293"/>
      <c r="K539" s="293"/>
      <c r="L539" s="293"/>
      <c r="M539" s="293"/>
      <c r="N539" s="293"/>
      <c r="O539" s="293"/>
      <c r="P539" s="293"/>
      <c r="Q539" s="293"/>
      <c r="R539" s="293"/>
      <c r="S539" s="293"/>
      <c r="T539" s="293"/>
      <c r="U539" s="293"/>
      <c r="V539" s="293"/>
      <c r="W539" s="293"/>
      <c r="X539" s="293"/>
      <c r="Y539" s="293"/>
      <c r="Z539" s="293"/>
      <c r="AA539" s="293"/>
      <c r="AB539" s="293"/>
      <c r="AC539" s="293"/>
      <c r="AD539" s="293"/>
    </row>
    <row r="540">
      <c r="A540" s="293"/>
      <c r="B540" s="308"/>
      <c r="C540" s="293"/>
      <c r="D540" s="293"/>
      <c r="E540" s="293"/>
      <c r="F540" s="293"/>
      <c r="G540" s="293"/>
      <c r="H540" s="293"/>
      <c r="I540" s="293"/>
      <c r="J540" s="293"/>
      <c r="K540" s="293"/>
      <c r="L540" s="293"/>
      <c r="M540" s="293"/>
      <c r="N540" s="293"/>
      <c r="O540" s="293"/>
      <c r="P540" s="293"/>
      <c r="Q540" s="293"/>
      <c r="R540" s="293"/>
      <c r="S540" s="293"/>
      <c r="T540" s="293"/>
      <c r="U540" s="293"/>
      <c r="V540" s="293"/>
      <c r="W540" s="293"/>
      <c r="X540" s="293"/>
      <c r="Y540" s="293"/>
      <c r="Z540" s="293"/>
      <c r="AA540" s="293"/>
      <c r="AB540" s="293"/>
      <c r="AC540" s="293"/>
      <c r="AD540" s="293"/>
    </row>
    <row r="541">
      <c r="A541" s="293"/>
      <c r="B541" s="308"/>
      <c r="C541" s="293"/>
      <c r="D541" s="293"/>
      <c r="E541" s="293"/>
      <c r="F541" s="293"/>
      <c r="G541" s="293"/>
      <c r="H541" s="293"/>
      <c r="I541" s="293"/>
      <c r="J541" s="293"/>
      <c r="K541" s="293"/>
      <c r="L541" s="293"/>
      <c r="M541" s="293"/>
      <c r="N541" s="293"/>
      <c r="O541" s="293"/>
      <c r="P541" s="293"/>
      <c r="Q541" s="293"/>
      <c r="R541" s="293"/>
      <c r="S541" s="293"/>
      <c r="T541" s="293"/>
      <c r="U541" s="293"/>
      <c r="V541" s="293"/>
      <c r="W541" s="293"/>
      <c r="X541" s="293"/>
      <c r="Y541" s="293"/>
      <c r="Z541" s="293"/>
      <c r="AA541" s="293"/>
      <c r="AB541" s="293"/>
      <c r="AC541" s="293"/>
      <c r="AD541" s="293"/>
    </row>
    <row r="542">
      <c r="A542" s="293"/>
      <c r="B542" s="308"/>
      <c r="C542" s="293"/>
      <c r="D542" s="293"/>
      <c r="E542" s="293"/>
      <c r="F542" s="293"/>
      <c r="G542" s="293"/>
      <c r="H542" s="293"/>
      <c r="I542" s="293"/>
      <c r="J542" s="293"/>
      <c r="K542" s="293"/>
      <c r="L542" s="293"/>
      <c r="M542" s="293"/>
      <c r="N542" s="293"/>
      <c r="O542" s="293"/>
      <c r="P542" s="293"/>
      <c r="Q542" s="293"/>
      <c r="R542" s="293"/>
      <c r="S542" s="293"/>
      <c r="T542" s="293"/>
      <c r="U542" s="293"/>
      <c r="V542" s="293"/>
      <c r="W542" s="293"/>
      <c r="X542" s="293"/>
      <c r="Y542" s="293"/>
      <c r="Z542" s="293"/>
      <c r="AA542" s="293"/>
      <c r="AB542" s="293"/>
      <c r="AC542" s="293"/>
      <c r="AD542" s="293"/>
    </row>
    <row r="543">
      <c r="A543" s="293"/>
      <c r="B543" s="308"/>
      <c r="C543" s="293"/>
      <c r="D543" s="293"/>
      <c r="E543" s="293"/>
      <c r="F543" s="293"/>
      <c r="G543" s="293"/>
      <c r="H543" s="293"/>
      <c r="I543" s="293"/>
      <c r="J543" s="293"/>
      <c r="K543" s="293"/>
      <c r="L543" s="293"/>
      <c r="M543" s="293"/>
      <c r="N543" s="293"/>
      <c r="O543" s="293"/>
      <c r="P543" s="293"/>
      <c r="Q543" s="293"/>
      <c r="R543" s="293"/>
      <c r="S543" s="293"/>
      <c r="T543" s="293"/>
      <c r="U543" s="293"/>
      <c r="V543" s="293"/>
      <c r="W543" s="293"/>
      <c r="X543" s="293"/>
      <c r="Y543" s="293"/>
      <c r="Z543" s="293"/>
      <c r="AA543" s="293"/>
      <c r="AB543" s="293"/>
      <c r="AC543" s="293"/>
      <c r="AD543" s="293"/>
    </row>
    <row r="544">
      <c r="A544" s="293"/>
      <c r="B544" s="308"/>
      <c r="C544" s="293"/>
      <c r="D544" s="293"/>
      <c r="E544" s="293"/>
      <c r="F544" s="293"/>
      <c r="G544" s="293"/>
      <c r="H544" s="293"/>
      <c r="I544" s="293"/>
      <c r="J544" s="293"/>
      <c r="K544" s="293"/>
      <c r="L544" s="293"/>
      <c r="M544" s="293"/>
      <c r="N544" s="293"/>
      <c r="O544" s="293"/>
      <c r="P544" s="293"/>
      <c r="Q544" s="293"/>
      <c r="R544" s="293"/>
      <c r="S544" s="293"/>
      <c r="T544" s="293"/>
      <c r="U544" s="293"/>
      <c r="V544" s="293"/>
      <c r="W544" s="293"/>
      <c r="X544" s="293"/>
      <c r="Y544" s="293"/>
      <c r="Z544" s="293"/>
      <c r="AA544" s="293"/>
      <c r="AB544" s="293"/>
      <c r="AC544" s="293"/>
      <c r="AD544" s="293"/>
    </row>
    <row r="545">
      <c r="A545" s="293"/>
      <c r="B545" s="308"/>
      <c r="C545" s="293"/>
      <c r="D545" s="293"/>
      <c r="E545" s="293"/>
      <c r="F545" s="293"/>
      <c r="G545" s="293"/>
      <c r="H545" s="293"/>
      <c r="I545" s="293"/>
      <c r="J545" s="293"/>
      <c r="K545" s="293"/>
      <c r="L545" s="293"/>
      <c r="M545" s="293"/>
      <c r="N545" s="293"/>
      <c r="O545" s="293"/>
      <c r="P545" s="293"/>
      <c r="Q545" s="293"/>
      <c r="R545" s="293"/>
      <c r="S545" s="293"/>
      <c r="T545" s="293"/>
      <c r="U545" s="293"/>
      <c r="V545" s="293"/>
      <c r="W545" s="293"/>
      <c r="X545" s="293"/>
      <c r="Y545" s="293"/>
      <c r="Z545" s="293"/>
      <c r="AA545" s="293"/>
      <c r="AB545" s="293"/>
      <c r="AC545" s="293"/>
      <c r="AD545" s="293"/>
    </row>
    <row r="546">
      <c r="A546" s="293"/>
      <c r="B546" s="308"/>
      <c r="C546" s="293"/>
      <c r="D546" s="293"/>
      <c r="E546" s="293"/>
      <c r="F546" s="29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Q546" s="293"/>
      <c r="R546" s="293"/>
      <c r="S546" s="293"/>
      <c r="T546" s="293"/>
      <c r="U546" s="293"/>
      <c r="V546" s="293"/>
      <c r="W546" s="293"/>
      <c r="X546" s="293"/>
      <c r="Y546" s="293"/>
      <c r="Z546" s="293"/>
      <c r="AA546" s="293"/>
      <c r="AB546" s="293"/>
      <c r="AC546" s="293"/>
      <c r="AD546" s="293"/>
    </row>
    <row r="547">
      <c r="A547" s="293"/>
      <c r="B547" s="308"/>
      <c r="C547" s="293"/>
      <c r="D547" s="293"/>
      <c r="E547" s="293"/>
      <c r="F547" s="293"/>
      <c r="G547" s="293"/>
      <c r="H547" s="293"/>
      <c r="I547" s="293"/>
      <c r="J547" s="293"/>
      <c r="K547" s="293"/>
      <c r="L547" s="293"/>
      <c r="M547" s="293"/>
      <c r="N547" s="293"/>
      <c r="O547" s="293"/>
      <c r="P547" s="293"/>
      <c r="Q547" s="293"/>
      <c r="R547" s="293"/>
      <c r="S547" s="293"/>
      <c r="T547" s="293"/>
      <c r="U547" s="293"/>
      <c r="V547" s="293"/>
      <c r="W547" s="293"/>
      <c r="X547" s="293"/>
      <c r="Y547" s="293"/>
      <c r="Z547" s="293"/>
      <c r="AA547" s="293"/>
      <c r="AB547" s="293"/>
      <c r="AC547" s="293"/>
      <c r="AD547" s="293"/>
    </row>
    <row r="548">
      <c r="A548" s="293"/>
      <c r="B548" s="308"/>
      <c r="C548" s="293"/>
      <c r="D548" s="293"/>
      <c r="E548" s="293"/>
      <c r="F548" s="293"/>
      <c r="G548" s="293"/>
      <c r="H548" s="293"/>
      <c r="I548" s="293"/>
      <c r="J548" s="293"/>
      <c r="K548" s="293"/>
      <c r="L548" s="293"/>
      <c r="M548" s="293"/>
      <c r="N548" s="293"/>
      <c r="O548" s="293"/>
      <c r="P548" s="293"/>
      <c r="Q548" s="293"/>
      <c r="R548" s="293"/>
      <c r="S548" s="293"/>
      <c r="T548" s="293"/>
      <c r="U548" s="293"/>
      <c r="V548" s="293"/>
      <c r="W548" s="293"/>
      <c r="X548" s="293"/>
      <c r="Y548" s="293"/>
      <c r="Z548" s="293"/>
      <c r="AA548" s="293"/>
      <c r="AB548" s="293"/>
      <c r="AC548" s="293"/>
      <c r="AD548" s="293"/>
    </row>
    <row r="549">
      <c r="A549" s="293"/>
      <c r="B549" s="308"/>
      <c r="C549" s="293"/>
      <c r="D549" s="293"/>
      <c r="E549" s="293"/>
      <c r="F549" s="293"/>
      <c r="G549" s="293"/>
      <c r="H549" s="293"/>
      <c r="I549" s="293"/>
      <c r="J549" s="293"/>
      <c r="K549" s="293"/>
      <c r="L549" s="293"/>
      <c r="M549" s="293"/>
      <c r="N549" s="293"/>
      <c r="O549" s="293"/>
      <c r="P549" s="293"/>
      <c r="Q549" s="293"/>
      <c r="R549" s="293"/>
      <c r="S549" s="293"/>
      <c r="T549" s="293"/>
      <c r="U549" s="293"/>
      <c r="V549" s="293"/>
      <c r="W549" s="293"/>
      <c r="X549" s="293"/>
      <c r="Y549" s="293"/>
      <c r="Z549" s="293"/>
      <c r="AA549" s="293"/>
      <c r="AB549" s="293"/>
      <c r="AC549" s="293"/>
      <c r="AD549" s="293"/>
    </row>
    <row r="550">
      <c r="A550" s="293"/>
      <c r="B550" s="308"/>
      <c r="C550" s="293"/>
      <c r="D550" s="293"/>
      <c r="E550" s="293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Q550" s="293"/>
      <c r="R550" s="293"/>
      <c r="S550" s="293"/>
      <c r="T550" s="293"/>
      <c r="U550" s="293"/>
      <c r="V550" s="293"/>
      <c r="W550" s="293"/>
      <c r="X550" s="293"/>
      <c r="Y550" s="293"/>
      <c r="Z550" s="293"/>
      <c r="AA550" s="293"/>
      <c r="AB550" s="293"/>
      <c r="AC550" s="293"/>
      <c r="AD550" s="293"/>
    </row>
    <row r="551">
      <c r="A551" s="293"/>
      <c r="B551" s="308"/>
      <c r="C551" s="293"/>
      <c r="D551" s="293"/>
      <c r="E551" s="293"/>
      <c r="F551" s="293"/>
      <c r="G551" s="293"/>
      <c r="H551" s="293"/>
      <c r="I551" s="293"/>
      <c r="J551" s="293"/>
      <c r="K551" s="293"/>
      <c r="L551" s="293"/>
      <c r="M551" s="293"/>
      <c r="N551" s="293"/>
      <c r="O551" s="293"/>
      <c r="P551" s="293"/>
      <c r="Q551" s="293"/>
      <c r="R551" s="293"/>
      <c r="S551" s="293"/>
      <c r="T551" s="293"/>
      <c r="U551" s="293"/>
      <c r="V551" s="293"/>
      <c r="W551" s="293"/>
      <c r="X551" s="293"/>
      <c r="Y551" s="293"/>
      <c r="Z551" s="293"/>
      <c r="AA551" s="293"/>
      <c r="AB551" s="293"/>
      <c r="AC551" s="293"/>
      <c r="AD551" s="293"/>
    </row>
    <row r="552">
      <c r="A552" s="293"/>
      <c r="B552" s="308"/>
      <c r="C552" s="293"/>
      <c r="D552" s="293"/>
      <c r="E552" s="293"/>
      <c r="F552" s="293"/>
      <c r="G552" s="293"/>
      <c r="H552" s="293"/>
      <c r="I552" s="293"/>
      <c r="J552" s="293"/>
      <c r="K552" s="293"/>
      <c r="L552" s="293"/>
      <c r="M552" s="293"/>
      <c r="N552" s="293"/>
      <c r="O552" s="293"/>
      <c r="P552" s="293"/>
      <c r="Q552" s="293"/>
      <c r="R552" s="293"/>
      <c r="S552" s="293"/>
      <c r="T552" s="293"/>
      <c r="U552" s="293"/>
      <c r="V552" s="293"/>
      <c r="W552" s="293"/>
      <c r="X552" s="293"/>
      <c r="Y552" s="293"/>
      <c r="Z552" s="293"/>
      <c r="AA552" s="293"/>
      <c r="AB552" s="293"/>
      <c r="AC552" s="293"/>
      <c r="AD552" s="293"/>
    </row>
    <row r="553">
      <c r="A553" s="293"/>
      <c r="B553" s="308"/>
      <c r="C553" s="293"/>
      <c r="D553" s="293"/>
      <c r="E553" s="293"/>
      <c r="F553" s="293"/>
      <c r="G553" s="293"/>
      <c r="H553" s="293"/>
      <c r="I553" s="293"/>
      <c r="J553" s="293"/>
      <c r="K553" s="293"/>
      <c r="L553" s="293"/>
      <c r="M553" s="293"/>
      <c r="N553" s="293"/>
      <c r="O553" s="293"/>
      <c r="P553" s="293"/>
      <c r="Q553" s="293"/>
      <c r="R553" s="293"/>
      <c r="S553" s="293"/>
      <c r="T553" s="293"/>
      <c r="U553" s="293"/>
      <c r="V553" s="293"/>
      <c r="W553" s="293"/>
      <c r="X553" s="293"/>
      <c r="Y553" s="293"/>
      <c r="Z553" s="293"/>
      <c r="AA553" s="293"/>
      <c r="AB553" s="293"/>
      <c r="AC553" s="293"/>
      <c r="AD553" s="293"/>
    </row>
    <row r="554">
      <c r="A554" s="293"/>
      <c r="B554" s="308"/>
      <c r="C554" s="293"/>
      <c r="D554" s="293"/>
      <c r="E554" s="293"/>
      <c r="F554" s="293"/>
      <c r="G554" s="293"/>
      <c r="H554" s="293"/>
      <c r="I554" s="293"/>
      <c r="J554" s="293"/>
      <c r="K554" s="293"/>
      <c r="L554" s="293"/>
      <c r="M554" s="293"/>
      <c r="N554" s="293"/>
      <c r="O554" s="293"/>
      <c r="P554" s="293"/>
      <c r="Q554" s="293"/>
      <c r="R554" s="293"/>
      <c r="S554" s="293"/>
      <c r="T554" s="293"/>
      <c r="U554" s="293"/>
      <c r="V554" s="293"/>
      <c r="W554" s="293"/>
      <c r="X554" s="293"/>
      <c r="Y554" s="293"/>
      <c r="Z554" s="293"/>
      <c r="AA554" s="293"/>
      <c r="AB554" s="293"/>
      <c r="AC554" s="293"/>
      <c r="AD554" s="293"/>
    </row>
    <row r="555">
      <c r="A555" s="293"/>
      <c r="B555" s="308"/>
      <c r="C555" s="293"/>
      <c r="D555" s="293"/>
      <c r="E555" s="293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Q555" s="293"/>
      <c r="R555" s="293"/>
      <c r="S555" s="293"/>
      <c r="T555" s="293"/>
      <c r="U555" s="293"/>
      <c r="V555" s="293"/>
      <c r="W555" s="293"/>
      <c r="X555" s="293"/>
      <c r="Y555" s="293"/>
      <c r="Z555" s="293"/>
      <c r="AA555" s="293"/>
      <c r="AB555" s="293"/>
      <c r="AC555" s="293"/>
      <c r="AD555" s="293"/>
    </row>
    <row r="556">
      <c r="A556" s="293"/>
      <c r="B556" s="308"/>
      <c r="C556" s="293"/>
      <c r="D556" s="293"/>
      <c r="E556" s="293"/>
      <c r="F556" s="293"/>
      <c r="G556" s="293"/>
      <c r="H556" s="293"/>
      <c r="I556" s="293"/>
      <c r="J556" s="293"/>
      <c r="K556" s="293"/>
      <c r="L556" s="293"/>
      <c r="M556" s="293"/>
      <c r="N556" s="293"/>
      <c r="O556" s="293"/>
      <c r="P556" s="293"/>
      <c r="Q556" s="293"/>
      <c r="R556" s="293"/>
      <c r="S556" s="293"/>
      <c r="T556" s="293"/>
      <c r="U556" s="293"/>
      <c r="V556" s="293"/>
      <c r="W556" s="293"/>
      <c r="X556" s="293"/>
      <c r="Y556" s="293"/>
      <c r="Z556" s="293"/>
      <c r="AA556" s="293"/>
      <c r="AB556" s="293"/>
      <c r="AC556" s="293"/>
      <c r="AD556" s="293"/>
    </row>
    <row r="557">
      <c r="A557" s="293"/>
      <c r="B557" s="308"/>
      <c r="C557" s="293"/>
      <c r="D557" s="293"/>
      <c r="E557" s="293"/>
      <c r="F557" s="293"/>
      <c r="G557" s="293"/>
      <c r="H557" s="293"/>
      <c r="I557" s="293"/>
      <c r="J557" s="293"/>
      <c r="K557" s="293"/>
      <c r="L557" s="293"/>
      <c r="M557" s="293"/>
      <c r="N557" s="293"/>
      <c r="O557" s="293"/>
      <c r="P557" s="293"/>
      <c r="Q557" s="293"/>
      <c r="R557" s="293"/>
      <c r="S557" s="293"/>
      <c r="T557" s="293"/>
      <c r="U557" s="293"/>
      <c r="V557" s="293"/>
      <c r="W557" s="293"/>
      <c r="X557" s="293"/>
      <c r="Y557" s="293"/>
      <c r="Z557" s="293"/>
      <c r="AA557" s="293"/>
      <c r="AB557" s="293"/>
      <c r="AC557" s="293"/>
      <c r="AD557" s="293"/>
    </row>
    <row r="558">
      <c r="A558" s="293"/>
      <c r="B558" s="308"/>
      <c r="C558" s="293"/>
      <c r="D558" s="293"/>
      <c r="E558" s="293"/>
      <c r="F558" s="293"/>
      <c r="G558" s="293"/>
      <c r="H558" s="293"/>
      <c r="I558" s="293"/>
      <c r="J558" s="293"/>
      <c r="K558" s="293"/>
      <c r="L558" s="293"/>
      <c r="M558" s="293"/>
      <c r="N558" s="293"/>
      <c r="O558" s="293"/>
      <c r="P558" s="293"/>
      <c r="Q558" s="293"/>
      <c r="R558" s="293"/>
      <c r="S558" s="293"/>
      <c r="T558" s="293"/>
      <c r="U558" s="293"/>
      <c r="V558" s="293"/>
      <c r="W558" s="293"/>
      <c r="X558" s="293"/>
      <c r="Y558" s="293"/>
      <c r="Z558" s="293"/>
      <c r="AA558" s="293"/>
      <c r="AB558" s="293"/>
      <c r="AC558" s="293"/>
      <c r="AD558" s="293"/>
    </row>
    <row r="559">
      <c r="A559" s="293"/>
      <c r="B559" s="308"/>
      <c r="C559" s="293"/>
      <c r="D559" s="293"/>
      <c r="E559" s="293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Q559" s="293"/>
      <c r="R559" s="293"/>
      <c r="S559" s="293"/>
      <c r="T559" s="293"/>
      <c r="U559" s="293"/>
      <c r="V559" s="293"/>
      <c r="W559" s="293"/>
      <c r="X559" s="293"/>
      <c r="Y559" s="293"/>
      <c r="Z559" s="293"/>
      <c r="AA559" s="293"/>
      <c r="AB559" s="293"/>
      <c r="AC559" s="293"/>
      <c r="AD559" s="293"/>
    </row>
    <row r="560">
      <c r="A560" s="293"/>
      <c r="B560" s="308"/>
      <c r="C560" s="293"/>
      <c r="D560" s="293"/>
      <c r="E560" s="293"/>
      <c r="F560" s="293"/>
      <c r="G560" s="293"/>
      <c r="H560" s="293"/>
      <c r="I560" s="293"/>
      <c r="J560" s="293"/>
      <c r="K560" s="293"/>
      <c r="L560" s="293"/>
      <c r="M560" s="293"/>
      <c r="N560" s="293"/>
      <c r="O560" s="293"/>
      <c r="P560" s="293"/>
      <c r="Q560" s="293"/>
      <c r="R560" s="293"/>
      <c r="S560" s="293"/>
      <c r="T560" s="293"/>
      <c r="U560" s="293"/>
      <c r="V560" s="293"/>
      <c r="W560" s="293"/>
      <c r="X560" s="293"/>
      <c r="Y560" s="293"/>
      <c r="Z560" s="293"/>
      <c r="AA560" s="293"/>
      <c r="AB560" s="293"/>
      <c r="AC560" s="293"/>
      <c r="AD560" s="293"/>
    </row>
    <row r="561">
      <c r="A561" s="293"/>
      <c r="B561" s="308"/>
      <c r="C561" s="293"/>
      <c r="D561" s="293"/>
      <c r="E561" s="293"/>
      <c r="F561" s="293"/>
      <c r="G561" s="293"/>
      <c r="H561" s="293"/>
      <c r="I561" s="293"/>
      <c r="J561" s="293"/>
      <c r="K561" s="293"/>
      <c r="L561" s="293"/>
      <c r="M561" s="293"/>
      <c r="N561" s="293"/>
      <c r="O561" s="293"/>
      <c r="P561" s="293"/>
      <c r="Q561" s="293"/>
      <c r="R561" s="293"/>
      <c r="S561" s="293"/>
      <c r="T561" s="293"/>
      <c r="U561" s="293"/>
      <c r="V561" s="293"/>
      <c r="W561" s="293"/>
      <c r="X561" s="293"/>
      <c r="Y561" s="293"/>
      <c r="Z561" s="293"/>
      <c r="AA561" s="293"/>
      <c r="AB561" s="293"/>
      <c r="AC561" s="293"/>
      <c r="AD561" s="293"/>
    </row>
    <row r="562">
      <c r="A562" s="293"/>
      <c r="B562" s="308"/>
      <c r="C562" s="293"/>
      <c r="D562" s="293"/>
      <c r="E562" s="293"/>
      <c r="F562" s="293"/>
      <c r="G562" s="293"/>
      <c r="H562" s="293"/>
      <c r="I562" s="293"/>
      <c r="J562" s="293"/>
      <c r="K562" s="293"/>
      <c r="L562" s="293"/>
      <c r="M562" s="293"/>
      <c r="N562" s="293"/>
      <c r="O562" s="293"/>
      <c r="P562" s="293"/>
      <c r="Q562" s="293"/>
      <c r="R562" s="293"/>
      <c r="S562" s="293"/>
      <c r="T562" s="293"/>
      <c r="U562" s="293"/>
      <c r="V562" s="293"/>
      <c r="W562" s="293"/>
      <c r="X562" s="293"/>
      <c r="Y562" s="293"/>
      <c r="Z562" s="293"/>
      <c r="AA562" s="293"/>
      <c r="AB562" s="293"/>
      <c r="AC562" s="293"/>
      <c r="AD562" s="293"/>
    </row>
    <row r="563">
      <c r="A563" s="293"/>
      <c r="B563" s="308"/>
      <c r="C563" s="293"/>
      <c r="D563" s="293"/>
      <c r="E563" s="293"/>
      <c r="F563" s="293"/>
      <c r="G563" s="293"/>
      <c r="H563" s="293"/>
      <c r="I563" s="293"/>
      <c r="J563" s="293"/>
      <c r="K563" s="293"/>
      <c r="L563" s="293"/>
      <c r="M563" s="293"/>
      <c r="N563" s="293"/>
      <c r="O563" s="293"/>
      <c r="P563" s="293"/>
      <c r="Q563" s="293"/>
      <c r="R563" s="293"/>
      <c r="S563" s="293"/>
      <c r="T563" s="293"/>
      <c r="U563" s="293"/>
      <c r="V563" s="293"/>
      <c r="W563" s="293"/>
      <c r="X563" s="293"/>
      <c r="Y563" s="293"/>
      <c r="Z563" s="293"/>
      <c r="AA563" s="293"/>
      <c r="AB563" s="293"/>
      <c r="AC563" s="293"/>
      <c r="AD563" s="293"/>
    </row>
    <row r="564">
      <c r="A564" s="293"/>
      <c r="B564" s="308"/>
      <c r="C564" s="293"/>
      <c r="D564" s="293"/>
      <c r="E564" s="293"/>
      <c r="F564" s="293"/>
      <c r="G564" s="293"/>
      <c r="H564" s="293"/>
      <c r="I564" s="293"/>
      <c r="J564" s="293"/>
      <c r="K564" s="293"/>
      <c r="L564" s="293"/>
      <c r="M564" s="293"/>
      <c r="N564" s="293"/>
      <c r="O564" s="293"/>
      <c r="P564" s="293"/>
      <c r="Q564" s="293"/>
      <c r="R564" s="293"/>
      <c r="S564" s="293"/>
      <c r="T564" s="293"/>
      <c r="U564" s="293"/>
      <c r="V564" s="293"/>
      <c r="W564" s="293"/>
      <c r="X564" s="293"/>
      <c r="Y564" s="293"/>
      <c r="Z564" s="293"/>
      <c r="AA564" s="293"/>
      <c r="AB564" s="293"/>
      <c r="AC564" s="293"/>
      <c r="AD564" s="293"/>
    </row>
    <row r="565">
      <c r="A565" s="293"/>
      <c r="B565" s="308"/>
      <c r="C565" s="293"/>
      <c r="D565" s="293"/>
      <c r="E565" s="293"/>
      <c r="F565" s="293"/>
      <c r="G565" s="293"/>
      <c r="H565" s="293"/>
      <c r="I565" s="293"/>
      <c r="J565" s="293"/>
      <c r="K565" s="293"/>
      <c r="L565" s="293"/>
      <c r="M565" s="293"/>
      <c r="N565" s="293"/>
      <c r="O565" s="293"/>
      <c r="P565" s="293"/>
      <c r="Q565" s="293"/>
      <c r="R565" s="293"/>
      <c r="S565" s="293"/>
      <c r="T565" s="293"/>
      <c r="U565" s="293"/>
      <c r="V565" s="293"/>
      <c r="W565" s="293"/>
      <c r="X565" s="293"/>
      <c r="Y565" s="293"/>
      <c r="Z565" s="293"/>
      <c r="AA565" s="293"/>
      <c r="AB565" s="293"/>
      <c r="AC565" s="293"/>
      <c r="AD565" s="293"/>
    </row>
    <row r="566">
      <c r="A566" s="293"/>
      <c r="B566" s="308"/>
      <c r="C566" s="293"/>
      <c r="D566" s="293"/>
      <c r="E566" s="293"/>
      <c r="F566" s="293"/>
      <c r="G566" s="293"/>
      <c r="H566" s="293"/>
      <c r="I566" s="293"/>
      <c r="J566" s="293"/>
      <c r="K566" s="293"/>
      <c r="L566" s="293"/>
      <c r="M566" s="293"/>
      <c r="N566" s="293"/>
      <c r="O566" s="293"/>
      <c r="P566" s="293"/>
      <c r="Q566" s="293"/>
      <c r="R566" s="293"/>
      <c r="S566" s="293"/>
      <c r="T566" s="293"/>
      <c r="U566" s="293"/>
      <c r="V566" s="293"/>
      <c r="W566" s="293"/>
      <c r="X566" s="293"/>
      <c r="Y566" s="293"/>
      <c r="Z566" s="293"/>
      <c r="AA566" s="293"/>
      <c r="AB566" s="293"/>
      <c r="AC566" s="293"/>
      <c r="AD566" s="293"/>
    </row>
    <row r="567">
      <c r="A567" s="293"/>
      <c r="B567" s="308"/>
      <c r="C567" s="293"/>
      <c r="D567" s="293"/>
      <c r="E567" s="293"/>
      <c r="F567" s="293"/>
      <c r="G567" s="293"/>
      <c r="H567" s="293"/>
      <c r="I567" s="293"/>
      <c r="J567" s="293"/>
      <c r="K567" s="293"/>
      <c r="L567" s="293"/>
      <c r="M567" s="293"/>
      <c r="N567" s="293"/>
      <c r="O567" s="293"/>
      <c r="P567" s="293"/>
      <c r="Q567" s="293"/>
      <c r="R567" s="293"/>
      <c r="S567" s="293"/>
      <c r="T567" s="293"/>
      <c r="U567" s="293"/>
      <c r="V567" s="293"/>
      <c r="W567" s="293"/>
      <c r="X567" s="293"/>
      <c r="Y567" s="293"/>
      <c r="Z567" s="293"/>
      <c r="AA567" s="293"/>
      <c r="AB567" s="293"/>
      <c r="AC567" s="293"/>
      <c r="AD567" s="293"/>
    </row>
    <row r="568">
      <c r="A568" s="293"/>
      <c r="B568" s="308"/>
      <c r="C568" s="293"/>
      <c r="D568" s="293"/>
      <c r="E568" s="293"/>
      <c r="F568" s="293"/>
      <c r="G568" s="293"/>
      <c r="H568" s="293"/>
      <c r="I568" s="293"/>
      <c r="J568" s="293"/>
      <c r="K568" s="293"/>
      <c r="L568" s="293"/>
      <c r="M568" s="293"/>
      <c r="N568" s="293"/>
      <c r="O568" s="293"/>
      <c r="P568" s="293"/>
      <c r="Q568" s="293"/>
      <c r="R568" s="293"/>
      <c r="S568" s="293"/>
      <c r="T568" s="293"/>
      <c r="U568" s="293"/>
      <c r="V568" s="293"/>
      <c r="W568" s="293"/>
      <c r="X568" s="293"/>
      <c r="Y568" s="293"/>
      <c r="Z568" s="293"/>
      <c r="AA568" s="293"/>
      <c r="AB568" s="293"/>
      <c r="AC568" s="293"/>
      <c r="AD568" s="293"/>
    </row>
    <row r="569">
      <c r="A569" s="293"/>
      <c r="B569" s="308"/>
      <c r="C569" s="293"/>
      <c r="D569" s="293"/>
      <c r="E569" s="293"/>
      <c r="F569" s="293"/>
      <c r="G569" s="293"/>
      <c r="H569" s="293"/>
      <c r="I569" s="293"/>
      <c r="J569" s="293"/>
      <c r="K569" s="293"/>
      <c r="L569" s="293"/>
      <c r="M569" s="293"/>
      <c r="N569" s="293"/>
      <c r="O569" s="293"/>
      <c r="P569" s="293"/>
      <c r="Q569" s="293"/>
      <c r="R569" s="293"/>
      <c r="S569" s="293"/>
      <c r="T569" s="293"/>
      <c r="U569" s="293"/>
      <c r="V569" s="293"/>
      <c r="W569" s="293"/>
      <c r="X569" s="293"/>
      <c r="Y569" s="293"/>
      <c r="Z569" s="293"/>
      <c r="AA569" s="293"/>
      <c r="AB569" s="293"/>
      <c r="AC569" s="293"/>
      <c r="AD569" s="293"/>
    </row>
    <row r="570">
      <c r="A570" s="293"/>
      <c r="B570" s="308"/>
      <c r="C570" s="293"/>
      <c r="D570" s="293"/>
      <c r="E570" s="293"/>
      <c r="F570" s="293"/>
      <c r="G570" s="293"/>
      <c r="H570" s="293"/>
      <c r="I570" s="293"/>
      <c r="J570" s="293"/>
      <c r="K570" s="293"/>
      <c r="L570" s="293"/>
      <c r="M570" s="293"/>
      <c r="N570" s="293"/>
      <c r="O570" s="293"/>
      <c r="P570" s="293"/>
      <c r="Q570" s="293"/>
      <c r="R570" s="293"/>
      <c r="S570" s="293"/>
      <c r="T570" s="293"/>
      <c r="U570" s="293"/>
      <c r="V570" s="293"/>
      <c r="W570" s="293"/>
      <c r="X570" s="293"/>
      <c r="Y570" s="293"/>
      <c r="Z570" s="293"/>
      <c r="AA570" s="293"/>
      <c r="AB570" s="293"/>
      <c r="AC570" s="293"/>
      <c r="AD570" s="293"/>
    </row>
    <row r="571">
      <c r="A571" s="293"/>
      <c r="B571" s="308"/>
      <c r="C571" s="293"/>
      <c r="D571" s="293"/>
      <c r="E571" s="293"/>
      <c r="F571" s="293"/>
      <c r="G571" s="293"/>
      <c r="H571" s="293"/>
      <c r="I571" s="293"/>
      <c r="J571" s="293"/>
      <c r="K571" s="293"/>
      <c r="L571" s="293"/>
      <c r="M571" s="293"/>
      <c r="N571" s="293"/>
      <c r="O571" s="293"/>
      <c r="P571" s="293"/>
      <c r="Q571" s="293"/>
      <c r="R571" s="293"/>
      <c r="S571" s="293"/>
      <c r="T571" s="293"/>
      <c r="U571" s="293"/>
      <c r="V571" s="293"/>
      <c r="W571" s="293"/>
      <c r="X571" s="293"/>
      <c r="Y571" s="293"/>
      <c r="Z571" s="293"/>
      <c r="AA571" s="293"/>
      <c r="AB571" s="293"/>
      <c r="AC571" s="293"/>
      <c r="AD571" s="293"/>
    </row>
    <row r="572">
      <c r="A572" s="293"/>
      <c r="B572" s="308"/>
      <c r="C572" s="293"/>
      <c r="D572" s="293"/>
      <c r="E572" s="293"/>
      <c r="F572" s="293"/>
      <c r="G572" s="293"/>
      <c r="H572" s="293"/>
      <c r="I572" s="293"/>
      <c r="J572" s="293"/>
      <c r="K572" s="293"/>
      <c r="L572" s="293"/>
      <c r="M572" s="293"/>
      <c r="N572" s="293"/>
      <c r="O572" s="293"/>
      <c r="P572" s="293"/>
      <c r="Q572" s="293"/>
      <c r="R572" s="293"/>
      <c r="S572" s="293"/>
      <c r="T572" s="293"/>
      <c r="U572" s="293"/>
      <c r="V572" s="293"/>
      <c r="W572" s="293"/>
      <c r="X572" s="293"/>
      <c r="Y572" s="293"/>
      <c r="Z572" s="293"/>
      <c r="AA572" s="293"/>
      <c r="AB572" s="293"/>
      <c r="AC572" s="293"/>
      <c r="AD572" s="293"/>
    </row>
    <row r="573">
      <c r="A573" s="293"/>
      <c r="B573" s="308"/>
      <c r="C573" s="293"/>
      <c r="D573" s="293"/>
      <c r="E573" s="293"/>
      <c r="F573" s="293"/>
      <c r="G573" s="293"/>
      <c r="H573" s="293"/>
      <c r="I573" s="293"/>
      <c r="J573" s="293"/>
      <c r="K573" s="293"/>
      <c r="L573" s="293"/>
      <c r="M573" s="293"/>
      <c r="N573" s="293"/>
      <c r="O573" s="293"/>
      <c r="P573" s="293"/>
      <c r="Q573" s="293"/>
      <c r="R573" s="293"/>
      <c r="S573" s="293"/>
      <c r="T573" s="293"/>
      <c r="U573" s="293"/>
      <c r="V573" s="293"/>
      <c r="W573" s="293"/>
      <c r="X573" s="293"/>
      <c r="Y573" s="293"/>
      <c r="Z573" s="293"/>
      <c r="AA573" s="293"/>
      <c r="AB573" s="293"/>
      <c r="AC573" s="293"/>
      <c r="AD573" s="293"/>
    </row>
    <row r="574">
      <c r="A574" s="293"/>
      <c r="B574" s="308"/>
      <c r="C574" s="293"/>
      <c r="D574" s="293"/>
      <c r="E574" s="293"/>
      <c r="F574" s="293"/>
      <c r="G574" s="293"/>
      <c r="H574" s="293"/>
      <c r="I574" s="293"/>
      <c r="J574" s="293"/>
      <c r="K574" s="293"/>
      <c r="L574" s="293"/>
      <c r="M574" s="293"/>
      <c r="N574" s="293"/>
      <c r="O574" s="293"/>
      <c r="P574" s="293"/>
      <c r="Q574" s="293"/>
      <c r="R574" s="293"/>
      <c r="S574" s="293"/>
      <c r="T574" s="293"/>
      <c r="U574" s="293"/>
      <c r="V574" s="293"/>
      <c r="W574" s="293"/>
      <c r="X574" s="293"/>
      <c r="Y574" s="293"/>
      <c r="Z574" s="293"/>
      <c r="AA574" s="293"/>
      <c r="AB574" s="293"/>
      <c r="AC574" s="293"/>
      <c r="AD574" s="293"/>
    </row>
    <row r="575">
      <c r="A575" s="293"/>
      <c r="B575" s="308"/>
      <c r="C575" s="293"/>
      <c r="D575" s="293"/>
      <c r="E575" s="293"/>
      <c r="F575" s="293"/>
      <c r="G575" s="293"/>
      <c r="H575" s="293"/>
      <c r="I575" s="293"/>
      <c r="J575" s="293"/>
      <c r="K575" s="293"/>
      <c r="L575" s="293"/>
      <c r="M575" s="293"/>
      <c r="N575" s="293"/>
      <c r="O575" s="293"/>
      <c r="P575" s="293"/>
      <c r="Q575" s="293"/>
      <c r="R575" s="293"/>
      <c r="S575" s="293"/>
      <c r="T575" s="293"/>
      <c r="U575" s="293"/>
      <c r="V575" s="293"/>
      <c r="W575" s="293"/>
      <c r="X575" s="293"/>
      <c r="Y575" s="293"/>
      <c r="Z575" s="293"/>
      <c r="AA575" s="293"/>
      <c r="AB575" s="293"/>
      <c r="AC575" s="293"/>
      <c r="AD575" s="293"/>
    </row>
    <row r="576">
      <c r="A576" s="293"/>
      <c r="B576" s="308"/>
      <c r="C576" s="293"/>
      <c r="D576" s="293"/>
      <c r="E576" s="293"/>
      <c r="F576" s="293"/>
      <c r="G576" s="293"/>
      <c r="H576" s="293"/>
      <c r="I576" s="293"/>
      <c r="J576" s="293"/>
      <c r="K576" s="293"/>
      <c r="L576" s="293"/>
      <c r="M576" s="293"/>
      <c r="N576" s="293"/>
      <c r="O576" s="293"/>
      <c r="P576" s="293"/>
      <c r="Q576" s="293"/>
      <c r="R576" s="293"/>
      <c r="S576" s="293"/>
      <c r="T576" s="293"/>
      <c r="U576" s="293"/>
      <c r="V576" s="293"/>
      <c r="W576" s="293"/>
      <c r="X576" s="293"/>
      <c r="Y576" s="293"/>
      <c r="Z576" s="293"/>
      <c r="AA576" s="293"/>
      <c r="AB576" s="293"/>
      <c r="AC576" s="293"/>
      <c r="AD576" s="293"/>
    </row>
    <row r="577">
      <c r="A577" s="293"/>
      <c r="B577" s="308"/>
      <c r="C577" s="293"/>
      <c r="D577" s="293"/>
      <c r="E577" s="293"/>
      <c r="F577" s="293"/>
      <c r="G577" s="293"/>
      <c r="H577" s="293"/>
      <c r="I577" s="293"/>
      <c r="J577" s="293"/>
      <c r="K577" s="293"/>
      <c r="L577" s="293"/>
      <c r="M577" s="293"/>
      <c r="N577" s="293"/>
      <c r="O577" s="293"/>
      <c r="P577" s="293"/>
      <c r="Q577" s="293"/>
      <c r="R577" s="293"/>
      <c r="S577" s="293"/>
      <c r="T577" s="293"/>
      <c r="U577" s="293"/>
      <c r="V577" s="293"/>
      <c r="W577" s="293"/>
      <c r="X577" s="293"/>
      <c r="Y577" s="293"/>
      <c r="Z577" s="293"/>
      <c r="AA577" s="293"/>
      <c r="AB577" s="293"/>
      <c r="AC577" s="293"/>
      <c r="AD577" s="293"/>
    </row>
    <row r="578">
      <c r="A578" s="293"/>
      <c r="B578" s="308"/>
      <c r="C578" s="293"/>
      <c r="D578" s="293"/>
      <c r="E578" s="293"/>
      <c r="F578" s="293"/>
      <c r="G578" s="293"/>
      <c r="H578" s="293"/>
      <c r="I578" s="293"/>
      <c r="J578" s="293"/>
      <c r="K578" s="293"/>
      <c r="L578" s="293"/>
      <c r="M578" s="293"/>
      <c r="N578" s="293"/>
      <c r="O578" s="293"/>
      <c r="P578" s="293"/>
      <c r="Q578" s="293"/>
      <c r="R578" s="293"/>
      <c r="S578" s="293"/>
      <c r="T578" s="293"/>
      <c r="U578" s="293"/>
      <c r="V578" s="293"/>
      <c r="W578" s="293"/>
      <c r="X578" s="293"/>
      <c r="Y578" s="293"/>
      <c r="Z578" s="293"/>
      <c r="AA578" s="293"/>
      <c r="AB578" s="293"/>
      <c r="AC578" s="293"/>
      <c r="AD578" s="293"/>
    </row>
    <row r="579">
      <c r="A579" s="293"/>
      <c r="B579" s="308"/>
      <c r="C579" s="293"/>
      <c r="D579" s="293"/>
      <c r="E579" s="293"/>
      <c r="F579" s="293"/>
      <c r="G579" s="293"/>
      <c r="H579" s="293"/>
      <c r="I579" s="293"/>
      <c r="J579" s="293"/>
      <c r="K579" s="293"/>
      <c r="L579" s="293"/>
      <c r="M579" s="293"/>
      <c r="N579" s="293"/>
      <c r="O579" s="293"/>
      <c r="P579" s="293"/>
      <c r="Q579" s="293"/>
      <c r="R579" s="293"/>
      <c r="S579" s="293"/>
      <c r="T579" s="293"/>
      <c r="U579" s="293"/>
      <c r="V579" s="293"/>
      <c r="W579" s="293"/>
      <c r="X579" s="293"/>
      <c r="Y579" s="293"/>
      <c r="Z579" s="293"/>
      <c r="AA579" s="293"/>
      <c r="AB579" s="293"/>
      <c r="AC579" s="293"/>
      <c r="AD579" s="293"/>
    </row>
    <row r="580">
      <c r="A580" s="293"/>
      <c r="B580" s="308"/>
      <c r="C580" s="293"/>
      <c r="D580" s="293"/>
      <c r="E580" s="293"/>
      <c r="F580" s="293"/>
      <c r="G580" s="293"/>
      <c r="H580" s="293"/>
      <c r="I580" s="293"/>
      <c r="J580" s="293"/>
      <c r="K580" s="293"/>
      <c r="L580" s="293"/>
      <c r="M580" s="293"/>
      <c r="N580" s="293"/>
      <c r="O580" s="293"/>
      <c r="P580" s="293"/>
      <c r="Q580" s="293"/>
      <c r="R580" s="293"/>
      <c r="S580" s="293"/>
      <c r="T580" s="293"/>
      <c r="U580" s="293"/>
      <c r="V580" s="293"/>
      <c r="W580" s="293"/>
      <c r="X580" s="293"/>
      <c r="Y580" s="293"/>
      <c r="Z580" s="293"/>
      <c r="AA580" s="293"/>
      <c r="AB580" s="293"/>
      <c r="AC580" s="293"/>
      <c r="AD580" s="293"/>
    </row>
    <row r="581">
      <c r="A581" s="293"/>
      <c r="B581" s="308"/>
      <c r="C581" s="293"/>
      <c r="D581" s="293"/>
      <c r="E581" s="293"/>
      <c r="F581" s="293"/>
      <c r="G581" s="293"/>
      <c r="H581" s="293"/>
      <c r="I581" s="293"/>
      <c r="J581" s="293"/>
      <c r="K581" s="293"/>
      <c r="L581" s="293"/>
      <c r="M581" s="293"/>
      <c r="N581" s="293"/>
      <c r="O581" s="293"/>
      <c r="P581" s="293"/>
      <c r="Q581" s="293"/>
      <c r="R581" s="293"/>
      <c r="S581" s="293"/>
      <c r="T581" s="293"/>
      <c r="U581" s="293"/>
      <c r="V581" s="293"/>
      <c r="W581" s="293"/>
      <c r="X581" s="293"/>
      <c r="Y581" s="293"/>
      <c r="Z581" s="293"/>
      <c r="AA581" s="293"/>
      <c r="AB581" s="293"/>
      <c r="AC581" s="293"/>
      <c r="AD581" s="293"/>
    </row>
    <row r="582">
      <c r="A582" s="293"/>
      <c r="B582" s="308"/>
      <c r="C582" s="293"/>
      <c r="D582" s="293"/>
      <c r="E582" s="293"/>
      <c r="F582" s="293"/>
      <c r="G582" s="293"/>
      <c r="H582" s="293"/>
      <c r="I582" s="293"/>
      <c r="J582" s="293"/>
      <c r="K582" s="293"/>
      <c r="L582" s="293"/>
      <c r="M582" s="293"/>
      <c r="N582" s="293"/>
      <c r="O582" s="293"/>
      <c r="P582" s="293"/>
      <c r="Q582" s="293"/>
      <c r="R582" s="293"/>
      <c r="S582" s="293"/>
      <c r="T582" s="293"/>
      <c r="U582" s="293"/>
      <c r="V582" s="293"/>
      <c r="W582" s="293"/>
      <c r="X582" s="293"/>
      <c r="Y582" s="293"/>
      <c r="Z582" s="293"/>
      <c r="AA582" s="293"/>
      <c r="AB582" s="293"/>
      <c r="AC582" s="293"/>
      <c r="AD582" s="293"/>
    </row>
    <row r="583">
      <c r="A583" s="293"/>
      <c r="B583" s="308"/>
      <c r="C583" s="293"/>
      <c r="D583" s="293"/>
      <c r="E583" s="293"/>
      <c r="F583" s="293"/>
      <c r="G583" s="293"/>
      <c r="H583" s="293"/>
      <c r="I583" s="293"/>
      <c r="J583" s="293"/>
      <c r="K583" s="293"/>
      <c r="L583" s="293"/>
      <c r="M583" s="293"/>
      <c r="N583" s="293"/>
      <c r="O583" s="293"/>
      <c r="P583" s="293"/>
      <c r="Q583" s="293"/>
      <c r="R583" s="293"/>
      <c r="S583" s="293"/>
      <c r="T583" s="293"/>
      <c r="U583" s="293"/>
      <c r="V583" s="293"/>
      <c r="W583" s="293"/>
      <c r="X583" s="293"/>
      <c r="Y583" s="293"/>
      <c r="Z583" s="293"/>
      <c r="AA583" s="293"/>
      <c r="AB583" s="293"/>
      <c r="AC583" s="293"/>
      <c r="AD583" s="293"/>
    </row>
    <row r="584">
      <c r="A584" s="293"/>
      <c r="B584" s="308"/>
      <c r="C584" s="293"/>
      <c r="D584" s="293"/>
      <c r="E584" s="293"/>
      <c r="F584" s="293"/>
      <c r="G584" s="293"/>
      <c r="H584" s="293"/>
      <c r="I584" s="293"/>
      <c r="J584" s="293"/>
      <c r="K584" s="293"/>
      <c r="L584" s="293"/>
      <c r="M584" s="293"/>
      <c r="N584" s="293"/>
      <c r="O584" s="293"/>
      <c r="P584" s="293"/>
      <c r="Q584" s="293"/>
      <c r="R584" s="293"/>
      <c r="S584" s="293"/>
      <c r="T584" s="293"/>
      <c r="U584" s="293"/>
      <c r="V584" s="293"/>
      <c r="W584" s="293"/>
      <c r="X584" s="293"/>
      <c r="Y584" s="293"/>
      <c r="Z584" s="293"/>
      <c r="AA584" s="293"/>
      <c r="AB584" s="293"/>
      <c r="AC584" s="293"/>
      <c r="AD584" s="293"/>
    </row>
    <row r="585">
      <c r="A585" s="293"/>
      <c r="B585" s="308"/>
      <c r="C585" s="293"/>
      <c r="D585" s="293"/>
      <c r="E585" s="293"/>
      <c r="F585" s="293"/>
      <c r="G585" s="293"/>
      <c r="H585" s="293"/>
      <c r="I585" s="293"/>
      <c r="J585" s="293"/>
      <c r="K585" s="293"/>
      <c r="L585" s="293"/>
      <c r="M585" s="293"/>
      <c r="N585" s="293"/>
      <c r="O585" s="293"/>
      <c r="P585" s="293"/>
      <c r="Q585" s="293"/>
      <c r="R585" s="293"/>
      <c r="S585" s="293"/>
      <c r="T585" s="293"/>
      <c r="U585" s="293"/>
      <c r="V585" s="293"/>
      <c r="W585" s="293"/>
      <c r="X585" s="293"/>
      <c r="Y585" s="293"/>
      <c r="Z585" s="293"/>
      <c r="AA585" s="293"/>
      <c r="AB585" s="293"/>
      <c r="AC585" s="293"/>
      <c r="AD585" s="293"/>
    </row>
    <row r="586">
      <c r="A586" s="293"/>
      <c r="B586" s="308"/>
      <c r="C586" s="293"/>
      <c r="D586" s="293"/>
      <c r="E586" s="293"/>
      <c r="F586" s="293"/>
      <c r="G586" s="293"/>
      <c r="H586" s="293"/>
      <c r="I586" s="293"/>
      <c r="J586" s="293"/>
      <c r="K586" s="293"/>
      <c r="L586" s="293"/>
      <c r="M586" s="293"/>
      <c r="N586" s="293"/>
      <c r="O586" s="293"/>
      <c r="P586" s="293"/>
      <c r="Q586" s="293"/>
      <c r="R586" s="293"/>
      <c r="S586" s="293"/>
      <c r="T586" s="293"/>
      <c r="U586" s="293"/>
      <c r="V586" s="293"/>
      <c r="W586" s="293"/>
      <c r="X586" s="293"/>
      <c r="Y586" s="293"/>
      <c r="Z586" s="293"/>
      <c r="AA586" s="293"/>
      <c r="AB586" s="293"/>
      <c r="AC586" s="293"/>
      <c r="AD586" s="293"/>
    </row>
    <row r="587">
      <c r="A587" s="293"/>
      <c r="B587" s="308"/>
      <c r="C587" s="293"/>
      <c r="D587" s="293"/>
      <c r="E587" s="293"/>
      <c r="F587" s="293"/>
      <c r="G587" s="293"/>
      <c r="H587" s="293"/>
      <c r="I587" s="293"/>
      <c r="J587" s="293"/>
      <c r="K587" s="293"/>
      <c r="L587" s="293"/>
      <c r="M587" s="293"/>
      <c r="N587" s="293"/>
      <c r="O587" s="293"/>
      <c r="P587" s="293"/>
      <c r="Q587" s="293"/>
      <c r="R587" s="293"/>
      <c r="S587" s="293"/>
      <c r="T587" s="293"/>
      <c r="U587" s="293"/>
      <c r="V587" s="293"/>
      <c r="W587" s="293"/>
      <c r="X587" s="293"/>
      <c r="Y587" s="293"/>
      <c r="Z587" s="293"/>
      <c r="AA587" s="293"/>
      <c r="AB587" s="293"/>
      <c r="AC587" s="293"/>
      <c r="AD587" s="293"/>
    </row>
    <row r="588">
      <c r="A588" s="293"/>
      <c r="B588" s="308"/>
      <c r="C588" s="293"/>
      <c r="D588" s="293"/>
      <c r="E588" s="293"/>
      <c r="F588" s="293"/>
      <c r="G588" s="293"/>
      <c r="H588" s="293"/>
      <c r="I588" s="293"/>
      <c r="J588" s="293"/>
      <c r="K588" s="293"/>
      <c r="L588" s="293"/>
      <c r="M588" s="293"/>
      <c r="N588" s="293"/>
      <c r="O588" s="293"/>
      <c r="P588" s="293"/>
      <c r="Q588" s="293"/>
      <c r="R588" s="293"/>
      <c r="S588" s="293"/>
      <c r="T588" s="293"/>
      <c r="U588" s="293"/>
      <c r="V588" s="293"/>
      <c r="W588" s="293"/>
      <c r="X588" s="293"/>
      <c r="Y588" s="293"/>
      <c r="Z588" s="293"/>
      <c r="AA588" s="293"/>
      <c r="AB588" s="293"/>
      <c r="AC588" s="293"/>
      <c r="AD588" s="293"/>
    </row>
    <row r="589">
      <c r="A589" s="293"/>
      <c r="B589" s="308"/>
      <c r="C589" s="293"/>
      <c r="D589" s="293"/>
      <c r="E589" s="293"/>
      <c r="F589" s="293"/>
      <c r="G589" s="293"/>
      <c r="H589" s="293"/>
      <c r="I589" s="293"/>
      <c r="J589" s="293"/>
      <c r="K589" s="293"/>
      <c r="L589" s="293"/>
      <c r="M589" s="293"/>
      <c r="N589" s="293"/>
      <c r="O589" s="293"/>
      <c r="P589" s="293"/>
      <c r="Q589" s="293"/>
      <c r="R589" s="293"/>
      <c r="S589" s="293"/>
      <c r="T589" s="293"/>
      <c r="U589" s="293"/>
      <c r="V589" s="293"/>
      <c r="W589" s="293"/>
      <c r="X589" s="293"/>
      <c r="Y589" s="293"/>
      <c r="Z589" s="293"/>
      <c r="AA589" s="293"/>
      <c r="AB589" s="293"/>
      <c r="AC589" s="293"/>
      <c r="AD589" s="293"/>
    </row>
    <row r="590">
      <c r="A590" s="293"/>
      <c r="B590" s="308"/>
      <c r="C590" s="293"/>
      <c r="D590" s="293"/>
      <c r="E590" s="293"/>
      <c r="F590" s="293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293"/>
      <c r="V590" s="293"/>
      <c r="W590" s="293"/>
      <c r="X590" s="293"/>
      <c r="Y590" s="293"/>
      <c r="Z590" s="293"/>
      <c r="AA590" s="293"/>
      <c r="AB590" s="293"/>
      <c r="AC590" s="293"/>
      <c r="AD590" s="293"/>
    </row>
    <row r="591">
      <c r="A591" s="293"/>
      <c r="B591" s="308"/>
      <c r="C591" s="293"/>
      <c r="D591" s="293"/>
      <c r="E591" s="293"/>
      <c r="F591" s="293"/>
      <c r="G591" s="293"/>
      <c r="H591" s="293"/>
      <c r="I591" s="293"/>
      <c r="J591" s="293"/>
      <c r="K591" s="293"/>
      <c r="L591" s="293"/>
      <c r="M591" s="293"/>
      <c r="N591" s="293"/>
      <c r="O591" s="293"/>
      <c r="P591" s="293"/>
      <c r="Q591" s="293"/>
      <c r="R591" s="293"/>
      <c r="S591" s="293"/>
      <c r="T591" s="293"/>
      <c r="U591" s="293"/>
      <c r="V591" s="293"/>
      <c r="W591" s="293"/>
      <c r="X591" s="293"/>
      <c r="Y591" s="293"/>
      <c r="Z591" s="293"/>
      <c r="AA591" s="293"/>
      <c r="AB591" s="293"/>
      <c r="AC591" s="293"/>
      <c r="AD591" s="293"/>
    </row>
    <row r="592">
      <c r="A592" s="293"/>
      <c r="B592" s="308"/>
      <c r="C592" s="293"/>
      <c r="D592" s="293"/>
      <c r="E592" s="293"/>
      <c r="F592" s="293"/>
      <c r="G592" s="293"/>
      <c r="H592" s="293"/>
      <c r="I592" s="293"/>
      <c r="J592" s="293"/>
      <c r="K592" s="293"/>
      <c r="L592" s="293"/>
      <c r="M592" s="293"/>
      <c r="N592" s="293"/>
      <c r="O592" s="293"/>
      <c r="P592" s="293"/>
      <c r="Q592" s="293"/>
      <c r="R592" s="293"/>
      <c r="S592" s="293"/>
      <c r="T592" s="293"/>
      <c r="U592" s="293"/>
      <c r="V592" s="293"/>
      <c r="W592" s="293"/>
      <c r="X592" s="293"/>
      <c r="Y592" s="293"/>
      <c r="Z592" s="293"/>
      <c r="AA592" s="293"/>
      <c r="AB592" s="293"/>
      <c r="AC592" s="293"/>
      <c r="AD592" s="293"/>
    </row>
    <row r="593">
      <c r="A593" s="293"/>
      <c r="B593" s="308"/>
      <c r="C593" s="293"/>
      <c r="D593" s="293"/>
      <c r="E593" s="293"/>
      <c r="F593" s="293"/>
      <c r="G593" s="293"/>
      <c r="H593" s="293"/>
      <c r="I593" s="293"/>
      <c r="J593" s="293"/>
      <c r="K593" s="293"/>
      <c r="L593" s="293"/>
      <c r="M593" s="293"/>
      <c r="N593" s="293"/>
      <c r="O593" s="293"/>
      <c r="P593" s="293"/>
      <c r="Q593" s="293"/>
      <c r="R593" s="293"/>
      <c r="S593" s="293"/>
      <c r="T593" s="293"/>
      <c r="U593" s="293"/>
      <c r="V593" s="293"/>
      <c r="W593" s="293"/>
      <c r="X593" s="293"/>
      <c r="Y593" s="293"/>
      <c r="Z593" s="293"/>
      <c r="AA593" s="293"/>
      <c r="AB593" s="293"/>
      <c r="AC593" s="293"/>
      <c r="AD593" s="293"/>
    </row>
    <row r="594">
      <c r="A594" s="293"/>
      <c r="B594" s="308"/>
      <c r="C594" s="293"/>
      <c r="D594" s="293"/>
      <c r="E594" s="293"/>
      <c r="F594" s="293"/>
      <c r="G594" s="293"/>
      <c r="H594" s="293"/>
      <c r="I594" s="293"/>
      <c r="J594" s="293"/>
      <c r="K594" s="293"/>
      <c r="L594" s="293"/>
      <c r="M594" s="293"/>
      <c r="N594" s="293"/>
      <c r="O594" s="293"/>
      <c r="P594" s="293"/>
      <c r="Q594" s="293"/>
      <c r="R594" s="293"/>
      <c r="S594" s="293"/>
      <c r="T594" s="293"/>
      <c r="U594" s="293"/>
      <c r="V594" s="293"/>
      <c r="W594" s="293"/>
      <c r="X594" s="293"/>
      <c r="Y594" s="293"/>
      <c r="Z594" s="293"/>
      <c r="AA594" s="293"/>
      <c r="AB594" s="293"/>
      <c r="AC594" s="293"/>
      <c r="AD594" s="293"/>
    </row>
    <row r="595">
      <c r="A595" s="293"/>
      <c r="B595" s="308"/>
      <c r="C595" s="293"/>
      <c r="D595" s="293"/>
      <c r="E595" s="293"/>
      <c r="F595" s="293"/>
      <c r="G595" s="293"/>
      <c r="H595" s="293"/>
      <c r="I595" s="293"/>
      <c r="J595" s="293"/>
      <c r="K595" s="293"/>
      <c r="L595" s="293"/>
      <c r="M595" s="293"/>
      <c r="N595" s="293"/>
      <c r="O595" s="293"/>
      <c r="P595" s="293"/>
      <c r="Q595" s="293"/>
      <c r="R595" s="293"/>
      <c r="S595" s="293"/>
      <c r="T595" s="293"/>
      <c r="U595" s="293"/>
      <c r="V595" s="293"/>
      <c r="W595" s="293"/>
      <c r="X595" s="293"/>
      <c r="Y595" s="293"/>
      <c r="Z595" s="293"/>
      <c r="AA595" s="293"/>
      <c r="AB595" s="293"/>
      <c r="AC595" s="293"/>
      <c r="AD595" s="293"/>
    </row>
    <row r="596">
      <c r="A596" s="293"/>
      <c r="B596" s="308"/>
      <c r="C596" s="293"/>
      <c r="D596" s="293"/>
      <c r="E596" s="293"/>
      <c r="F596" s="293"/>
      <c r="G596" s="293"/>
      <c r="H596" s="293"/>
      <c r="I596" s="293"/>
      <c r="J596" s="293"/>
      <c r="K596" s="293"/>
      <c r="L596" s="293"/>
      <c r="M596" s="293"/>
      <c r="N596" s="293"/>
      <c r="O596" s="293"/>
      <c r="P596" s="293"/>
      <c r="Q596" s="293"/>
      <c r="R596" s="293"/>
      <c r="S596" s="293"/>
      <c r="T596" s="293"/>
      <c r="U596" s="293"/>
      <c r="V596" s="293"/>
      <c r="W596" s="293"/>
      <c r="X596" s="293"/>
      <c r="Y596" s="293"/>
      <c r="Z596" s="293"/>
      <c r="AA596" s="293"/>
      <c r="AB596" s="293"/>
      <c r="AC596" s="293"/>
      <c r="AD596" s="293"/>
    </row>
    <row r="597">
      <c r="A597" s="293"/>
      <c r="B597" s="308"/>
      <c r="C597" s="293"/>
      <c r="D597" s="293"/>
      <c r="E597" s="293"/>
      <c r="F597" s="293"/>
      <c r="G597" s="293"/>
      <c r="H597" s="293"/>
      <c r="I597" s="293"/>
      <c r="J597" s="293"/>
      <c r="K597" s="293"/>
      <c r="L597" s="293"/>
      <c r="M597" s="293"/>
      <c r="N597" s="293"/>
      <c r="O597" s="293"/>
      <c r="P597" s="293"/>
      <c r="Q597" s="293"/>
      <c r="R597" s="293"/>
      <c r="S597" s="293"/>
      <c r="T597" s="293"/>
      <c r="U597" s="293"/>
      <c r="V597" s="293"/>
      <c r="W597" s="293"/>
      <c r="X597" s="293"/>
      <c r="Y597" s="293"/>
      <c r="Z597" s="293"/>
      <c r="AA597" s="293"/>
      <c r="AB597" s="293"/>
      <c r="AC597" s="293"/>
      <c r="AD597" s="293"/>
    </row>
    <row r="598">
      <c r="A598" s="293"/>
      <c r="B598" s="308"/>
      <c r="C598" s="293"/>
      <c r="D598" s="293"/>
      <c r="E598" s="293"/>
      <c r="F598" s="293"/>
      <c r="G598" s="293"/>
      <c r="H598" s="293"/>
      <c r="I598" s="293"/>
      <c r="J598" s="293"/>
      <c r="K598" s="293"/>
      <c r="L598" s="293"/>
      <c r="M598" s="293"/>
      <c r="N598" s="293"/>
      <c r="O598" s="293"/>
      <c r="P598" s="293"/>
      <c r="Q598" s="293"/>
      <c r="R598" s="293"/>
      <c r="S598" s="293"/>
      <c r="T598" s="293"/>
      <c r="U598" s="293"/>
      <c r="V598" s="293"/>
      <c r="W598" s="293"/>
      <c r="X598" s="293"/>
      <c r="Y598" s="293"/>
      <c r="Z598" s="293"/>
      <c r="AA598" s="293"/>
      <c r="AB598" s="293"/>
      <c r="AC598" s="293"/>
      <c r="AD598" s="293"/>
    </row>
    <row r="599">
      <c r="A599" s="293"/>
      <c r="B599" s="308"/>
      <c r="C599" s="293"/>
      <c r="D599" s="293"/>
      <c r="E599" s="293"/>
      <c r="F599" s="293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93"/>
      <c r="V599" s="293"/>
      <c r="W599" s="293"/>
      <c r="X599" s="293"/>
      <c r="Y599" s="293"/>
      <c r="Z599" s="293"/>
      <c r="AA599" s="293"/>
      <c r="AB599" s="293"/>
      <c r="AC599" s="293"/>
      <c r="AD599" s="293"/>
    </row>
    <row r="600">
      <c r="A600" s="293"/>
      <c r="B600" s="308"/>
      <c r="C600" s="293"/>
      <c r="D600" s="293"/>
      <c r="E600" s="293"/>
      <c r="F600" s="293"/>
      <c r="G600" s="293"/>
      <c r="H600" s="293"/>
      <c r="I600" s="293"/>
      <c r="J600" s="293"/>
      <c r="K600" s="293"/>
      <c r="L600" s="293"/>
      <c r="M600" s="293"/>
      <c r="N600" s="293"/>
      <c r="O600" s="293"/>
      <c r="P600" s="293"/>
      <c r="Q600" s="293"/>
      <c r="R600" s="293"/>
      <c r="S600" s="293"/>
      <c r="T600" s="293"/>
      <c r="U600" s="293"/>
      <c r="V600" s="293"/>
      <c r="W600" s="293"/>
      <c r="X600" s="293"/>
      <c r="Y600" s="293"/>
      <c r="Z600" s="293"/>
      <c r="AA600" s="293"/>
      <c r="AB600" s="293"/>
      <c r="AC600" s="293"/>
      <c r="AD600" s="293"/>
    </row>
    <row r="601">
      <c r="A601" s="293"/>
      <c r="B601" s="308"/>
      <c r="C601" s="293"/>
      <c r="D601" s="293"/>
      <c r="E601" s="293"/>
      <c r="F601" s="293"/>
      <c r="G601" s="293"/>
      <c r="H601" s="293"/>
      <c r="I601" s="293"/>
      <c r="J601" s="293"/>
      <c r="K601" s="293"/>
      <c r="L601" s="293"/>
      <c r="M601" s="293"/>
      <c r="N601" s="293"/>
      <c r="O601" s="293"/>
      <c r="P601" s="293"/>
      <c r="Q601" s="293"/>
      <c r="R601" s="293"/>
      <c r="S601" s="293"/>
      <c r="T601" s="293"/>
      <c r="U601" s="293"/>
      <c r="V601" s="293"/>
      <c r="W601" s="293"/>
      <c r="X601" s="293"/>
      <c r="Y601" s="293"/>
      <c r="Z601" s="293"/>
      <c r="AA601" s="293"/>
      <c r="AB601" s="293"/>
      <c r="AC601" s="293"/>
      <c r="AD601" s="293"/>
    </row>
    <row r="602">
      <c r="A602" s="293"/>
      <c r="B602" s="308"/>
      <c r="C602" s="293"/>
      <c r="D602" s="293"/>
      <c r="E602" s="293"/>
      <c r="F602" s="293"/>
      <c r="G602" s="293"/>
      <c r="H602" s="293"/>
      <c r="I602" s="293"/>
      <c r="J602" s="293"/>
      <c r="K602" s="293"/>
      <c r="L602" s="293"/>
      <c r="M602" s="293"/>
      <c r="N602" s="293"/>
      <c r="O602" s="293"/>
      <c r="P602" s="293"/>
      <c r="Q602" s="293"/>
      <c r="R602" s="293"/>
      <c r="S602" s="293"/>
      <c r="T602" s="293"/>
      <c r="U602" s="293"/>
      <c r="V602" s="293"/>
      <c r="W602" s="293"/>
      <c r="X602" s="293"/>
      <c r="Y602" s="293"/>
      <c r="Z602" s="293"/>
      <c r="AA602" s="293"/>
      <c r="AB602" s="293"/>
      <c r="AC602" s="293"/>
      <c r="AD602" s="293"/>
    </row>
    <row r="603">
      <c r="A603" s="293"/>
      <c r="B603" s="308"/>
      <c r="C603" s="293"/>
      <c r="D603" s="293"/>
      <c r="E603" s="293"/>
      <c r="F603" s="293"/>
      <c r="G603" s="293"/>
      <c r="H603" s="293"/>
      <c r="I603" s="293"/>
      <c r="J603" s="293"/>
      <c r="K603" s="293"/>
      <c r="L603" s="293"/>
      <c r="M603" s="293"/>
      <c r="N603" s="293"/>
      <c r="O603" s="293"/>
      <c r="P603" s="293"/>
      <c r="Q603" s="293"/>
      <c r="R603" s="293"/>
      <c r="S603" s="293"/>
      <c r="T603" s="293"/>
      <c r="U603" s="293"/>
      <c r="V603" s="293"/>
      <c r="W603" s="293"/>
      <c r="X603" s="293"/>
      <c r="Y603" s="293"/>
      <c r="Z603" s="293"/>
      <c r="AA603" s="293"/>
      <c r="AB603" s="293"/>
      <c r="AC603" s="293"/>
      <c r="AD603" s="293"/>
    </row>
    <row r="604">
      <c r="A604" s="293"/>
      <c r="B604" s="308"/>
      <c r="C604" s="293"/>
      <c r="D604" s="293"/>
      <c r="E604" s="293"/>
      <c r="F604" s="293"/>
      <c r="G604" s="293"/>
      <c r="H604" s="293"/>
      <c r="I604" s="293"/>
      <c r="J604" s="293"/>
      <c r="K604" s="293"/>
      <c r="L604" s="293"/>
      <c r="M604" s="293"/>
      <c r="N604" s="293"/>
      <c r="O604" s="293"/>
      <c r="P604" s="293"/>
      <c r="Q604" s="293"/>
      <c r="R604" s="293"/>
      <c r="S604" s="293"/>
      <c r="T604" s="293"/>
      <c r="U604" s="293"/>
      <c r="V604" s="293"/>
      <c r="W604" s="293"/>
      <c r="X604" s="293"/>
      <c r="Y604" s="293"/>
      <c r="Z604" s="293"/>
      <c r="AA604" s="293"/>
      <c r="AB604" s="293"/>
      <c r="AC604" s="293"/>
      <c r="AD604" s="293"/>
    </row>
    <row r="605">
      <c r="A605" s="293"/>
      <c r="B605" s="308"/>
      <c r="C605" s="293"/>
      <c r="D605" s="293"/>
      <c r="E605" s="293"/>
      <c r="F605" s="293"/>
      <c r="G605" s="293"/>
      <c r="H605" s="293"/>
      <c r="I605" s="293"/>
      <c r="J605" s="293"/>
      <c r="K605" s="293"/>
      <c r="L605" s="293"/>
      <c r="M605" s="293"/>
      <c r="N605" s="293"/>
      <c r="O605" s="293"/>
      <c r="P605" s="293"/>
      <c r="Q605" s="293"/>
      <c r="R605" s="293"/>
      <c r="S605" s="293"/>
      <c r="T605" s="293"/>
      <c r="U605" s="293"/>
      <c r="V605" s="293"/>
      <c r="W605" s="293"/>
      <c r="X605" s="293"/>
      <c r="Y605" s="293"/>
      <c r="Z605" s="293"/>
      <c r="AA605" s="293"/>
      <c r="AB605" s="293"/>
      <c r="AC605" s="293"/>
      <c r="AD605" s="293"/>
    </row>
    <row r="606">
      <c r="A606" s="293"/>
      <c r="B606" s="308"/>
      <c r="C606" s="293"/>
      <c r="D606" s="293"/>
      <c r="E606" s="293"/>
      <c r="F606" s="293"/>
      <c r="G606" s="293"/>
      <c r="H606" s="293"/>
      <c r="I606" s="293"/>
      <c r="J606" s="293"/>
      <c r="K606" s="293"/>
      <c r="L606" s="293"/>
      <c r="M606" s="293"/>
      <c r="N606" s="293"/>
      <c r="O606" s="293"/>
      <c r="P606" s="293"/>
      <c r="Q606" s="293"/>
      <c r="R606" s="293"/>
      <c r="S606" s="293"/>
      <c r="T606" s="293"/>
      <c r="U606" s="293"/>
      <c r="V606" s="293"/>
      <c r="W606" s="293"/>
      <c r="X606" s="293"/>
      <c r="Y606" s="293"/>
      <c r="Z606" s="293"/>
      <c r="AA606" s="293"/>
      <c r="AB606" s="293"/>
      <c r="AC606" s="293"/>
      <c r="AD606" s="293"/>
    </row>
    <row r="607">
      <c r="A607" s="293"/>
      <c r="B607" s="308"/>
      <c r="C607" s="293"/>
      <c r="D607" s="293"/>
      <c r="E607" s="293"/>
      <c r="F607" s="293"/>
      <c r="G607" s="293"/>
      <c r="H607" s="293"/>
      <c r="I607" s="293"/>
      <c r="J607" s="293"/>
      <c r="K607" s="293"/>
      <c r="L607" s="293"/>
      <c r="M607" s="293"/>
      <c r="N607" s="293"/>
      <c r="O607" s="293"/>
      <c r="P607" s="293"/>
      <c r="Q607" s="293"/>
      <c r="R607" s="293"/>
      <c r="S607" s="293"/>
      <c r="T607" s="293"/>
      <c r="U607" s="293"/>
      <c r="V607" s="293"/>
      <c r="W607" s="293"/>
      <c r="X607" s="293"/>
      <c r="Y607" s="293"/>
      <c r="Z607" s="293"/>
      <c r="AA607" s="293"/>
      <c r="AB607" s="293"/>
      <c r="AC607" s="293"/>
      <c r="AD607" s="293"/>
    </row>
    <row r="608">
      <c r="A608" s="293"/>
      <c r="B608" s="308"/>
      <c r="C608" s="293"/>
      <c r="D608" s="293"/>
      <c r="E608" s="293"/>
      <c r="F608" s="293"/>
      <c r="G608" s="293"/>
      <c r="H608" s="293"/>
      <c r="I608" s="293"/>
      <c r="J608" s="293"/>
      <c r="K608" s="293"/>
      <c r="L608" s="293"/>
      <c r="M608" s="293"/>
      <c r="N608" s="293"/>
      <c r="O608" s="293"/>
      <c r="P608" s="293"/>
      <c r="Q608" s="293"/>
      <c r="R608" s="293"/>
      <c r="S608" s="293"/>
      <c r="T608" s="293"/>
      <c r="U608" s="293"/>
      <c r="V608" s="293"/>
      <c r="W608" s="293"/>
      <c r="X608" s="293"/>
      <c r="Y608" s="293"/>
      <c r="Z608" s="293"/>
      <c r="AA608" s="293"/>
      <c r="AB608" s="293"/>
      <c r="AC608" s="293"/>
      <c r="AD608" s="293"/>
    </row>
    <row r="609">
      <c r="A609" s="293"/>
      <c r="B609" s="308"/>
      <c r="C609" s="293"/>
      <c r="D609" s="293"/>
      <c r="E609" s="293"/>
      <c r="F609" s="293"/>
      <c r="G609" s="293"/>
      <c r="H609" s="293"/>
      <c r="I609" s="293"/>
      <c r="J609" s="293"/>
      <c r="K609" s="293"/>
      <c r="L609" s="293"/>
      <c r="M609" s="293"/>
      <c r="N609" s="293"/>
      <c r="O609" s="293"/>
      <c r="P609" s="293"/>
      <c r="Q609" s="293"/>
      <c r="R609" s="293"/>
      <c r="S609" s="293"/>
      <c r="T609" s="293"/>
      <c r="U609" s="293"/>
      <c r="V609" s="293"/>
      <c r="W609" s="293"/>
      <c r="X609" s="293"/>
      <c r="Y609" s="293"/>
      <c r="Z609" s="293"/>
      <c r="AA609" s="293"/>
      <c r="AB609" s="293"/>
      <c r="AC609" s="293"/>
      <c r="AD609" s="293"/>
    </row>
    <row r="610">
      <c r="A610" s="293"/>
      <c r="B610" s="308"/>
      <c r="C610" s="293"/>
      <c r="D610" s="293"/>
      <c r="E610" s="293"/>
      <c r="F610" s="293"/>
      <c r="G610" s="293"/>
      <c r="H610" s="293"/>
      <c r="I610" s="293"/>
      <c r="J610" s="293"/>
      <c r="K610" s="293"/>
      <c r="L610" s="293"/>
      <c r="M610" s="293"/>
      <c r="N610" s="293"/>
      <c r="O610" s="293"/>
      <c r="P610" s="293"/>
      <c r="Q610" s="293"/>
      <c r="R610" s="293"/>
      <c r="S610" s="293"/>
      <c r="T610" s="293"/>
      <c r="U610" s="293"/>
      <c r="V610" s="293"/>
      <c r="W610" s="293"/>
      <c r="X610" s="293"/>
      <c r="Y610" s="293"/>
      <c r="Z610" s="293"/>
      <c r="AA610" s="293"/>
      <c r="AB610" s="293"/>
      <c r="AC610" s="293"/>
      <c r="AD610" s="293"/>
    </row>
    <row r="611">
      <c r="A611" s="293"/>
      <c r="B611" s="308"/>
      <c r="C611" s="293"/>
      <c r="D611" s="293"/>
      <c r="E611" s="293"/>
      <c r="F611" s="293"/>
      <c r="G611" s="293"/>
      <c r="H611" s="293"/>
      <c r="I611" s="293"/>
      <c r="J611" s="293"/>
      <c r="K611" s="293"/>
      <c r="L611" s="293"/>
      <c r="M611" s="293"/>
      <c r="N611" s="293"/>
      <c r="O611" s="293"/>
      <c r="P611" s="293"/>
      <c r="Q611" s="293"/>
      <c r="R611" s="293"/>
      <c r="S611" s="293"/>
      <c r="T611" s="293"/>
      <c r="U611" s="293"/>
      <c r="V611" s="293"/>
      <c r="W611" s="293"/>
      <c r="X611" s="293"/>
      <c r="Y611" s="293"/>
      <c r="Z611" s="293"/>
      <c r="AA611" s="293"/>
      <c r="AB611" s="293"/>
      <c r="AC611" s="293"/>
      <c r="AD611" s="293"/>
    </row>
    <row r="612">
      <c r="A612" s="293"/>
      <c r="B612" s="308"/>
      <c r="C612" s="293"/>
      <c r="D612" s="293"/>
      <c r="E612" s="293"/>
      <c r="F612" s="293"/>
      <c r="G612" s="293"/>
      <c r="H612" s="293"/>
      <c r="I612" s="293"/>
      <c r="J612" s="293"/>
      <c r="K612" s="293"/>
      <c r="L612" s="293"/>
      <c r="M612" s="293"/>
      <c r="N612" s="293"/>
      <c r="O612" s="293"/>
      <c r="P612" s="293"/>
      <c r="Q612" s="293"/>
      <c r="R612" s="293"/>
      <c r="S612" s="293"/>
      <c r="T612" s="293"/>
      <c r="U612" s="293"/>
      <c r="V612" s="293"/>
      <c r="W612" s="293"/>
      <c r="X612" s="293"/>
      <c r="Y612" s="293"/>
      <c r="Z612" s="293"/>
      <c r="AA612" s="293"/>
      <c r="AB612" s="293"/>
      <c r="AC612" s="293"/>
      <c r="AD612" s="293"/>
    </row>
    <row r="613">
      <c r="A613" s="293"/>
      <c r="B613" s="308"/>
      <c r="C613" s="293"/>
      <c r="D613" s="293"/>
      <c r="E613" s="293"/>
      <c r="F613" s="293"/>
      <c r="G613" s="293"/>
      <c r="H613" s="293"/>
      <c r="I613" s="293"/>
      <c r="J613" s="293"/>
      <c r="K613" s="293"/>
      <c r="L613" s="293"/>
      <c r="M613" s="293"/>
      <c r="N613" s="293"/>
      <c r="O613" s="293"/>
      <c r="P613" s="293"/>
      <c r="Q613" s="293"/>
      <c r="R613" s="293"/>
      <c r="S613" s="293"/>
      <c r="T613" s="293"/>
      <c r="U613" s="293"/>
      <c r="V613" s="293"/>
      <c r="W613" s="293"/>
      <c r="X613" s="293"/>
      <c r="Y613" s="293"/>
      <c r="Z613" s="293"/>
      <c r="AA613" s="293"/>
      <c r="AB613" s="293"/>
      <c r="AC613" s="293"/>
      <c r="AD613" s="293"/>
    </row>
    <row r="614">
      <c r="A614" s="293"/>
      <c r="B614" s="308"/>
      <c r="C614" s="293"/>
      <c r="D614" s="293"/>
      <c r="E614" s="293"/>
      <c r="F614" s="293"/>
      <c r="G614" s="293"/>
      <c r="H614" s="293"/>
      <c r="I614" s="293"/>
      <c r="J614" s="293"/>
      <c r="K614" s="293"/>
      <c r="L614" s="293"/>
      <c r="M614" s="293"/>
      <c r="N614" s="293"/>
      <c r="O614" s="293"/>
      <c r="P614" s="293"/>
      <c r="Q614" s="293"/>
      <c r="R614" s="293"/>
      <c r="S614" s="293"/>
      <c r="T614" s="293"/>
      <c r="U614" s="293"/>
      <c r="V614" s="293"/>
      <c r="W614" s="293"/>
      <c r="X614" s="293"/>
      <c r="Y614" s="293"/>
      <c r="Z614" s="293"/>
      <c r="AA614" s="293"/>
      <c r="AB614" s="293"/>
      <c r="AC614" s="293"/>
      <c r="AD614" s="293"/>
    </row>
    <row r="615">
      <c r="A615" s="293"/>
      <c r="B615" s="308"/>
      <c r="C615" s="293"/>
      <c r="D615" s="293"/>
      <c r="E615" s="293"/>
      <c r="F615" s="293"/>
      <c r="G615" s="293"/>
      <c r="H615" s="293"/>
      <c r="I615" s="293"/>
      <c r="J615" s="293"/>
      <c r="K615" s="293"/>
      <c r="L615" s="293"/>
      <c r="M615" s="293"/>
      <c r="N615" s="293"/>
      <c r="O615" s="293"/>
      <c r="P615" s="293"/>
      <c r="Q615" s="293"/>
      <c r="R615" s="293"/>
      <c r="S615" s="293"/>
      <c r="T615" s="293"/>
      <c r="U615" s="293"/>
      <c r="V615" s="293"/>
      <c r="W615" s="293"/>
      <c r="X615" s="293"/>
      <c r="Y615" s="293"/>
      <c r="Z615" s="293"/>
      <c r="AA615" s="293"/>
      <c r="AB615" s="293"/>
      <c r="AC615" s="293"/>
      <c r="AD615" s="293"/>
    </row>
    <row r="616">
      <c r="A616" s="293"/>
      <c r="B616" s="308"/>
      <c r="C616" s="293"/>
      <c r="D616" s="293"/>
      <c r="E616" s="293"/>
      <c r="F616" s="293"/>
      <c r="G616" s="293"/>
      <c r="H616" s="293"/>
      <c r="I616" s="293"/>
      <c r="J616" s="293"/>
      <c r="K616" s="293"/>
      <c r="L616" s="293"/>
      <c r="M616" s="293"/>
      <c r="N616" s="293"/>
      <c r="O616" s="293"/>
      <c r="P616" s="293"/>
      <c r="Q616" s="293"/>
      <c r="R616" s="293"/>
      <c r="S616" s="293"/>
      <c r="T616" s="293"/>
      <c r="U616" s="293"/>
      <c r="V616" s="293"/>
      <c r="W616" s="293"/>
      <c r="X616" s="293"/>
      <c r="Y616" s="293"/>
      <c r="Z616" s="293"/>
      <c r="AA616" s="293"/>
      <c r="AB616" s="293"/>
      <c r="AC616" s="293"/>
      <c r="AD616" s="293"/>
    </row>
    <row r="617">
      <c r="A617" s="293"/>
      <c r="B617" s="308"/>
      <c r="C617" s="293"/>
      <c r="D617" s="293"/>
      <c r="E617" s="293"/>
      <c r="F617" s="293"/>
      <c r="G617" s="293"/>
      <c r="H617" s="293"/>
      <c r="I617" s="293"/>
      <c r="J617" s="293"/>
      <c r="K617" s="293"/>
      <c r="L617" s="293"/>
      <c r="M617" s="293"/>
      <c r="N617" s="293"/>
      <c r="O617" s="293"/>
      <c r="P617" s="293"/>
      <c r="Q617" s="293"/>
      <c r="R617" s="293"/>
      <c r="S617" s="293"/>
      <c r="T617" s="293"/>
      <c r="U617" s="293"/>
      <c r="V617" s="293"/>
      <c r="W617" s="293"/>
      <c r="X617" s="293"/>
      <c r="Y617" s="293"/>
      <c r="Z617" s="293"/>
      <c r="AA617" s="293"/>
      <c r="AB617" s="293"/>
      <c r="AC617" s="293"/>
      <c r="AD617" s="293"/>
    </row>
    <row r="618">
      <c r="A618" s="293"/>
      <c r="B618" s="308"/>
      <c r="C618" s="293"/>
      <c r="D618" s="293"/>
      <c r="E618" s="293"/>
      <c r="F618" s="293"/>
      <c r="G618" s="293"/>
      <c r="H618" s="293"/>
      <c r="I618" s="293"/>
      <c r="J618" s="293"/>
      <c r="K618" s="293"/>
      <c r="L618" s="293"/>
      <c r="M618" s="293"/>
      <c r="N618" s="293"/>
      <c r="O618" s="293"/>
      <c r="P618" s="293"/>
      <c r="Q618" s="293"/>
      <c r="R618" s="293"/>
      <c r="S618" s="293"/>
      <c r="T618" s="293"/>
      <c r="U618" s="293"/>
      <c r="V618" s="293"/>
      <c r="W618" s="293"/>
      <c r="X618" s="293"/>
      <c r="Y618" s="293"/>
      <c r="Z618" s="293"/>
      <c r="AA618" s="293"/>
      <c r="AB618" s="293"/>
      <c r="AC618" s="293"/>
      <c r="AD618" s="293"/>
    </row>
    <row r="619">
      <c r="A619" s="293"/>
      <c r="B619" s="308"/>
      <c r="C619" s="293"/>
      <c r="D619" s="293"/>
      <c r="E619" s="293"/>
      <c r="F619" s="293"/>
      <c r="G619" s="293"/>
      <c r="H619" s="293"/>
      <c r="I619" s="293"/>
      <c r="J619" s="293"/>
      <c r="K619" s="293"/>
      <c r="L619" s="293"/>
      <c r="M619" s="293"/>
      <c r="N619" s="293"/>
      <c r="O619" s="293"/>
      <c r="P619" s="293"/>
      <c r="Q619" s="293"/>
      <c r="R619" s="293"/>
      <c r="S619" s="293"/>
      <c r="T619" s="293"/>
      <c r="U619" s="293"/>
      <c r="V619" s="293"/>
      <c r="W619" s="293"/>
      <c r="X619" s="293"/>
      <c r="Y619" s="293"/>
      <c r="Z619" s="293"/>
      <c r="AA619" s="293"/>
      <c r="AB619" s="293"/>
      <c r="AC619" s="293"/>
      <c r="AD619" s="293"/>
    </row>
    <row r="620">
      <c r="A620" s="293"/>
      <c r="B620" s="308"/>
      <c r="C620" s="293"/>
      <c r="D620" s="293"/>
      <c r="E620" s="293"/>
      <c r="F620" s="293"/>
      <c r="G620" s="293"/>
      <c r="H620" s="293"/>
      <c r="I620" s="293"/>
      <c r="J620" s="293"/>
      <c r="K620" s="293"/>
      <c r="L620" s="293"/>
      <c r="M620" s="293"/>
      <c r="N620" s="293"/>
      <c r="O620" s="293"/>
      <c r="P620" s="293"/>
      <c r="Q620" s="293"/>
      <c r="R620" s="293"/>
      <c r="S620" s="293"/>
      <c r="T620" s="293"/>
      <c r="U620" s="293"/>
      <c r="V620" s="293"/>
      <c r="W620" s="293"/>
      <c r="X620" s="293"/>
      <c r="Y620" s="293"/>
      <c r="Z620" s="293"/>
      <c r="AA620" s="293"/>
      <c r="AB620" s="293"/>
      <c r="AC620" s="293"/>
      <c r="AD620" s="293"/>
    </row>
    <row r="621">
      <c r="A621" s="293"/>
      <c r="B621" s="308"/>
      <c r="C621" s="293"/>
      <c r="D621" s="293"/>
      <c r="E621" s="293"/>
      <c r="F621" s="293"/>
      <c r="G621" s="293"/>
      <c r="H621" s="293"/>
      <c r="I621" s="293"/>
      <c r="J621" s="293"/>
      <c r="K621" s="293"/>
      <c r="L621" s="293"/>
      <c r="M621" s="293"/>
      <c r="N621" s="293"/>
      <c r="O621" s="293"/>
      <c r="P621" s="293"/>
      <c r="Q621" s="293"/>
      <c r="R621" s="293"/>
      <c r="S621" s="293"/>
      <c r="T621" s="293"/>
      <c r="U621" s="293"/>
      <c r="V621" s="293"/>
      <c r="W621" s="293"/>
      <c r="X621" s="293"/>
      <c r="Y621" s="293"/>
      <c r="Z621" s="293"/>
      <c r="AA621" s="293"/>
      <c r="AB621" s="293"/>
      <c r="AC621" s="293"/>
      <c r="AD621" s="293"/>
    </row>
    <row r="622">
      <c r="A622" s="293"/>
      <c r="B622" s="308"/>
      <c r="C622" s="293"/>
      <c r="D622" s="293"/>
      <c r="E622" s="293"/>
      <c r="F622" s="293"/>
      <c r="G622" s="293"/>
      <c r="H622" s="293"/>
      <c r="I622" s="293"/>
      <c r="J622" s="293"/>
      <c r="K622" s="293"/>
      <c r="L622" s="293"/>
      <c r="M622" s="293"/>
      <c r="N622" s="293"/>
      <c r="O622" s="293"/>
      <c r="P622" s="293"/>
      <c r="Q622" s="293"/>
      <c r="R622" s="293"/>
      <c r="S622" s="293"/>
      <c r="T622" s="293"/>
      <c r="U622" s="293"/>
      <c r="V622" s="293"/>
      <c r="W622" s="293"/>
      <c r="X622" s="293"/>
      <c r="Y622" s="293"/>
      <c r="Z622" s="293"/>
      <c r="AA622" s="293"/>
      <c r="AB622" s="293"/>
      <c r="AC622" s="293"/>
      <c r="AD622" s="293"/>
    </row>
    <row r="623">
      <c r="A623" s="293"/>
      <c r="B623" s="308"/>
      <c r="C623" s="293"/>
      <c r="D623" s="293"/>
      <c r="E623" s="293"/>
      <c r="F623" s="293"/>
      <c r="G623" s="293"/>
      <c r="H623" s="293"/>
      <c r="I623" s="293"/>
      <c r="J623" s="293"/>
      <c r="K623" s="293"/>
      <c r="L623" s="293"/>
      <c r="M623" s="293"/>
      <c r="N623" s="293"/>
      <c r="O623" s="293"/>
      <c r="P623" s="293"/>
      <c r="Q623" s="293"/>
      <c r="R623" s="293"/>
      <c r="S623" s="293"/>
      <c r="T623" s="293"/>
      <c r="U623" s="293"/>
      <c r="V623" s="293"/>
      <c r="W623" s="293"/>
      <c r="X623" s="293"/>
      <c r="Y623" s="293"/>
      <c r="Z623" s="293"/>
      <c r="AA623" s="293"/>
      <c r="AB623" s="293"/>
      <c r="AC623" s="293"/>
      <c r="AD623" s="293"/>
    </row>
    <row r="624">
      <c r="A624" s="293"/>
      <c r="B624" s="308"/>
      <c r="C624" s="293"/>
      <c r="D624" s="293"/>
      <c r="E624" s="293"/>
      <c r="F624" s="293"/>
      <c r="G624" s="293"/>
      <c r="H624" s="293"/>
      <c r="I624" s="293"/>
      <c r="J624" s="293"/>
      <c r="K624" s="293"/>
      <c r="L624" s="293"/>
      <c r="M624" s="293"/>
      <c r="N624" s="293"/>
      <c r="O624" s="293"/>
      <c r="P624" s="293"/>
      <c r="Q624" s="293"/>
      <c r="R624" s="293"/>
      <c r="S624" s="293"/>
      <c r="T624" s="293"/>
      <c r="U624" s="293"/>
      <c r="V624" s="293"/>
      <c r="W624" s="293"/>
      <c r="X624" s="293"/>
      <c r="Y624" s="293"/>
      <c r="Z624" s="293"/>
      <c r="AA624" s="293"/>
      <c r="AB624" s="293"/>
      <c r="AC624" s="293"/>
      <c r="AD624" s="293"/>
    </row>
    <row r="625">
      <c r="A625" s="293"/>
      <c r="B625" s="308"/>
      <c r="C625" s="293"/>
      <c r="D625" s="293"/>
      <c r="E625" s="293"/>
      <c r="F625" s="293"/>
      <c r="G625" s="293"/>
      <c r="H625" s="293"/>
      <c r="I625" s="293"/>
      <c r="J625" s="293"/>
      <c r="K625" s="293"/>
      <c r="L625" s="293"/>
      <c r="M625" s="293"/>
      <c r="N625" s="293"/>
      <c r="O625" s="293"/>
      <c r="P625" s="293"/>
      <c r="Q625" s="293"/>
      <c r="R625" s="293"/>
      <c r="S625" s="293"/>
      <c r="T625" s="293"/>
      <c r="U625" s="293"/>
      <c r="V625" s="293"/>
      <c r="W625" s="293"/>
      <c r="X625" s="293"/>
      <c r="Y625" s="293"/>
      <c r="Z625" s="293"/>
      <c r="AA625" s="293"/>
      <c r="AB625" s="293"/>
      <c r="AC625" s="293"/>
      <c r="AD625" s="293"/>
    </row>
    <row r="626">
      <c r="A626" s="293"/>
      <c r="B626" s="308"/>
      <c r="C626" s="293"/>
      <c r="D626" s="293"/>
      <c r="E626" s="293"/>
      <c r="F626" s="293"/>
      <c r="G626" s="293"/>
      <c r="H626" s="293"/>
      <c r="I626" s="293"/>
      <c r="J626" s="293"/>
      <c r="K626" s="293"/>
      <c r="L626" s="293"/>
      <c r="M626" s="293"/>
      <c r="N626" s="293"/>
      <c r="O626" s="293"/>
      <c r="P626" s="293"/>
      <c r="Q626" s="293"/>
      <c r="R626" s="293"/>
      <c r="S626" s="293"/>
      <c r="T626" s="293"/>
      <c r="U626" s="293"/>
      <c r="V626" s="293"/>
      <c r="W626" s="293"/>
      <c r="X626" s="293"/>
      <c r="Y626" s="293"/>
      <c r="Z626" s="293"/>
      <c r="AA626" s="293"/>
      <c r="AB626" s="293"/>
      <c r="AC626" s="293"/>
      <c r="AD626" s="293"/>
    </row>
    <row r="627">
      <c r="A627" s="293"/>
      <c r="B627" s="308"/>
      <c r="C627" s="293"/>
      <c r="D627" s="293"/>
      <c r="E627" s="293"/>
      <c r="F627" s="293"/>
      <c r="G627" s="293"/>
      <c r="H627" s="293"/>
      <c r="I627" s="293"/>
      <c r="J627" s="293"/>
      <c r="K627" s="293"/>
      <c r="L627" s="293"/>
      <c r="M627" s="293"/>
      <c r="N627" s="293"/>
      <c r="O627" s="293"/>
      <c r="P627" s="293"/>
      <c r="Q627" s="293"/>
      <c r="R627" s="293"/>
      <c r="S627" s="293"/>
      <c r="T627" s="293"/>
      <c r="U627" s="293"/>
      <c r="V627" s="293"/>
      <c r="W627" s="293"/>
      <c r="X627" s="293"/>
      <c r="Y627" s="293"/>
      <c r="Z627" s="293"/>
      <c r="AA627" s="293"/>
      <c r="AB627" s="293"/>
      <c r="AC627" s="293"/>
      <c r="AD627" s="293"/>
    </row>
    <row r="628">
      <c r="A628" s="293"/>
      <c r="B628" s="308"/>
      <c r="C628" s="293"/>
      <c r="D628" s="293"/>
      <c r="E628" s="293"/>
      <c r="F628" s="293"/>
      <c r="G628" s="293"/>
      <c r="H628" s="293"/>
      <c r="I628" s="293"/>
      <c r="J628" s="293"/>
      <c r="K628" s="293"/>
      <c r="L628" s="293"/>
      <c r="M628" s="293"/>
      <c r="N628" s="293"/>
      <c r="O628" s="293"/>
      <c r="P628" s="293"/>
      <c r="Q628" s="293"/>
      <c r="R628" s="293"/>
      <c r="S628" s="293"/>
      <c r="T628" s="293"/>
      <c r="U628" s="293"/>
      <c r="V628" s="293"/>
      <c r="W628" s="293"/>
      <c r="X628" s="293"/>
      <c r="Y628" s="293"/>
      <c r="Z628" s="293"/>
      <c r="AA628" s="293"/>
      <c r="AB628" s="293"/>
      <c r="AC628" s="293"/>
      <c r="AD628" s="293"/>
    </row>
    <row r="629">
      <c r="A629" s="293"/>
      <c r="B629" s="308"/>
      <c r="C629" s="293"/>
      <c r="D629" s="293"/>
      <c r="E629" s="293"/>
      <c r="F629" s="293"/>
      <c r="G629" s="293"/>
      <c r="H629" s="293"/>
      <c r="I629" s="293"/>
      <c r="J629" s="293"/>
      <c r="K629" s="293"/>
      <c r="L629" s="293"/>
      <c r="M629" s="293"/>
      <c r="N629" s="293"/>
      <c r="O629" s="293"/>
      <c r="P629" s="293"/>
      <c r="Q629" s="293"/>
      <c r="R629" s="293"/>
      <c r="S629" s="293"/>
      <c r="T629" s="293"/>
      <c r="U629" s="293"/>
      <c r="V629" s="293"/>
      <c r="W629" s="293"/>
      <c r="X629" s="293"/>
      <c r="Y629" s="293"/>
      <c r="Z629" s="293"/>
      <c r="AA629" s="293"/>
      <c r="AB629" s="293"/>
      <c r="AC629" s="293"/>
      <c r="AD629" s="293"/>
    </row>
    <row r="630">
      <c r="A630" s="293"/>
      <c r="B630" s="308"/>
      <c r="C630" s="293"/>
      <c r="D630" s="293"/>
      <c r="E630" s="293"/>
      <c r="F630" s="293"/>
      <c r="G630" s="293"/>
      <c r="H630" s="293"/>
      <c r="I630" s="293"/>
      <c r="J630" s="293"/>
      <c r="K630" s="293"/>
      <c r="L630" s="293"/>
      <c r="M630" s="293"/>
      <c r="N630" s="293"/>
      <c r="O630" s="293"/>
      <c r="P630" s="293"/>
      <c r="Q630" s="293"/>
      <c r="R630" s="293"/>
      <c r="S630" s="293"/>
      <c r="T630" s="293"/>
      <c r="U630" s="293"/>
      <c r="V630" s="293"/>
      <c r="W630" s="293"/>
      <c r="X630" s="293"/>
      <c r="Y630" s="293"/>
      <c r="Z630" s="293"/>
      <c r="AA630" s="293"/>
      <c r="AB630" s="293"/>
      <c r="AC630" s="293"/>
      <c r="AD630" s="293"/>
    </row>
    <row r="631">
      <c r="A631" s="293"/>
      <c r="B631" s="308"/>
      <c r="C631" s="293"/>
      <c r="D631" s="293"/>
      <c r="E631" s="293"/>
      <c r="F631" s="293"/>
      <c r="G631" s="293"/>
      <c r="H631" s="293"/>
      <c r="I631" s="293"/>
      <c r="J631" s="293"/>
      <c r="K631" s="293"/>
      <c r="L631" s="293"/>
      <c r="M631" s="293"/>
      <c r="N631" s="293"/>
      <c r="O631" s="293"/>
      <c r="P631" s="293"/>
      <c r="Q631" s="293"/>
      <c r="R631" s="293"/>
      <c r="S631" s="293"/>
      <c r="T631" s="293"/>
      <c r="U631" s="293"/>
      <c r="V631" s="293"/>
      <c r="W631" s="293"/>
      <c r="X631" s="293"/>
      <c r="Y631" s="293"/>
      <c r="Z631" s="293"/>
      <c r="AA631" s="293"/>
      <c r="AB631" s="293"/>
      <c r="AC631" s="293"/>
      <c r="AD631" s="293"/>
    </row>
    <row r="632">
      <c r="A632" s="293"/>
      <c r="B632" s="308"/>
      <c r="C632" s="293"/>
      <c r="D632" s="293"/>
      <c r="E632" s="293"/>
      <c r="F632" s="293"/>
      <c r="G632" s="293"/>
      <c r="H632" s="293"/>
      <c r="I632" s="293"/>
      <c r="J632" s="293"/>
      <c r="K632" s="293"/>
      <c r="L632" s="293"/>
      <c r="M632" s="293"/>
      <c r="N632" s="293"/>
      <c r="O632" s="293"/>
      <c r="P632" s="293"/>
      <c r="Q632" s="293"/>
      <c r="R632" s="293"/>
      <c r="S632" s="293"/>
      <c r="T632" s="293"/>
      <c r="U632" s="293"/>
      <c r="V632" s="293"/>
      <c r="W632" s="293"/>
      <c r="X632" s="293"/>
      <c r="Y632" s="293"/>
      <c r="Z632" s="293"/>
      <c r="AA632" s="293"/>
      <c r="AB632" s="293"/>
      <c r="AC632" s="293"/>
      <c r="AD632" s="293"/>
    </row>
    <row r="633">
      <c r="A633" s="293"/>
      <c r="B633" s="308"/>
      <c r="C633" s="293"/>
      <c r="D633" s="293"/>
      <c r="E633" s="293"/>
      <c r="F633" s="293"/>
      <c r="G633" s="293"/>
      <c r="H633" s="293"/>
      <c r="I633" s="293"/>
      <c r="J633" s="293"/>
      <c r="K633" s="293"/>
      <c r="L633" s="293"/>
      <c r="M633" s="293"/>
      <c r="N633" s="293"/>
      <c r="O633" s="293"/>
      <c r="P633" s="293"/>
      <c r="Q633" s="293"/>
      <c r="R633" s="293"/>
      <c r="S633" s="293"/>
      <c r="T633" s="293"/>
      <c r="U633" s="293"/>
      <c r="V633" s="293"/>
      <c r="W633" s="293"/>
      <c r="X633" s="293"/>
      <c r="Y633" s="293"/>
      <c r="Z633" s="293"/>
      <c r="AA633" s="293"/>
      <c r="AB633" s="293"/>
      <c r="AC633" s="293"/>
      <c r="AD633" s="293"/>
    </row>
    <row r="634">
      <c r="A634" s="293"/>
      <c r="B634" s="308"/>
      <c r="C634" s="293"/>
      <c r="D634" s="293"/>
      <c r="E634" s="293"/>
      <c r="F634" s="293"/>
      <c r="G634" s="293"/>
      <c r="H634" s="293"/>
      <c r="I634" s="293"/>
      <c r="J634" s="293"/>
      <c r="K634" s="293"/>
      <c r="L634" s="293"/>
      <c r="M634" s="293"/>
      <c r="N634" s="293"/>
      <c r="O634" s="293"/>
      <c r="P634" s="293"/>
      <c r="Q634" s="293"/>
      <c r="R634" s="293"/>
      <c r="S634" s="293"/>
      <c r="T634" s="293"/>
      <c r="U634" s="293"/>
      <c r="V634" s="293"/>
      <c r="W634" s="293"/>
      <c r="X634" s="293"/>
      <c r="Y634" s="293"/>
      <c r="Z634" s="293"/>
      <c r="AA634" s="293"/>
      <c r="AB634" s="293"/>
      <c r="AC634" s="293"/>
      <c r="AD634" s="293"/>
    </row>
    <row r="635">
      <c r="A635" s="293"/>
      <c r="B635" s="308"/>
      <c r="C635" s="293"/>
      <c r="D635" s="293"/>
      <c r="E635" s="293"/>
      <c r="F635" s="293"/>
      <c r="G635" s="293"/>
      <c r="H635" s="293"/>
      <c r="I635" s="293"/>
      <c r="J635" s="293"/>
      <c r="K635" s="293"/>
      <c r="L635" s="293"/>
      <c r="M635" s="293"/>
      <c r="N635" s="293"/>
      <c r="O635" s="293"/>
      <c r="P635" s="293"/>
      <c r="Q635" s="293"/>
      <c r="R635" s="293"/>
      <c r="S635" s="293"/>
      <c r="T635" s="293"/>
      <c r="U635" s="293"/>
      <c r="V635" s="293"/>
      <c r="W635" s="293"/>
      <c r="X635" s="293"/>
      <c r="Y635" s="293"/>
      <c r="Z635" s="293"/>
      <c r="AA635" s="293"/>
      <c r="AB635" s="293"/>
      <c r="AC635" s="293"/>
      <c r="AD635" s="293"/>
    </row>
    <row r="636">
      <c r="A636" s="293"/>
      <c r="B636" s="308"/>
      <c r="C636" s="293"/>
      <c r="D636" s="293"/>
      <c r="E636" s="293"/>
      <c r="F636" s="293"/>
      <c r="G636" s="293"/>
      <c r="H636" s="293"/>
      <c r="I636" s="293"/>
      <c r="J636" s="293"/>
      <c r="K636" s="293"/>
      <c r="L636" s="293"/>
      <c r="M636" s="293"/>
      <c r="N636" s="293"/>
      <c r="O636" s="293"/>
      <c r="P636" s="293"/>
      <c r="Q636" s="293"/>
      <c r="R636" s="293"/>
      <c r="S636" s="293"/>
      <c r="T636" s="293"/>
      <c r="U636" s="293"/>
      <c r="V636" s="293"/>
      <c r="W636" s="293"/>
      <c r="X636" s="293"/>
      <c r="Y636" s="293"/>
      <c r="Z636" s="293"/>
      <c r="AA636" s="293"/>
      <c r="AB636" s="293"/>
      <c r="AC636" s="293"/>
      <c r="AD636" s="293"/>
    </row>
    <row r="637">
      <c r="A637" s="293"/>
      <c r="B637" s="308"/>
      <c r="C637" s="293"/>
      <c r="D637" s="293"/>
      <c r="E637" s="293"/>
      <c r="F637" s="293"/>
      <c r="G637" s="293"/>
      <c r="H637" s="293"/>
      <c r="I637" s="293"/>
      <c r="J637" s="293"/>
      <c r="K637" s="293"/>
      <c r="L637" s="293"/>
      <c r="M637" s="293"/>
      <c r="N637" s="293"/>
      <c r="O637" s="293"/>
      <c r="P637" s="293"/>
      <c r="Q637" s="293"/>
      <c r="R637" s="293"/>
      <c r="S637" s="293"/>
      <c r="T637" s="293"/>
      <c r="U637" s="293"/>
      <c r="V637" s="293"/>
      <c r="W637" s="293"/>
      <c r="X637" s="293"/>
      <c r="Y637" s="293"/>
      <c r="Z637" s="293"/>
      <c r="AA637" s="293"/>
      <c r="AB637" s="293"/>
      <c r="AC637" s="293"/>
      <c r="AD637" s="293"/>
    </row>
    <row r="638">
      <c r="A638" s="293"/>
      <c r="B638" s="308"/>
      <c r="C638" s="293"/>
      <c r="D638" s="293"/>
      <c r="E638" s="293"/>
      <c r="F638" s="293"/>
      <c r="G638" s="293"/>
      <c r="H638" s="293"/>
      <c r="I638" s="293"/>
      <c r="J638" s="293"/>
      <c r="K638" s="293"/>
      <c r="L638" s="293"/>
      <c r="M638" s="293"/>
      <c r="N638" s="293"/>
      <c r="O638" s="293"/>
      <c r="P638" s="293"/>
      <c r="Q638" s="293"/>
      <c r="R638" s="293"/>
      <c r="S638" s="293"/>
      <c r="T638" s="293"/>
      <c r="U638" s="293"/>
      <c r="V638" s="293"/>
      <c r="W638" s="293"/>
      <c r="X638" s="293"/>
      <c r="Y638" s="293"/>
      <c r="Z638" s="293"/>
      <c r="AA638" s="293"/>
      <c r="AB638" s="293"/>
      <c r="AC638" s="293"/>
      <c r="AD638" s="293"/>
    </row>
    <row r="639">
      <c r="A639" s="293"/>
      <c r="B639" s="308"/>
      <c r="C639" s="293"/>
      <c r="D639" s="293"/>
      <c r="E639" s="293"/>
      <c r="F639" s="293"/>
      <c r="G639" s="293"/>
      <c r="H639" s="293"/>
      <c r="I639" s="293"/>
      <c r="J639" s="293"/>
      <c r="K639" s="293"/>
      <c r="L639" s="293"/>
      <c r="M639" s="293"/>
      <c r="N639" s="293"/>
      <c r="O639" s="293"/>
      <c r="P639" s="293"/>
      <c r="Q639" s="293"/>
      <c r="R639" s="293"/>
      <c r="S639" s="293"/>
      <c r="T639" s="293"/>
      <c r="U639" s="293"/>
      <c r="V639" s="293"/>
      <c r="W639" s="293"/>
      <c r="X639" s="293"/>
      <c r="Y639" s="293"/>
      <c r="Z639" s="293"/>
      <c r="AA639" s="293"/>
      <c r="AB639" s="293"/>
      <c r="AC639" s="293"/>
      <c r="AD639" s="293"/>
    </row>
    <row r="640">
      <c r="A640" s="293"/>
      <c r="B640" s="308"/>
      <c r="C640" s="293"/>
      <c r="D640" s="293"/>
      <c r="E640" s="293"/>
      <c r="F640" s="293"/>
      <c r="G640" s="293"/>
      <c r="H640" s="293"/>
      <c r="I640" s="293"/>
      <c r="J640" s="293"/>
      <c r="K640" s="293"/>
      <c r="L640" s="293"/>
      <c r="M640" s="293"/>
      <c r="N640" s="293"/>
      <c r="O640" s="293"/>
      <c r="P640" s="293"/>
      <c r="Q640" s="293"/>
      <c r="R640" s="293"/>
      <c r="S640" s="293"/>
      <c r="T640" s="293"/>
      <c r="U640" s="293"/>
      <c r="V640" s="293"/>
      <c r="W640" s="293"/>
      <c r="X640" s="293"/>
      <c r="Y640" s="293"/>
      <c r="Z640" s="293"/>
      <c r="AA640" s="293"/>
      <c r="AB640" s="293"/>
      <c r="AC640" s="293"/>
      <c r="AD640" s="293"/>
    </row>
    <row r="641">
      <c r="A641" s="293"/>
      <c r="B641" s="308"/>
      <c r="C641" s="293"/>
      <c r="D641" s="293"/>
      <c r="E641" s="293"/>
      <c r="F641" s="293"/>
      <c r="G641" s="293"/>
      <c r="H641" s="293"/>
      <c r="I641" s="293"/>
      <c r="J641" s="293"/>
      <c r="K641" s="293"/>
      <c r="L641" s="293"/>
      <c r="M641" s="293"/>
      <c r="N641" s="293"/>
      <c r="O641" s="293"/>
      <c r="P641" s="293"/>
      <c r="Q641" s="293"/>
      <c r="R641" s="293"/>
      <c r="S641" s="293"/>
      <c r="T641" s="293"/>
      <c r="U641" s="293"/>
      <c r="V641" s="293"/>
      <c r="W641" s="293"/>
      <c r="X641" s="293"/>
      <c r="Y641" s="293"/>
      <c r="Z641" s="293"/>
      <c r="AA641" s="293"/>
      <c r="AB641" s="293"/>
      <c r="AC641" s="293"/>
      <c r="AD641" s="293"/>
    </row>
    <row r="642">
      <c r="A642" s="293"/>
      <c r="B642" s="308"/>
      <c r="C642" s="293"/>
      <c r="D642" s="293"/>
      <c r="E642" s="293"/>
      <c r="F642" s="293"/>
      <c r="G642" s="293"/>
      <c r="H642" s="293"/>
      <c r="I642" s="293"/>
      <c r="J642" s="293"/>
      <c r="K642" s="293"/>
      <c r="L642" s="293"/>
      <c r="M642" s="293"/>
      <c r="N642" s="293"/>
      <c r="O642" s="293"/>
      <c r="P642" s="293"/>
      <c r="Q642" s="293"/>
      <c r="R642" s="293"/>
      <c r="S642" s="293"/>
      <c r="T642" s="293"/>
      <c r="U642" s="293"/>
      <c r="V642" s="293"/>
      <c r="W642" s="293"/>
      <c r="X642" s="293"/>
      <c r="Y642" s="293"/>
      <c r="Z642" s="293"/>
      <c r="AA642" s="293"/>
      <c r="AB642" s="293"/>
      <c r="AC642" s="293"/>
      <c r="AD642" s="293"/>
    </row>
    <row r="643">
      <c r="A643" s="293"/>
      <c r="B643" s="308"/>
      <c r="C643" s="293"/>
      <c r="D643" s="293"/>
      <c r="E643" s="293"/>
      <c r="F643" s="293"/>
      <c r="G643" s="293"/>
      <c r="H643" s="293"/>
      <c r="I643" s="293"/>
      <c r="J643" s="293"/>
      <c r="K643" s="293"/>
      <c r="L643" s="293"/>
      <c r="M643" s="293"/>
      <c r="N643" s="293"/>
      <c r="O643" s="293"/>
      <c r="P643" s="293"/>
      <c r="Q643" s="293"/>
      <c r="R643" s="293"/>
      <c r="S643" s="293"/>
      <c r="T643" s="293"/>
      <c r="U643" s="293"/>
      <c r="V643" s="293"/>
      <c r="W643" s="293"/>
      <c r="X643" s="293"/>
      <c r="Y643" s="293"/>
      <c r="Z643" s="293"/>
      <c r="AA643" s="293"/>
      <c r="AB643" s="293"/>
      <c r="AC643" s="293"/>
      <c r="AD643" s="293"/>
    </row>
    <row r="644">
      <c r="A644" s="293"/>
      <c r="B644" s="308"/>
      <c r="C644" s="293"/>
      <c r="D644" s="293"/>
      <c r="E644" s="293"/>
      <c r="F644" s="293"/>
      <c r="G644" s="293"/>
      <c r="H644" s="293"/>
      <c r="I644" s="293"/>
      <c r="J644" s="293"/>
      <c r="K644" s="293"/>
      <c r="L644" s="293"/>
      <c r="M644" s="293"/>
      <c r="N644" s="293"/>
      <c r="O644" s="293"/>
      <c r="P644" s="293"/>
      <c r="Q644" s="293"/>
      <c r="R644" s="293"/>
      <c r="S644" s="293"/>
      <c r="T644" s="293"/>
      <c r="U644" s="293"/>
      <c r="V644" s="293"/>
      <c r="W644" s="293"/>
      <c r="X644" s="293"/>
      <c r="Y644" s="293"/>
      <c r="Z644" s="293"/>
      <c r="AA644" s="293"/>
      <c r="AB644" s="293"/>
      <c r="AC644" s="293"/>
      <c r="AD644" s="293"/>
    </row>
    <row r="645">
      <c r="A645" s="293"/>
      <c r="B645" s="308"/>
      <c r="C645" s="293"/>
      <c r="D645" s="293"/>
      <c r="E645" s="293"/>
      <c r="F645" s="293"/>
      <c r="G645" s="293"/>
      <c r="H645" s="293"/>
      <c r="I645" s="293"/>
      <c r="J645" s="293"/>
      <c r="K645" s="293"/>
      <c r="L645" s="293"/>
      <c r="M645" s="293"/>
      <c r="N645" s="293"/>
      <c r="O645" s="293"/>
      <c r="P645" s="293"/>
      <c r="Q645" s="293"/>
      <c r="R645" s="293"/>
      <c r="S645" s="293"/>
      <c r="T645" s="293"/>
      <c r="U645" s="293"/>
      <c r="V645" s="293"/>
      <c r="W645" s="293"/>
      <c r="X645" s="293"/>
      <c r="Y645" s="293"/>
      <c r="Z645" s="293"/>
      <c r="AA645" s="293"/>
      <c r="AB645" s="293"/>
      <c r="AC645" s="293"/>
      <c r="AD645" s="293"/>
    </row>
    <row r="646">
      <c r="A646" s="293"/>
      <c r="B646" s="308"/>
      <c r="C646" s="293"/>
      <c r="D646" s="293"/>
      <c r="E646" s="293"/>
      <c r="F646" s="293"/>
      <c r="G646" s="293"/>
      <c r="H646" s="293"/>
      <c r="I646" s="293"/>
      <c r="J646" s="293"/>
      <c r="K646" s="293"/>
      <c r="L646" s="293"/>
      <c r="M646" s="293"/>
      <c r="N646" s="293"/>
      <c r="O646" s="293"/>
      <c r="P646" s="293"/>
      <c r="Q646" s="293"/>
      <c r="R646" s="293"/>
      <c r="S646" s="293"/>
      <c r="T646" s="293"/>
      <c r="U646" s="293"/>
      <c r="V646" s="293"/>
      <c r="W646" s="293"/>
      <c r="X646" s="293"/>
      <c r="Y646" s="293"/>
      <c r="Z646" s="293"/>
      <c r="AA646" s="293"/>
      <c r="AB646" s="293"/>
      <c r="AC646" s="293"/>
      <c r="AD646" s="293"/>
    </row>
    <row r="647">
      <c r="A647" s="293"/>
      <c r="B647" s="308"/>
      <c r="C647" s="293"/>
      <c r="D647" s="293"/>
      <c r="E647" s="293"/>
      <c r="F647" s="293"/>
      <c r="G647" s="293"/>
      <c r="H647" s="293"/>
      <c r="I647" s="293"/>
      <c r="J647" s="293"/>
      <c r="K647" s="293"/>
      <c r="L647" s="293"/>
      <c r="M647" s="293"/>
      <c r="N647" s="293"/>
      <c r="O647" s="293"/>
      <c r="P647" s="293"/>
      <c r="Q647" s="293"/>
      <c r="R647" s="293"/>
      <c r="S647" s="293"/>
      <c r="T647" s="293"/>
      <c r="U647" s="293"/>
      <c r="V647" s="293"/>
      <c r="W647" s="293"/>
      <c r="X647" s="293"/>
      <c r="Y647" s="293"/>
      <c r="Z647" s="293"/>
      <c r="AA647" s="293"/>
      <c r="AB647" s="293"/>
      <c r="AC647" s="293"/>
      <c r="AD647" s="293"/>
    </row>
    <row r="648">
      <c r="A648" s="293"/>
      <c r="B648" s="308"/>
      <c r="C648" s="293"/>
      <c r="D648" s="293"/>
      <c r="E648" s="293"/>
      <c r="F648" s="293"/>
      <c r="G648" s="293"/>
      <c r="H648" s="293"/>
      <c r="I648" s="293"/>
      <c r="J648" s="293"/>
      <c r="K648" s="293"/>
      <c r="L648" s="293"/>
      <c r="M648" s="293"/>
      <c r="N648" s="293"/>
      <c r="O648" s="293"/>
      <c r="P648" s="293"/>
      <c r="Q648" s="293"/>
      <c r="R648" s="293"/>
      <c r="S648" s="293"/>
      <c r="T648" s="293"/>
      <c r="U648" s="293"/>
      <c r="V648" s="293"/>
      <c r="W648" s="293"/>
      <c r="X648" s="293"/>
      <c r="Y648" s="293"/>
      <c r="Z648" s="293"/>
      <c r="AA648" s="293"/>
      <c r="AB648" s="293"/>
      <c r="AC648" s="293"/>
      <c r="AD648" s="293"/>
    </row>
    <row r="649">
      <c r="A649" s="293"/>
      <c r="B649" s="308"/>
      <c r="C649" s="293"/>
      <c r="D649" s="293"/>
      <c r="E649" s="293"/>
      <c r="F649" s="293"/>
      <c r="G649" s="293"/>
      <c r="H649" s="293"/>
      <c r="I649" s="293"/>
      <c r="J649" s="293"/>
      <c r="K649" s="293"/>
      <c r="L649" s="293"/>
      <c r="M649" s="293"/>
      <c r="N649" s="293"/>
      <c r="O649" s="293"/>
      <c r="P649" s="293"/>
      <c r="Q649" s="293"/>
      <c r="R649" s="293"/>
      <c r="S649" s="293"/>
      <c r="T649" s="293"/>
      <c r="U649" s="293"/>
      <c r="V649" s="293"/>
      <c r="W649" s="293"/>
      <c r="X649" s="293"/>
      <c r="Y649" s="293"/>
      <c r="Z649" s="293"/>
      <c r="AA649" s="293"/>
      <c r="AB649" s="293"/>
      <c r="AC649" s="293"/>
      <c r="AD649" s="293"/>
    </row>
    <row r="650">
      <c r="A650" s="293"/>
      <c r="B650" s="308"/>
      <c r="C650" s="293"/>
      <c r="D650" s="293"/>
      <c r="E650" s="293"/>
      <c r="F650" s="293"/>
      <c r="G650" s="293"/>
      <c r="H650" s="293"/>
      <c r="I650" s="293"/>
      <c r="J650" s="293"/>
      <c r="K650" s="293"/>
      <c r="L650" s="293"/>
      <c r="M650" s="293"/>
      <c r="N650" s="293"/>
      <c r="O650" s="293"/>
      <c r="P650" s="293"/>
      <c r="Q650" s="293"/>
      <c r="R650" s="293"/>
      <c r="S650" s="293"/>
      <c r="T650" s="293"/>
      <c r="U650" s="293"/>
      <c r="V650" s="293"/>
      <c r="W650" s="293"/>
      <c r="X650" s="293"/>
      <c r="Y650" s="293"/>
      <c r="Z650" s="293"/>
      <c r="AA650" s="293"/>
      <c r="AB650" s="293"/>
      <c r="AC650" s="293"/>
      <c r="AD650" s="293"/>
    </row>
    <row r="651">
      <c r="A651" s="293"/>
      <c r="B651" s="308"/>
      <c r="C651" s="293"/>
      <c r="D651" s="293"/>
      <c r="E651" s="293"/>
      <c r="F651" s="293"/>
      <c r="G651" s="293"/>
      <c r="H651" s="293"/>
      <c r="I651" s="293"/>
      <c r="J651" s="293"/>
      <c r="K651" s="293"/>
      <c r="L651" s="293"/>
      <c r="M651" s="293"/>
      <c r="N651" s="293"/>
      <c r="O651" s="293"/>
      <c r="P651" s="293"/>
      <c r="Q651" s="293"/>
      <c r="R651" s="293"/>
      <c r="S651" s="293"/>
      <c r="T651" s="293"/>
      <c r="U651" s="293"/>
      <c r="V651" s="293"/>
      <c r="W651" s="293"/>
      <c r="X651" s="293"/>
      <c r="Y651" s="293"/>
      <c r="Z651" s="293"/>
      <c r="AA651" s="293"/>
      <c r="AB651" s="293"/>
      <c r="AC651" s="293"/>
      <c r="AD651" s="293"/>
    </row>
    <row r="652">
      <c r="A652" s="293"/>
      <c r="B652" s="308"/>
      <c r="C652" s="293"/>
      <c r="D652" s="293"/>
      <c r="E652" s="293"/>
      <c r="F652" s="293"/>
      <c r="G652" s="293"/>
      <c r="H652" s="293"/>
      <c r="I652" s="293"/>
      <c r="J652" s="293"/>
      <c r="K652" s="293"/>
      <c r="L652" s="293"/>
      <c r="M652" s="293"/>
      <c r="N652" s="293"/>
      <c r="O652" s="293"/>
      <c r="P652" s="293"/>
      <c r="Q652" s="293"/>
      <c r="R652" s="293"/>
      <c r="S652" s="293"/>
      <c r="T652" s="293"/>
      <c r="U652" s="293"/>
      <c r="V652" s="293"/>
      <c r="W652" s="293"/>
      <c r="X652" s="293"/>
      <c r="Y652" s="293"/>
      <c r="Z652" s="293"/>
      <c r="AA652" s="293"/>
      <c r="AB652" s="293"/>
      <c r="AC652" s="293"/>
      <c r="AD652" s="293"/>
    </row>
    <row r="653">
      <c r="A653" s="293"/>
      <c r="B653" s="308"/>
      <c r="C653" s="293"/>
      <c r="D653" s="293"/>
      <c r="E653" s="293"/>
      <c r="F653" s="293"/>
      <c r="G653" s="293"/>
      <c r="H653" s="293"/>
      <c r="I653" s="293"/>
      <c r="J653" s="293"/>
      <c r="K653" s="293"/>
      <c r="L653" s="293"/>
      <c r="M653" s="293"/>
      <c r="N653" s="293"/>
      <c r="O653" s="293"/>
      <c r="P653" s="293"/>
      <c r="Q653" s="293"/>
      <c r="R653" s="293"/>
      <c r="S653" s="293"/>
      <c r="T653" s="293"/>
      <c r="U653" s="293"/>
      <c r="V653" s="293"/>
      <c r="W653" s="293"/>
      <c r="X653" s="293"/>
      <c r="Y653" s="293"/>
      <c r="Z653" s="293"/>
      <c r="AA653" s="293"/>
      <c r="AB653" s="293"/>
      <c r="AC653" s="293"/>
      <c r="AD653" s="293"/>
    </row>
    <row r="654">
      <c r="A654" s="293"/>
      <c r="B654" s="308"/>
      <c r="C654" s="293"/>
      <c r="D654" s="293"/>
      <c r="E654" s="293"/>
      <c r="F654" s="293"/>
      <c r="G654" s="293"/>
      <c r="H654" s="293"/>
      <c r="I654" s="293"/>
      <c r="J654" s="293"/>
      <c r="K654" s="293"/>
      <c r="L654" s="293"/>
      <c r="M654" s="293"/>
      <c r="N654" s="293"/>
      <c r="O654" s="293"/>
      <c r="P654" s="293"/>
      <c r="Q654" s="293"/>
      <c r="R654" s="293"/>
      <c r="S654" s="293"/>
      <c r="T654" s="293"/>
      <c r="U654" s="293"/>
      <c r="V654" s="293"/>
      <c r="W654" s="293"/>
      <c r="X654" s="293"/>
      <c r="Y654" s="293"/>
      <c r="Z654" s="293"/>
      <c r="AA654" s="293"/>
      <c r="AB654" s="293"/>
      <c r="AC654" s="293"/>
      <c r="AD654" s="293"/>
    </row>
    <row r="655">
      <c r="A655" s="293"/>
      <c r="B655" s="308"/>
      <c r="C655" s="293"/>
      <c r="D655" s="293"/>
      <c r="E655" s="293"/>
      <c r="F655" s="293"/>
      <c r="G655" s="293"/>
      <c r="H655" s="293"/>
      <c r="I655" s="293"/>
      <c r="J655" s="293"/>
      <c r="K655" s="293"/>
      <c r="L655" s="293"/>
      <c r="M655" s="293"/>
      <c r="N655" s="293"/>
      <c r="O655" s="293"/>
      <c r="P655" s="293"/>
      <c r="Q655" s="293"/>
      <c r="R655" s="293"/>
      <c r="S655" s="293"/>
      <c r="T655" s="293"/>
      <c r="U655" s="293"/>
      <c r="V655" s="293"/>
      <c r="W655" s="293"/>
      <c r="X655" s="293"/>
      <c r="Y655" s="293"/>
      <c r="Z655" s="293"/>
      <c r="AA655" s="293"/>
      <c r="AB655" s="293"/>
      <c r="AC655" s="293"/>
      <c r="AD655" s="293"/>
    </row>
    <row r="656">
      <c r="A656" s="293"/>
      <c r="B656" s="308"/>
      <c r="C656" s="293"/>
      <c r="D656" s="293"/>
      <c r="E656" s="293"/>
      <c r="F656" s="293"/>
      <c r="G656" s="293"/>
      <c r="H656" s="293"/>
      <c r="I656" s="293"/>
      <c r="J656" s="293"/>
      <c r="K656" s="293"/>
      <c r="L656" s="293"/>
      <c r="M656" s="293"/>
      <c r="N656" s="293"/>
      <c r="O656" s="293"/>
      <c r="P656" s="293"/>
      <c r="Q656" s="293"/>
      <c r="R656" s="293"/>
      <c r="S656" s="293"/>
      <c r="T656" s="293"/>
      <c r="U656" s="293"/>
      <c r="V656" s="293"/>
      <c r="W656" s="293"/>
      <c r="X656" s="293"/>
      <c r="Y656" s="293"/>
      <c r="Z656" s="293"/>
      <c r="AA656" s="293"/>
      <c r="AB656" s="293"/>
      <c r="AC656" s="293"/>
      <c r="AD656" s="293"/>
    </row>
    <row r="657">
      <c r="A657" s="293"/>
      <c r="B657" s="308"/>
      <c r="C657" s="293"/>
      <c r="D657" s="293"/>
      <c r="E657" s="293"/>
      <c r="F657" s="293"/>
      <c r="G657" s="293"/>
      <c r="H657" s="293"/>
      <c r="I657" s="293"/>
      <c r="J657" s="293"/>
      <c r="K657" s="293"/>
      <c r="L657" s="293"/>
      <c r="M657" s="293"/>
      <c r="N657" s="293"/>
      <c r="O657" s="293"/>
      <c r="P657" s="293"/>
      <c r="Q657" s="293"/>
      <c r="R657" s="293"/>
      <c r="S657" s="293"/>
      <c r="T657" s="293"/>
      <c r="U657" s="293"/>
      <c r="V657" s="293"/>
      <c r="W657" s="293"/>
      <c r="X657" s="293"/>
      <c r="Y657" s="293"/>
      <c r="Z657" s="293"/>
      <c r="AA657" s="293"/>
      <c r="AB657" s="293"/>
      <c r="AC657" s="293"/>
      <c r="AD657" s="293"/>
    </row>
    <row r="658">
      <c r="A658" s="293"/>
      <c r="B658" s="308"/>
      <c r="C658" s="293"/>
      <c r="D658" s="293"/>
      <c r="E658" s="293"/>
      <c r="F658" s="293"/>
      <c r="G658" s="293"/>
      <c r="H658" s="293"/>
      <c r="I658" s="293"/>
      <c r="J658" s="293"/>
      <c r="K658" s="293"/>
      <c r="L658" s="293"/>
      <c r="M658" s="293"/>
      <c r="N658" s="293"/>
      <c r="O658" s="293"/>
      <c r="P658" s="293"/>
      <c r="Q658" s="293"/>
      <c r="R658" s="293"/>
      <c r="S658" s="293"/>
      <c r="T658" s="293"/>
      <c r="U658" s="293"/>
      <c r="V658" s="293"/>
      <c r="W658" s="293"/>
      <c r="X658" s="293"/>
      <c r="Y658" s="293"/>
      <c r="Z658" s="293"/>
      <c r="AA658" s="293"/>
      <c r="AB658" s="293"/>
      <c r="AC658" s="293"/>
      <c r="AD658" s="293"/>
    </row>
    <row r="659">
      <c r="A659" s="293"/>
      <c r="B659" s="308"/>
      <c r="C659" s="293"/>
      <c r="D659" s="293"/>
      <c r="E659" s="293"/>
      <c r="F659" s="293"/>
      <c r="G659" s="293"/>
      <c r="H659" s="293"/>
      <c r="I659" s="293"/>
      <c r="J659" s="293"/>
      <c r="K659" s="293"/>
      <c r="L659" s="293"/>
      <c r="M659" s="293"/>
      <c r="N659" s="293"/>
      <c r="O659" s="293"/>
      <c r="P659" s="293"/>
      <c r="Q659" s="293"/>
      <c r="R659" s="293"/>
      <c r="S659" s="293"/>
      <c r="T659" s="293"/>
      <c r="U659" s="293"/>
      <c r="V659" s="293"/>
      <c r="W659" s="293"/>
      <c r="X659" s="293"/>
      <c r="Y659" s="293"/>
      <c r="Z659" s="293"/>
      <c r="AA659" s="293"/>
      <c r="AB659" s="293"/>
      <c r="AC659" s="293"/>
      <c r="AD659" s="293"/>
    </row>
    <row r="660">
      <c r="A660" s="293"/>
      <c r="B660" s="308"/>
      <c r="C660" s="293"/>
      <c r="D660" s="293"/>
      <c r="E660" s="293"/>
      <c r="F660" s="293"/>
      <c r="G660" s="293"/>
      <c r="H660" s="293"/>
      <c r="I660" s="293"/>
      <c r="J660" s="293"/>
      <c r="K660" s="293"/>
      <c r="L660" s="293"/>
      <c r="M660" s="293"/>
      <c r="N660" s="293"/>
      <c r="O660" s="293"/>
      <c r="P660" s="293"/>
      <c r="Q660" s="293"/>
      <c r="R660" s="293"/>
      <c r="S660" s="293"/>
      <c r="T660" s="293"/>
      <c r="U660" s="293"/>
      <c r="V660" s="293"/>
      <c r="W660" s="293"/>
      <c r="X660" s="293"/>
      <c r="Y660" s="293"/>
      <c r="Z660" s="293"/>
      <c r="AA660" s="293"/>
      <c r="AB660" s="293"/>
      <c r="AC660" s="293"/>
      <c r="AD660" s="293"/>
    </row>
    <row r="661">
      <c r="A661" s="293"/>
      <c r="B661" s="308"/>
      <c r="C661" s="293"/>
      <c r="D661" s="293"/>
      <c r="E661" s="293"/>
      <c r="F661" s="293"/>
      <c r="G661" s="293"/>
      <c r="H661" s="293"/>
      <c r="I661" s="293"/>
      <c r="J661" s="293"/>
      <c r="K661" s="293"/>
      <c r="L661" s="293"/>
      <c r="M661" s="293"/>
      <c r="N661" s="293"/>
      <c r="O661" s="293"/>
      <c r="P661" s="293"/>
      <c r="Q661" s="293"/>
      <c r="R661" s="293"/>
      <c r="S661" s="293"/>
      <c r="T661" s="293"/>
      <c r="U661" s="293"/>
      <c r="V661" s="293"/>
      <c r="W661" s="293"/>
      <c r="X661" s="293"/>
      <c r="Y661" s="293"/>
      <c r="Z661" s="293"/>
      <c r="AA661" s="293"/>
      <c r="AB661" s="293"/>
      <c r="AC661" s="293"/>
      <c r="AD661" s="293"/>
    </row>
    <row r="662">
      <c r="A662" s="293"/>
      <c r="B662" s="308"/>
      <c r="C662" s="293"/>
      <c r="D662" s="293"/>
      <c r="E662" s="293"/>
      <c r="F662" s="293"/>
      <c r="G662" s="293"/>
      <c r="H662" s="293"/>
      <c r="I662" s="293"/>
      <c r="J662" s="293"/>
      <c r="K662" s="293"/>
      <c r="L662" s="293"/>
      <c r="M662" s="293"/>
      <c r="N662" s="293"/>
      <c r="O662" s="293"/>
      <c r="P662" s="293"/>
      <c r="Q662" s="293"/>
      <c r="R662" s="293"/>
      <c r="S662" s="293"/>
      <c r="T662" s="293"/>
      <c r="U662" s="293"/>
      <c r="V662" s="293"/>
      <c r="W662" s="293"/>
      <c r="X662" s="293"/>
      <c r="Y662" s="293"/>
      <c r="Z662" s="293"/>
      <c r="AA662" s="293"/>
      <c r="AB662" s="293"/>
      <c r="AC662" s="293"/>
      <c r="AD662" s="293"/>
    </row>
    <row r="663">
      <c r="A663" s="293"/>
      <c r="B663" s="308"/>
      <c r="C663" s="293"/>
      <c r="D663" s="293"/>
      <c r="E663" s="293"/>
      <c r="F663" s="293"/>
      <c r="G663" s="293"/>
      <c r="H663" s="293"/>
      <c r="I663" s="293"/>
      <c r="J663" s="293"/>
      <c r="K663" s="293"/>
      <c r="L663" s="293"/>
      <c r="M663" s="293"/>
      <c r="N663" s="293"/>
      <c r="O663" s="293"/>
      <c r="P663" s="293"/>
      <c r="Q663" s="293"/>
      <c r="R663" s="293"/>
      <c r="S663" s="293"/>
      <c r="T663" s="293"/>
      <c r="U663" s="293"/>
      <c r="V663" s="293"/>
      <c r="W663" s="293"/>
      <c r="X663" s="293"/>
      <c r="Y663" s="293"/>
      <c r="Z663" s="293"/>
      <c r="AA663" s="293"/>
      <c r="AB663" s="293"/>
      <c r="AC663" s="293"/>
      <c r="AD663" s="293"/>
    </row>
    <row r="664">
      <c r="A664" s="293"/>
      <c r="B664" s="308"/>
      <c r="C664" s="293"/>
      <c r="D664" s="293"/>
      <c r="E664" s="293"/>
      <c r="F664" s="293"/>
      <c r="G664" s="293"/>
      <c r="H664" s="293"/>
      <c r="I664" s="293"/>
      <c r="J664" s="293"/>
      <c r="K664" s="293"/>
      <c r="L664" s="293"/>
      <c r="M664" s="293"/>
      <c r="N664" s="293"/>
      <c r="O664" s="293"/>
      <c r="P664" s="293"/>
      <c r="Q664" s="293"/>
      <c r="R664" s="293"/>
      <c r="S664" s="293"/>
      <c r="T664" s="293"/>
      <c r="U664" s="293"/>
      <c r="V664" s="293"/>
      <c r="W664" s="293"/>
      <c r="X664" s="293"/>
      <c r="Y664" s="293"/>
      <c r="Z664" s="293"/>
      <c r="AA664" s="293"/>
      <c r="AB664" s="293"/>
      <c r="AC664" s="293"/>
      <c r="AD664" s="293"/>
    </row>
    <row r="665">
      <c r="A665" s="293"/>
      <c r="B665" s="308"/>
      <c r="C665" s="293"/>
      <c r="D665" s="293"/>
      <c r="E665" s="293"/>
      <c r="F665" s="293"/>
      <c r="G665" s="293"/>
      <c r="H665" s="293"/>
      <c r="I665" s="293"/>
      <c r="J665" s="293"/>
      <c r="K665" s="293"/>
      <c r="L665" s="293"/>
      <c r="M665" s="293"/>
      <c r="N665" s="293"/>
      <c r="O665" s="293"/>
      <c r="P665" s="293"/>
      <c r="Q665" s="293"/>
      <c r="R665" s="293"/>
      <c r="S665" s="293"/>
      <c r="T665" s="293"/>
      <c r="U665" s="293"/>
      <c r="V665" s="293"/>
      <c r="W665" s="293"/>
      <c r="X665" s="293"/>
      <c r="Y665" s="293"/>
      <c r="Z665" s="293"/>
      <c r="AA665" s="293"/>
      <c r="AB665" s="293"/>
      <c r="AC665" s="293"/>
      <c r="AD665" s="293"/>
    </row>
    <row r="666">
      <c r="A666" s="293"/>
      <c r="B666" s="308"/>
      <c r="C666" s="293"/>
      <c r="D666" s="293"/>
      <c r="E666" s="293"/>
      <c r="F666" s="293"/>
      <c r="G666" s="293"/>
      <c r="H666" s="293"/>
      <c r="I666" s="293"/>
      <c r="J666" s="293"/>
      <c r="K666" s="293"/>
      <c r="L666" s="293"/>
      <c r="M666" s="293"/>
      <c r="N666" s="293"/>
      <c r="O666" s="293"/>
      <c r="P666" s="293"/>
      <c r="Q666" s="293"/>
      <c r="R666" s="293"/>
      <c r="S666" s="293"/>
      <c r="T666" s="293"/>
      <c r="U666" s="293"/>
      <c r="V666" s="293"/>
      <c r="W666" s="293"/>
      <c r="X666" s="293"/>
      <c r="Y666" s="293"/>
      <c r="Z666" s="293"/>
      <c r="AA666" s="293"/>
      <c r="AB666" s="293"/>
      <c r="AC666" s="293"/>
      <c r="AD666" s="293"/>
    </row>
    <row r="667">
      <c r="A667" s="293"/>
      <c r="B667" s="308"/>
      <c r="C667" s="293"/>
      <c r="D667" s="293"/>
      <c r="E667" s="293"/>
      <c r="F667" s="293"/>
      <c r="G667" s="293"/>
      <c r="H667" s="293"/>
      <c r="I667" s="293"/>
      <c r="J667" s="293"/>
      <c r="K667" s="293"/>
      <c r="L667" s="293"/>
      <c r="M667" s="293"/>
      <c r="N667" s="293"/>
      <c r="O667" s="293"/>
      <c r="P667" s="293"/>
      <c r="Q667" s="293"/>
      <c r="R667" s="293"/>
      <c r="S667" s="293"/>
      <c r="T667" s="293"/>
      <c r="U667" s="293"/>
      <c r="V667" s="293"/>
      <c r="W667" s="293"/>
      <c r="X667" s="293"/>
      <c r="Y667" s="293"/>
      <c r="Z667" s="293"/>
      <c r="AA667" s="293"/>
      <c r="AB667" s="293"/>
      <c r="AC667" s="293"/>
      <c r="AD667" s="293"/>
    </row>
    <row r="668">
      <c r="A668" s="293"/>
      <c r="B668" s="308"/>
      <c r="C668" s="293"/>
      <c r="D668" s="293"/>
      <c r="E668" s="293"/>
      <c r="F668" s="293"/>
      <c r="G668" s="293"/>
      <c r="H668" s="293"/>
      <c r="I668" s="293"/>
      <c r="J668" s="293"/>
      <c r="K668" s="293"/>
      <c r="L668" s="293"/>
      <c r="M668" s="293"/>
      <c r="N668" s="293"/>
      <c r="O668" s="293"/>
      <c r="P668" s="293"/>
      <c r="Q668" s="293"/>
      <c r="R668" s="293"/>
      <c r="S668" s="293"/>
      <c r="T668" s="293"/>
      <c r="U668" s="293"/>
      <c r="V668" s="293"/>
      <c r="W668" s="293"/>
      <c r="X668" s="293"/>
      <c r="Y668" s="293"/>
      <c r="Z668" s="293"/>
      <c r="AA668" s="293"/>
      <c r="AB668" s="293"/>
      <c r="AC668" s="293"/>
      <c r="AD668" s="293"/>
    </row>
    <row r="669">
      <c r="A669" s="293"/>
      <c r="B669" s="308"/>
      <c r="C669" s="293"/>
      <c r="D669" s="293"/>
      <c r="E669" s="293"/>
      <c r="F669" s="293"/>
      <c r="G669" s="293"/>
      <c r="H669" s="293"/>
      <c r="I669" s="293"/>
      <c r="J669" s="293"/>
      <c r="K669" s="293"/>
      <c r="L669" s="293"/>
      <c r="M669" s="293"/>
      <c r="N669" s="293"/>
      <c r="O669" s="293"/>
      <c r="P669" s="293"/>
      <c r="Q669" s="293"/>
      <c r="R669" s="293"/>
      <c r="S669" s="293"/>
      <c r="T669" s="293"/>
      <c r="U669" s="293"/>
      <c r="V669" s="293"/>
      <c r="W669" s="293"/>
      <c r="X669" s="293"/>
      <c r="Y669" s="293"/>
      <c r="Z669" s="293"/>
      <c r="AA669" s="293"/>
      <c r="AB669" s="293"/>
      <c r="AC669" s="293"/>
      <c r="AD669" s="293"/>
    </row>
    <row r="670">
      <c r="A670" s="293"/>
      <c r="B670" s="308"/>
      <c r="C670" s="293"/>
      <c r="D670" s="293"/>
      <c r="E670" s="293"/>
      <c r="F670" s="293"/>
      <c r="G670" s="293"/>
      <c r="H670" s="293"/>
      <c r="I670" s="293"/>
      <c r="J670" s="293"/>
      <c r="K670" s="293"/>
      <c r="L670" s="293"/>
      <c r="M670" s="293"/>
      <c r="N670" s="293"/>
      <c r="O670" s="293"/>
      <c r="P670" s="293"/>
      <c r="Q670" s="293"/>
      <c r="R670" s="293"/>
      <c r="S670" s="293"/>
      <c r="T670" s="293"/>
      <c r="U670" s="293"/>
      <c r="V670" s="293"/>
      <c r="W670" s="293"/>
      <c r="X670" s="293"/>
      <c r="Y670" s="293"/>
      <c r="Z670" s="293"/>
      <c r="AA670" s="293"/>
      <c r="AB670" s="293"/>
      <c r="AC670" s="293"/>
      <c r="AD670" s="293"/>
    </row>
    <row r="671">
      <c r="A671" s="293"/>
      <c r="B671" s="308"/>
      <c r="C671" s="293"/>
      <c r="D671" s="293"/>
      <c r="E671" s="293"/>
      <c r="F671" s="293"/>
      <c r="G671" s="293"/>
      <c r="H671" s="293"/>
      <c r="I671" s="293"/>
      <c r="J671" s="293"/>
      <c r="K671" s="293"/>
      <c r="L671" s="293"/>
      <c r="M671" s="293"/>
      <c r="N671" s="293"/>
      <c r="O671" s="293"/>
      <c r="P671" s="293"/>
      <c r="Q671" s="293"/>
      <c r="R671" s="293"/>
      <c r="S671" s="293"/>
      <c r="T671" s="293"/>
      <c r="U671" s="293"/>
      <c r="V671" s="293"/>
      <c r="W671" s="293"/>
      <c r="X671" s="293"/>
      <c r="Y671" s="293"/>
      <c r="Z671" s="293"/>
      <c r="AA671" s="293"/>
      <c r="AB671" s="293"/>
      <c r="AC671" s="293"/>
      <c r="AD671" s="293"/>
    </row>
    <row r="672">
      <c r="A672" s="293"/>
      <c r="B672" s="308"/>
      <c r="C672" s="293"/>
      <c r="D672" s="293"/>
      <c r="E672" s="293"/>
      <c r="F672" s="293"/>
      <c r="G672" s="293"/>
      <c r="H672" s="293"/>
      <c r="I672" s="293"/>
      <c r="J672" s="293"/>
      <c r="K672" s="293"/>
      <c r="L672" s="293"/>
      <c r="M672" s="293"/>
      <c r="N672" s="293"/>
      <c r="O672" s="293"/>
      <c r="P672" s="293"/>
      <c r="Q672" s="293"/>
      <c r="R672" s="293"/>
      <c r="S672" s="293"/>
      <c r="T672" s="293"/>
      <c r="U672" s="293"/>
      <c r="V672" s="293"/>
      <c r="W672" s="293"/>
      <c r="X672" s="293"/>
      <c r="Y672" s="293"/>
      <c r="Z672" s="293"/>
      <c r="AA672" s="293"/>
      <c r="AB672" s="293"/>
      <c r="AC672" s="293"/>
      <c r="AD672" s="293"/>
    </row>
    <row r="673">
      <c r="A673" s="293"/>
      <c r="B673" s="308"/>
      <c r="C673" s="293"/>
      <c r="D673" s="293"/>
      <c r="E673" s="293"/>
      <c r="F673" s="293"/>
      <c r="G673" s="293"/>
      <c r="H673" s="293"/>
      <c r="I673" s="293"/>
      <c r="J673" s="293"/>
      <c r="K673" s="293"/>
      <c r="L673" s="293"/>
      <c r="M673" s="293"/>
      <c r="N673" s="293"/>
      <c r="O673" s="293"/>
      <c r="P673" s="293"/>
      <c r="Q673" s="293"/>
      <c r="R673" s="293"/>
      <c r="S673" s="293"/>
      <c r="T673" s="293"/>
      <c r="U673" s="293"/>
      <c r="V673" s="293"/>
      <c r="W673" s="293"/>
      <c r="X673" s="293"/>
      <c r="Y673" s="293"/>
      <c r="Z673" s="293"/>
      <c r="AA673" s="293"/>
      <c r="AB673" s="293"/>
      <c r="AC673" s="293"/>
      <c r="AD673" s="293"/>
    </row>
    <row r="674">
      <c r="A674" s="293"/>
      <c r="B674" s="308"/>
      <c r="C674" s="293"/>
      <c r="D674" s="293"/>
      <c r="E674" s="293"/>
      <c r="F674" s="293"/>
      <c r="G674" s="293"/>
      <c r="H674" s="293"/>
      <c r="I674" s="293"/>
      <c r="J674" s="293"/>
      <c r="K674" s="293"/>
      <c r="L674" s="293"/>
      <c r="M674" s="293"/>
      <c r="N674" s="293"/>
      <c r="O674" s="293"/>
      <c r="P674" s="293"/>
      <c r="Q674" s="293"/>
      <c r="R674" s="293"/>
      <c r="S674" s="293"/>
      <c r="T674" s="293"/>
      <c r="U674" s="293"/>
      <c r="V674" s="293"/>
      <c r="W674" s="293"/>
      <c r="X674" s="293"/>
      <c r="Y674" s="293"/>
      <c r="Z674" s="293"/>
      <c r="AA674" s="293"/>
      <c r="AB674" s="293"/>
      <c r="AC674" s="293"/>
      <c r="AD674" s="293"/>
    </row>
    <row r="675">
      <c r="A675" s="293"/>
      <c r="B675" s="308"/>
      <c r="C675" s="293"/>
      <c r="D675" s="293"/>
      <c r="E675" s="293"/>
      <c r="F675" s="293"/>
      <c r="G675" s="293"/>
      <c r="H675" s="293"/>
      <c r="I675" s="293"/>
      <c r="J675" s="293"/>
      <c r="K675" s="293"/>
      <c r="L675" s="293"/>
      <c r="M675" s="293"/>
      <c r="N675" s="293"/>
      <c r="O675" s="293"/>
      <c r="P675" s="293"/>
      <c r="Q675" s="293"/>
      <c r="R675" s="293"/>
      <c r="S675" s="293"/>
      <c r="T675" s="293"/>
      <c r="U675" s="293"/>
      <c r="V675" s="293"/>
      <c r="W675" s="293"/>
      <c r="X675" s="293"/>
      <c r="Y675" s="293"/>
      <c r="Z675" s="293"/>
      <c r="AA675" s="293"/>
      <c r="AB675" s="293"/>
      <c r="AC675" s="293"/>
      <c r="AD675" s="293"/>
    </row>
    <row r="676">
      <c r="A676" s="293"/>
      <c r="B676" s="308"/>
      <c r="C676" s="293"/>
      <c r="D676" s="293"/>
      <c r="E676" s="293"/>
      <c r="F676" s="293"/>
      <c r="G676" s="293"/>
      <c r="H676" s="293"/>
      <c r="I676" s="293"/>
      <c r="J676" s="293"/>
      <c r="K676" s="293"/>
      <c r="L676" s="293"/>
      <c r="M676" s="293"/>
      <c r="N676" s="293"/>
      <c r="O676" s="293"/>
      <c r="P676" s="293"/>
      <c r="Q676" s="293"/>
      <c r="R676" s="293"/>
      <c r="S676" s="293"/>
      <c r="T676" s="293"/>
      <c r="U676" s="293"/>
      <c r="V676" s="293"/>
      <c r="W676" s="293"/>
      <c r="X676" s="293"/>
      <c r="Y676" s="293"/>
      <c r="Z676" s="293"/>
      <c r="AA676" s="293"/>
      <c r="AB676" s="293"/>
      <c r="AC676" s="293"/>
      <c r="AD676" s="293"/>
    </row>
    <row r="677">
      <c r="A677" s="293"/>
      <c r="B677" s="308"/>
      <c r="C677" s="293"/>
      <c r="D677" s="293"/>
      <c r="E677" s="293"/>
      <c r="F677" s="293"/>
      <c r="G677" s="293"/>
      <c r="H677" s="293"/>
      <c r="I677" s="293"/>
      <c r="J677" s="293"/>
      <c r="K677" s="293"/>
      <c r="L677" s="293"/>
      <c r="M677" s="293"/>
      <c r="N677" s="293"/>
      <c r="O677" s="293"/>
      <c r="P677" s="293"/>
      <c r="Q677" s="293"/>
      <c r="R677" s="293"/>
      <c r="S677" s="293"/>
      <c r="T677" s="293"/>
      <c r="U677" s="293"/>
      <c r="V677" s="293"/>
      <c r="W677" s="293"/>
      <c r="X677" s="293"/>
      <c r="Y677" s="293"/>
      <c r="Z677" s="293"/>
      <c r="AA677" s="293"/>
      <c r="AB677" s="293"/>
      <c r="AC677" s="293"/>
      <c r="AD677" s="293"/>
    </row>
    <row r="678">
      <c r="A678" s="293"/>
      <c r="B678" s="308"/>
      <c r="C678" s="293"/>
      <c r="D678" s="293"/>
      <c r="E678" s="293"/>
      <c r="F678" s="293"/>
      <c r="G678" s="293"/>
      <c r="H678" s="293"/>
      <c r="I678" s="293"/>
      <c r="J678" s="293"/>
      <c r="K678" s="293"/>
      <c r="L678" s="293"/>
      <c r="M678" s="293"/>
      <c r="N678" s="293"/>
      <c r="O678" s="293"/>
      <c r="P678" s="293"/>
      <c r="Q678" s="293"/>
      <c r="R678" s="293"/>
      <c r="S678" s="293"/>
      <c r="T678" s="293"/>
      <c r="U678" s="293"/>
      <c r="V678" s="293"/>
      <c r="W678" s="293"/>
      <c r="X678" s="293"/>
      <c r="Y678" s="293"/>
      <c r="Z678" s="293"/>
      <c r="AA678" s="293"/>
      <c r="AB678" s="293"/>
      <c r="AC678" s="293"/>
      <c r="AD678" s="293"/>
    </row>
    <row r="679">
      <c r="A679" s="293"/>
      <c r="B679" s="308"/>
      <c r="C679" s="293"/>
      <c r="D679" s="293"/>
      <c r="E679" s="293"/>
      <c r="F679" s="293"/>
      <c r="G679" s="293"/>
      <c r="H679" s="293"/>
      <c r="I679" s="293"/>
      <c r="J679" s="293"/>
      <c r="K679" s="293"/>
      <c r="L679" s="293"/>
      <c r="M679" s="293"/>
      <c r="N679" s="293"/>
      <c r="O679" s="293"/>
      <c r="P679" s="293"/>
      <c r="Q679" s="293"/>
      <c r="R679" s="293"/>
      <c r="S679" s="293"/>
      <c r="T679" s="293"/>
      <c r="U679" s="293"/>
      <c r="V679" s="293"/>
      <c r="W679" s="293"/>
      <c r="X679" s="293"/>
      <c r="Y679" s="293"/>
      <c r="Z679" s="293"/>
      <c r="AA679" s="293"/>
      <c r="AB679" s="293"/>
      <c r="AC679" s="293"/>
      <c r="AD679" s="293"/>
    </row>
    <row r="680">
      <c r="A680" s="293"/>
      <c r="B680" s="308"/>
      <c r="C680" s="293"/>
      <c r="D680" s="293"/>
      <c r="E680" s="293"/>
      <c r="F680" s="293"/>
      <c r="G680" s="293"/>
      <c r="H680" s="293"/>
      <c r="I680" s="293"/>
      <c r="J680" s="293"/>
      <c r="K680" s="293"/>
      <c r="L680" s="293"/>
      <c r="M680" s="293"/>
      <c r="N680" s="293"/>
      <c r="O680" s="293"/>
      <c r="P680" s="293"/>
      <c r="Q680" s="293"/>
      <c r="R680" s="293"/>
      <c r="S680" s="293"/>
      <c r="T680" s="293"/>
      <c r="U680" s="293"/>
      <c r="V680" s="293"/>
      <c r="W680" s="293"/>
      <c r="X680" s="293"/>
      <c r="Y680" s="293"/>
      <c r="Z680" s="293"/>
      <c r="AA680" s="293"/>
      <c r="AB680" s="293"/>
      <c r="AC680" s="293"/>
      <c r="AD680" s="293"/>
    </row>
    <row r="681">
      <c r="A681" s="293"/>
      <c r="B681" s="308"/>
      <c r="C681" s="293"/>
      <c r="D681" s="293"/>
      <c r="E681" s="293"/>
      <c r="F681" s="293"/>
      <c r="G681" s="293"/>
      <c r="H681" s="293"/>
      <c r="I681" s="293"/>
      <c r="J681" s="293"/>
      <c r="K681" s="293"/>
      <c r="L681" s="293"/>
      <c r="M681" s="293"/>
      <c r="N681" s="293"/>
      <c r="O681" s="293"/>
      <c r="P681" s="293"/>
      <c r="Q681" s="293"/>
      <c r="R681" s="293"/>
      <c r="S681" s="293"/>
      <c r="T681" s="293"/>
      <c r="U681" s="293"/>
      <c r="V681" s="293"/>
      <c r="W681" s="293"/>
      <c r="X681" s="293"/>
      <c r="Y681" s="293"/>
      <c r="Z681" s="293"/>
      <c r="AA681" s="293"/>
      <c r="AB681" s="293"/>
      <c r="AC681" s="293"/>
      <c r="AD681" s="293"/>
    </row>
    <row r="682">
      <c r="A682" s="293"/>
      <c r="B682" s="308"/>
      <c r="C682" s="293"/>
      <c r="D682" s="293"/>
      <c r="E682" s="293"/>
      <c r="F682" s="293"/>
      <c r="G682" s="293"/>
      <c r="H682" s="293"/>
      <c r="I682" s="293"/>
      <c r="J682" s="293"/>
      <c r="K682" s="293"/>
      <c r="L682" s="293"/>
      <c r="M682" s="293"/>
      <c r="N682" s="293"/>
      <c r="O682" s="293"/>
      <c r="P682" s="293"/>
      <c r="Q682" s="293"/>
      <c r="R682" s="293"/>
      <c r="S682" s="293"/>
      <c r="T682" s="293"/>
      <c r="U682" s="293"/>
      <c r="V682" s="293"/>
      <c r="W682" s="293"/>
      <c r="X682" s="293"/>
      <c r="Y682" s="293"/>
      <c r="Z682" s="293"/>
      <c r="AA682" s="293"/>
      <c r="AB682" s="293"/>
      <c r="AC682" s="293"/>
      <c r="AD682" s="293"/>
    </row>
    <row r="683">
      <c r="A683" s="293"/>
      <c r="B683" s="308"/>
      <c r="C683" s="293"/>
      <c r="D683" s="293"/>
      <c r="E683" s="293"/>
      <c r="F683" s="293"/>
      <c r="G683" s="293"/>
      <c r="H683" s="293"/>
      <c r="I683" s="293"/>
      <c r="J683" s="293"/>
      <c r="K683" s="293"/>
      <c r="L683" s="293"/>
      <c r="M683" s="293"/>
      <c r="N683" s="293"/>
      <c r="O683" s="293"/>
      <c r="P683" s="293"/>
      <c r="Q683" s="293"/>
      <c r="R683" s="293"/>
      <c r="S683" s="293"/>
      <c r="T683" s="293"/>
      <c r="U683" s="293"/>
      <c r="V683" s="293"/>
      <c r="W683" s="293"/>
      <c r="X683" s="293"/>
      <c r="Y683" s="293"/>
      <c r="Z683" s="293"/>
      <c r="AA683" s="293"/>
      <c r="AB683" s="293"/>
      <c r="AC683" s="293"/>
      <c r="AD683" s="293"/>
    </row>
    <row r="684">
      <c r="A684" s="293"/>
      <c r="B684" s="308"/>
      <c r="C684" s="293"/>
      <c r="D684" s="293"/>
      <c r="E684" s="293"/>
      <c r="F684" s="293"/>
      <c r="G684" s="293"/>
      <c r="H684" s="293"/>
      <c r="I684" s="293"/>
      <c r="J684" s="293"/>
      <c r="K684" s="293"/>
      <c r="L684" s="293"/>
      <c r="M684" s="293"/>
      <c r="N684" s="293"/>
      <c r="O684" s="293"/>
      <c r="P684" s="293"/>
      <c r="Q684" s="293"/>
      <c r="R684" s="293"/>
      <c r="S684" s="293"/>
      <c r="T684" s="293"/>
      <c r="U684" s="293"/>
      <c r="V684" s="293"/>
      <c r="W684" s="293"/>
      <c r="X684" s="293"/>
      <c r="Y684" s="293"/>
      <c r="Z684" s="293"/>
      <c r="AA684" s="293"/>
      <c r="AB684" s="293"/>
      <c r="AC684" s="293"/>
      <c r="AD684" s="293"/>
    </row>
    <row r="685">
      <c r="A685" s="293"/>
      <c r="B685" s="308"/>
      <c r="C685" s="293"/>
      <c r="D685" s="293"/>
      <c r="E685" s="293"/>
      <c r="F685" s="293"/>
      <c r="G685" s="293"/>
      <c r="H685" s="293"/>
      <c r="I685" s="293"/>
      <c r="J685" s="293"/>
      <c r="K685" s="293"/>
      <c r="L685" s="293"/>
      <c r="M685" s="293"/>
      <c r="N685" s="293"/>
      <c r="O685" s="293"/>
      <c r="P685" s="293"/>
      <c r="Q685" s="293"/>
      <c r="R685" s="293"/>
      <c r="S685" s="293"/>
      <c r="T685" s="293"/>
      <c r="U685" s="293"/>
      <c r="V685" s="293"/>
      <c r="W685" s="293"/>
      <c r="X685" s="293"/>
      <c r="Y685" s="293"/>
      <c r="Z685" s="293"/>
      <c r="AA685" s="293"/>
      <c r="AB685" s="293"/>
      <c r="AC685" s="293"/>
      <c r="AD685" s="293"/>
    </row>
    <row r="686">
      <c r="A686" s="293"/>
      <c r="B686" s="308"/>
      <c r="C686" s="293"/>
      <c r="D686" s="293"/>
      <c r="E686" s="293"/>
      <c r="F686" s="293"/>
      <c r="G686" s="293"/>
      <c r="H686" s="293"/>
      <c r="I686" s="293"/>
      <c r="J686" s="293"/>
      <c r="K686" s="293"/>
      <c r="L686" s="293"/>
      <c r="M686" s="293"/>
      <c r="N686" s="293"/>
      <c r="O686" s="293"/>
      <c r="P686" s="293"/>
      <c r="Q686" s="293"/>
      <c r="R686" s="293"/>
      <c r="S686" s="293"/>
      <c r="T686" s="293"/>
      <c r="U686" s="293"/>
      <c r="V686" s="293"/>
      <c r="W686" s="293"/>
      <c r="X686" s="293"/>
      <c r="Y686" s="293"/>
      <c r="Z686" s="293"/>
      <c r="AA686" s="293"/>
      <c r="AB686" s="293"/>
      <c r="AC686" s="293"/>
      <c r="AD686" s="293"/>
    </row>
    <row r="687">
      <c r="A687" s="293"/>
      <c r="B687" s="308"/>
      <c r="C687" s="293"/>
      <c r="D687" s="293"/>
      <c r="E687" s="293"/>
      <c r="F687" s="293"/>
      <c r="G687" s="293"/>
      <c r="H687" s="293"/>
      <c r="I687" s="293"/>
      <c r="J687" s="293"/>
      <c r="K687" s="293"/>
      <c r="L687" s="293"/>
      <c r="M687" s="293"/>
      <c r="N687" s="293"/>
      <c r="O687" s="293"/>
      <c r="P687" s="293"/>
      <c r="Q687" s="293"/>
      <c r="R687" s="293"/>
      <c r="S687" s="293"/>
      <c r="T687" s="293"/>
      <c r="U687" s="293"/>
      <c r="V687" s="293"/>
      <c r="W687" s="293"/>
      <c r="X687" s="293"/>
      <c r="Y687" s="293"/>
      <c r="Z687" s="293"/>
      <c r="AA687" s="293"/>
      <c r="AB687" s="293"/>
      <c r="AC687" s="293"/>
      <c r="AD687" s="293"/>
    </row>
    <row r="688">
      <c r="A688" s="293"/>
      <c r="B688" s="308"/>
      <c r="C688" s="293"/>
      <c r="D688" s="293"/>
      <c r="E688" s="293"/>
      <c r="F688" s="293"/>
      <c r="G688" s="293"/>
      <c r="H688" s="293"/>
      <c r="I688" s="293"/>
      <c r="J688" s="293"/>
      <c r="K688" s="293"/>
      <c r="L688" s="293"/>
      <c r="M688" s="293"/>
      <c r="N688" s="293"/>
      <c r="O688" s="293"/>
      <c r="P688" s="293"/>
      <c r="Q688" s="293"/>
      <c r="R688" s="293"/>
      <c r="S688" s="293"/>
      <c r="T688" s="293"/>
      <c r="U688" s="293"/>
      <c r="V688" s="293"/>
      <c r="W688" s="293"/>
      <c r="X688" s="293"/>
      <c r="Y688" s="293"/>
      <c r="Z688" s="293"/>
      <c r="AA688" s="293"/>
      <c r="AB688" s="293"/>
      <c r="AC688" s="293"/>
      <c r="AD688" s="293"/>
    </row>
    <row r="689">
      <c r="A689" s="293"/>
      <c r="B689" s="308"/>
      <c r="C689" s="293"/>
      <c r="D689" s="293"/>
      <c r="E689" s="293"/>
      <c r="F689" s="293"/>
      <c r="G689" s="293"/>
      <c r="H689" s="293"/>
      <c r="I689" s="293"/>
      <c r="J689" s="293"/>
      <c r="K689" s="293"/>
      <c r="L689" s="293"/>
      <c r="M689" s="293"/>
      <c r="N689" s="293"/>
      <c r="O689" s="293"/>
      <c r="P689" s="293"/>
      <c r="Q689" s="293"/>
      <c r="R689" s="293"/>
      <c r="S689" s="293"/>
      <c r="T689" s="293"/>
      <c r="U689" s="293"/>
      <c r="V689" s="293"/>
      <c r="W689" s="293"/>
      <c r="X689" s="293"/>
      <c r="Y689" s="293"/>
      <c r="Z689" s="293"/>
      <c r="AA689" s="293"/>
      <c r="AB689" s="293"/>
      <c r="AC689" s="293"/>
      <c r="AD689" s="293"/>
    </row>
    <row r="690">
      <c r="A690" s="293"/>
      <c r="B690" s="308"/>
      <c r="C690" s="293"/>
      <c r="D690" s="293"/>
      <c r="E690" s="293"/>
      <c r="F690" s="293"/>
      <c r="G690" s="293"/>
      <c r="H690" s="293"/>
      <c r="I690" s="293"/>
      <c r="J690" s="293"/>
      <c r="K690" s="293"/>
      <c r="L690" s="293"/>
      <c r="M690" s="293"/>
      <c r="N690" s="293"/>
      <c r="O690" s="293"/>
      <c r="P690" s="293"/>
      <c r="Q690" s="293"/>
      <c r="R690" s="293"/>
      <c r="S690" s="293"/>
      <c r="T690" s="293"/>
      <c r="U690" s="293"/>
      <c r="V690" s="293"/>
      <c r="W690" s="293"/>
      <c r="X690" s="293"/>
      <c r="Y690" s="293"/>
      <c r="Z690" s="293"/>
      <c r="AA690" s="293"/>
      <c r="AB690" s="293"/>
      <c r="AC690" s="293"/>
      <c r="AD690" s="293"/>
    </row>
    <row r="691">
      <c r="A691" s="293"/>
      <c r="B691" s="308"/>
      <c r="C691" s="293"/>
      <c r="D691" s="293"/>
      <c r="E691" s="293"/>
      <c r="F691" s="293"/>
      <c r="G691" s="293"/>
      <c r="H691" s="293"/>
      <c r="I691" s="293"/>
      <c r="J691" s="293"/>
      <c r="K691" s="293"/>
      <c r="L691" s="293"/>
      <c r="M691" s="293"/>
      <c r="N691" s="293"/>
      <c r="O691" s="293"/>
      <c r="P691" s="293"/>
      <c r="Q691" s="293"/>
      <c r="R691" s="293"/>
      <c r="S691" s="293"/>
      <c r="T691" s="293"/>
      <c r="U691" s="293"/>
      <c r="V691" s="293"/>
      <c r="W691" s="293"/>
      <c r="X691" s="293"/>
      <c r="Y691" s="293"/>
      <c r="Z691" s="293"/>
      <c r="AA691" s="293"/>
      <c r="AB691" s="293"/>
      <c r="AC691" s="293"/>
      <c r="AD691" s="293"/>
    </row>
    <row r="692">
      <c r="A692" s="293"/>
      <c r="B692" s="308"/>
      <c r="C692" s="293"/>
      <c r="D692" s="293"/>
      <c r="E692" s="293"/>
      <c r="F692" s="293"/>
      <c r="G692" s="293"/>
      <c r="H692" s="293"/>
      <c r="I692" s="293"/>
      <c r="J692" s="293"/>
      <c r="K692" s="293"/>
      <c r="L692" s="293"/>
      <c r="M692" s="293"/>
      <c r="N692" s="293"/>
      <c r="O692" s="293"/>
      <c r="P692" s="293"/>
      <c r="Q692" s="293"/>
      <c r="R692" s="293"/>
      <c r="S692" s="293"/>
      <c r="T692" s="293"/>
      <c r="U692" s="293"/>
      <c r="V692" s="293"/>
      <c r="W692" s="293"/>
      <c r="X692" s="293"/>
      <c r="Y692" s="293"/>
      <c r="Z692" s="293"/>
      <c r="AA692" s="293"/>
      <c r="AB692" s="293"/>
      <c r="AC692" s="293"/>
      <c r="AD692" s="293"/>
    </row>
    <row r="693">
      <c r="A693" s="293"/>
      <c r="B693" s="308"/>
      <c r="C693" s="293"/>
      <c r="D693" s="293"/>
      <c r="E693" s="293"/>
      <c r="F693" s="293"/>
      <c r="G693" s="293"/>
      <c r="H693" s="293"/>
      <c r="I693" s="293"/>
      <c r="J693" s="293"/>
      <c r="K693" s="293"/>
      <c r="L693" s="293"/>
      <c r="M693" s="293"/>
      <c r="N693" s="293"/>
      <c r="O693" s="293"/>
      <c r="P693" s="293"/>
      <c r="Q693" s="293"/>
      <c r="R693" s="293"/>
      <c r="S693" s="293"/>
      <c r="T693" s="293"/>
      <c r="U693" s="293"/>
      <c r="V693" s="293"/>
      <c r="W693" s="293"/>
      <c r="X693" s="293"/>
      <c r="Y693" s="293"/>
      <c r="Z693" s="293"/>
      <c r="AA693" s="293"/>
      <c r="AB693" s="293"/>
      <c r="AC693" s="293"/>
      <c r="AD693" s="293"/>
    </row>
    <row r="694">
      <c r="A694" s="293"/>
      <c r="B694" s="308"/>
      <c r="C694" s="293"/>
      <c r="D694" s="293"/>
      <c r="E694" s="293"/>
      <c r="F694" s="293"/>
      <c r="G694" s="293"/>
      <c r="H694" s="293"/>
      <c r="I694" s="293"/>
      <c r="J694" s="293"/>
      <c r="K694" s="293"/>
      <c r="L694" s="293"/>
      <c r="M694" s="293"/>
      <c r="N694" s="293"/>
      <c r="O694" s="293"/>
      <c r="P694" s="293"/>
      <c r="Q694" s="293"/>
      <c r="R694" s="293"/>
      <c r="S694" s="293"/>
      <c r="T694" s="293"/>
      <c r="U694" s="293"/>
      <c r="V694" s="293"/>
      <c r="W694" s="293"/>
      <c r="X694" s="293"/>
      <c r="Y694" s="293"/>
      <c r="Z694" s="293"/>
      <c r="AA694" s="293"/>
      <c r="AB694" s="293"/>
      <c r="AC694" s="293"/>
      <c r="AD694" s="293"/>
    </row>
    <row r="695">
      <c r="A695" s="293"/>
      <c r="B695" s="308"/>
      <c r="C695" s="293"/>
      <c r="D695" s="293"/>
      <c r="E695" s="293"/>
      <c r="F695" s="293"/>
      <c r="G695" s="293"/>
      <c r="H695" s="293"/>
      <c r="I695" s="293"/>
      <c r="J695" s="293"/>
      <c r="K695" s="293"/>
      <c r="L695" s="293"/>
      <c r="M695" s="293"/>
      <c r="N695" s="293"/>
      <c r="O695" s="293"/>
      <c r="P695" s="293"/>
      <c r="Q695" s="293"/>
      <c r="R695" s="293"/>
      <c r="S695" s="293"/>
      <c r="T695" s="293"/>
      <c r="U695" s="293"/>
      <c r="V695" s="293"/>
      <c r="W695" s="293"/>
      <c r="X695" s="293"/>
      <c r="Y695" s="293"/>
      <c r="Z695" s="293"/>
      <c r="AA695" s="293"/>
      <c r="AB695" s="293"/>
      <c r="AC695" s="293"/>
      <c r="AD695" s="293"/>
    </row>
    <row r="696">
      <c r="A696" s="293"/>
      <c r="B696" s="308"/>
      <c r="C696" s="293"/>
      <c r="D696" s="293"/>
      <c r="E696" s="293"/>
      <c r="F696" s="293"/>
      <c r="G696" s="293"/>
      <c r="H696" s="293"/>
      <c r="I696" s="293"/>
      <c r="J696" s="293"/>
      <c r="K696" s="293"/>
      <c r="L696" s="293"/>
      <c r="M696" s="293"/>
      <c r="N696" s="293"/>
      <c r="O696" s="293"/>
      <c r="P696" s="293"/>
      <c r="Q696" s="293"/>
      <c r="R696" s="293"/>
      <c r="S696" s="293"/>
      <c r="T696" s="293"/>
      <c r="U696" s="293"/>
      <c r="V696" s="293"/>
      <c r="W696" s="293"/>
      <c r="X696" s="293"/>
      <c r="Y696" s="293"/>
      <c r="Z696" s="293"/>
      <c r="AA696" s="293"/>
      <c r="AB696" s="293"/>
      <c r="AC696" s="293"/>
      <c r="AD696" s="293"/>
    </row>
    <row r="697">
      <c r="A697" s="293"/>
      <c r="B697" s="308"/>
      <c r="C697" s="293"/>
      <c r="D697" s="293"/>
      <c r="E697" s="293"/>
      <c r="F697" s="293"/>
      <c r="G697" s="293"/>
      <c r="H697" s="293"/>
      <c r="I697" s="293"/>
      <c r="J697" s="293"/>
      <c r="K697" s="293"/>
      <c r="L697" s="293"/>
      <c r="M697" s="293"/>
      <c r="N697" s="293"/>
      <c r="O697" s="293"/>
      <c r="P697" s="293"/>
      <c r="Q697" s="293"/>
      <c r="R697" s="293"/>
      <c r="S697" s="293"/>
      <c r="T697" s="293"/>
      <c r="U697" s="293"/>
      <c r="V697" s="293"/>
      <c r="W697" s="293"/>
      <c r="X697" s="293"/>
      <c r="Y697" s="293"/>
      <c r="Z697" s="293"/>
      <c r="AA697" s="293"/>
      <c r="AB697" s="293"/>
      <c r="AC697" s="293"/>
      <c r="AD697" s="293"/>
    </row>
    <row r="698">
      <c r="A698" s="293"/>
      <c r="B698" s="308"/>
      <c r="C698" s="293"/>
      <c r="D698" s="293"/>
      <c r="E698" s="293"/>
      <c r="F698" s="293"/>
      <c r="G698" s="293"/>
      <c r="H698" s="293"/>
      <c r="I698" s="293"/>
      <c r="J698" s="293"/>
      <c r="K698" s="293"/>
      <c r="L698" s="293"/>
      <c r="M698" s="293"/>
      <c r="N698" s="293"/>
      <c r="O698" s="293"/>
      <c r="P698" s="293"/>
      <c r="Q698" s="293"/>
      <c r="R698" s="293"/>
      <c r="S698" s="293"/>
      <c r="T698" s="293"/>
      <c r="U698" s="293"/>
      <c r="V698" s="293"/>
      <c r="W698" s="293"/>
      <c r="X698" s="293"/>
      <c r="Y698" s="293"/>
      <c r="Z698" s="293"/>
      <c r="AA698" s="293"/>
      <c r="AB698" s="293"/>
      <c r="AC698" s="293"/>
      <c r="AD698" s="293"/>
    </row>
    <row r="699">
      <c r="A699" s="293"/>
      <c r="B699" s="308"/>
      <c r="C699" s="293"/>
      <c r="D699" s="293"/>
      <c r="E699" s="293"/>
      <c r="F699" s="293"/>
      <c r="G699" s="293"/>
      <c r="H699" s="293"/>
      <c r="I699" s="293"/>
      <c r="J699" s="293"/>
      <c r="K699" s="293"/>
      <c r="L699" s="293"/>
      <c r="M699" s="293"/>
      <c r="N699" s="293"/>
      <c r="O699" s="293"/>
      <c r="P699" s="293"/>
      <c r="Q699" s="293"/>
      <c r="R699" s="293"/>
      <c r="S699" s="293"/>
      <c r="T699" s="293"/>
      <c r="U699" s="293"/>
      <c r="V699" s="293"/>
      <c r="W699" s="293"/>
      <c r="X699" s="293"/>
      <c r="Y699" s="293"/>
      <c r="Z699" s="293"/>
      <c r="AA699" s="293"/>
      <c r="AB699" s="293"/>
      <c r="AC699" s="293"/>
      <c r="AD699" s="293"/>
    </row>
    <row r="700">
      <c r="A700" s="293"/>
      <c r="B700" s="308"/>
      <c r="C700" s="293"/>
      <c r="D700" s="293"/>
      <c r="E700" s="293"/>
      <c r="F700" s="293"/>
      <c r="G700" s="293"/>
      <c r="H700" s="293"/>
      <c r="I700" s="293"/>
      <c r="J700" s="293"/>
      <c r="K700" s="293"/>
      <c r="L700" s="293"/>
      <c r="M700" s="293"/>
      <c r="N700" s="293"/>
      <c r="O700" s="293"/>
      <c r="P700" s="293"/>
      <c r="Q700" s="293"/>
      <c r="R700" s="293"/>
      <c r="S700" s="293"/>
      <c r="T700" s="293"/>
      <c r="U700" s="293"/>
      <c r="V700" s="293"/>
      <c r="W700" s="293"/>
      <c r="X700" s="293"/>
      <c r="Y700" s="293"/>
      <c r="Z700" s="293"/>
      <c r="AA700" s="293"/>
      <c r="AB700" s="293"/>
      <c r="AC700" s="293"/>
      <c r="AD700" s="293"/>
    </row>
    <row r="701">
      <c r="A701" s="293"/>
      <c r="B701" s="308"/>
      <c r="C701" s="293"/>
      <c r="D701" s="293"/>
      <c r="E701" s="293"/>
      <c r="F701" s="293"/>
      <c r="G701" s="293"/>
      <c r="H701" s="293"/>
      <c r="I701" s="293"/>
      <c r="J701" s="293"/>
      <c r="K701" s="293"/>
      <c r="L701" s="293"/>
      <c r="M701" s="293"/>
      <c r="N701" s="293"/>
      <c r="O701" s="293"/>
      <c r="P701" s="293"/>
      <c r="Q701" s="293"/>
      <c r="R701" s="293"/>
      <c r="S701" s="293"/>
      <c r="T701" s="293"/>
      <c r="U701" s="293"/>
      <c r="V701" s="293"/>
      <c r="W701" s="293"/>
      <c r="X701" s="293"/>
      <c r="Y701" s="293"/>
      <c r="Z701" s="293"/>
      <c r="AA701" s="293"/>
      <c r="AB701" s="293"/>
      <c r="AC701" s="293"/>
      <c r="AD701" s="293"/>
    </row>
    <row r="702">
      <c r="A702" s="293"/>
      <c r="B702" s="308"/>
      <c r="C702" s="293"/>
      <c r="D702" s="293"/>
      <c r="E702" s="293"/>
      <c r="F702" s="293"/>
      <c r="G702" s="293"/>
      <c r="H702" s="293"/>
      <c r="I702" s="293"/>
      <c r="J702" s="293"/>
      <c r="K702" s="293"/>
      <c r="L702" s="293"/>
      <c r="M702" s="293"/>
      <c r="N702" s="293"/>
      <c r="O702" s="293"/>
      <c r="P702" s="293"/>
      <c r="Q702" s="293"/>
      <c r="R702" s="293"/>
      <c r="S702" s="293"/>
      <c r="T702" s="293"/>
      <c r="U702" s="293"/>
      <c r="V702" s="293"/>
      <c r="W702" s="293"/>
      <c r="X702" s="293"/>
      <c r="Y702" s="293"/>
      <c r="Z702" s="293"/>
      <c r="AA702" s="293"/>
      <c r="AB702" s="293"/>
      <c r="AC702" s="293"/>
      <c r="AD702" s="293"/>
    </row>
    <row r="703">
      <c r="A703" s="293"/>
      <c r="B703" s="308"/>
      <c r="C703" s="293"/>
      <c r="D703" s="293"/>
      <c r="E703" s="293"/>
      <c r="F703" s="293"/>
      <c r="G703" s="293"/>
      <c r="H703" s="293"/>
      <c r="I703" s="293"/>
      <c r="J703" s="293"/>
      <c r="K703" s="293"/>
      <c r="L703" s="293"/>
      <c r="M703" s="293"/>
      <c r="N703" s="293"/>
      <c r="O703" s="293"/>
      <c r="P703" s="293"/>
      <c r="Q703" s="293"/>
      <c r="R703" s="293"/>
      <c r="S703" s="293"/>
      <c r="T703" s="293"/>
      <c r="U703" s="293"/>
      <c r="V703" s="293"/>
      <c r="W703" s="293"/>
      <c r="X703" s="293"/>
      <c r="Y703" s="293"/>
      <c r="Z703" s="293"/>
      <c r="AA703" s="293"/>
      <c r="AB703" s="293"/>
      <c r="AC703" s="293"/>
      <c r="AD703" s="293"/>
    </row>
    <row r="704">
      <c r="A704" s="293"/>
      <c r="B704" s="308"/>
      <c r="C704" s="293"/>
      <c r="D704" s="293"/>
      <c r="E704" s="293"/>
      <c r="F704" s="293"/>
      <c r="G704" s="293"/>
      <c r="H704" s="293"/>
      <c r="I704" s="293"/>
      <c r="J704" s="293"/>
      <c r="K704" s="293"/>
      <c r="L704" s="293"/>
      <c r="M704" s="293"/>
      <c r="N704" s="293"/>
      <c r="O704" s="293"/>
      <c r="P704" s="293"/>
      <c r="Q704" s="293"/>
      <c r="R704" s="293"/>
      <c r="S704" s="293"/>
      <c r="T704" s="293"/>
      <c r="U704" s="293"/>
      <c r="V704" s="293"/>
      <c r="W704" s="293"/>
      <c r="X704" s="293"/>
      <c r="Y704" s="293"/>
      <c r="Z704" s="293"/>
      <c r="AA704" s="293"/>
      <c r="AB704" s="293"/>
      <c r="AC704" s="293"/>
      <c r="AD704" s="293"/>
    </row>
    <row r="705">
      <c r="A705" s="293"/>
      <c r="B705" s="308"/>
      <c r="C705" s="293"/>
      <c r="D705" s="293"/>
      <c r="E705" s="293"/>
      <c r="F705" s="293"/>
      <c r="G705" s="293"/>
      <c r="H705" s="293"/>
      <c r="I705" s="293"/>
      <c r="J705" s="293"/>
      <c r="K705" s="293"/>
      <c r="L705" s="293"/>
      <c r="M705" s="293"/>
      <c r="N705" s="293"/>
      <c r="O705" s="293"/>
      <c r="P705" s="293"/>
      <c r="Q705" s="293"/>
      <c r="R705" s="293"/>
      <c r="S705" s="293"/>
      <c r="T705" s="293"/>
      <c r="U705" s="293"/>
      <c r="V705" s="293"/>
      <c r="W705" s="293"/>
      <c r="X705" s="293"/>
      <c r="Y705" s="293"/>
      <c r="Z705" s="293"/>
      <c r="AA705" s="293"/>
      <c r="AB705" s="293"/>
      <c r="AC705" s="293"/>
      <c r="AD705" s="293"/>
    </row>
    <row r="706">
      <c r="A706" s="293"/>
      <c r="B706" s="308"/>
      <c r="C706" s="293"/>
      <c r="D706" s="293"/>
      <c r="E706" s="293"/>
      <c r="F706" s="293"/>
      <c r="G706" s="293"/>
      <c r="H706" s="293"/>
      <c r="I706" s="293"/>
      <c r="J706" s="293"/>
      <c r="K706" s="293"/>
      <c r="L706" s="293"/>
      <c r="M706" s="293"/>
      <c r="N706" s="293"/>
      <c r="O706" s="293"/>
      <c r="P706" s="293"/>
      <c r="Q706" s="293"/>
      <c r="R706" s="293"/>
      <c r="S706" s="293"/>
      <c r="T706" s="293"/>
      <c r="U706" s="293"/>
      <c r="V706" s="293"/>
      <c r="W706" s="293"/>
      <c r="X706" s="293"/>
      <c r="Y706" s="293"/>
      <c r="Z706" s="293"/>
      <c r="AA706" s="293"/>
      <c r="AB706" s="293"/>
      <c r="AC706" s="293"/>
      <c r="AD706" s="293"/>
    </row>
    <row r="707">
      <c r="A707" s="293"/>
      <c r="B707" s="308"/>
      <c r="C707" s="293"/>
      <c r="D707" s="293"/>
      <c r="E707" s="293"/>
      <c r="F707" s="293"/>
      <c r="G707" s="293"/>
      <c r="H707" s="293"/>
      <c r="I707" s="293"/>
      <c r="J707" s="293"/>
      <c r="K707" s="293"/>
      <c r="L707" s="293"/>
      <c r="M707" s="293"/>
      <c r="N707" s="293"/>
      <c r="O707" s="293"/>
      <c r="P707" s="293"/>
      <c r="Q707" s="293"/>
      <c r="R707" s="293"/>
      <c r="S707" s="293"/>
      <c r="T707" s="293"/>
      <c r="U707" s="293"/>
      <c r="V707" s="293"/>
      <c r="W707" s="293"/>
      <c r="X707" s="293"/>
      <c r="Y707" s="293"/>
      <c r="Z707" s="293"/>
      <c r="AA707" s="293"/>
      <c r="AB707" s="293"/>
      <c r="AC707" s="293"/>
      <c r="AD707" s="293"/>
    </row>
    <row r="708">
      <c r="A708" s="293"/>
      <c r="B708" s="308"/>
      <c r="C708" s="293"/>
      <c r="D708" s="293"/>
      <c r="E708" s="293"/>
      <c r="F708" s="293"/>
      <c r="G708" s="293"/>
      <c r="H708" s="293"/>
      <c r="I708" s="293"/>
      <c r="J708" s="293"/>
      <c r="K708" s="293"/>
      <c r="L708" s="293"/>
      <c r="M708" s="293"/>
      <c r="N708" s="293"/>
      <c r="O708" s="293"/>
      <c r="P708" s="293"/>
      <c r="Q708" s="293"/>
      <c r="R708" s="293"/>
      <c r="S708" s="293"/>
      <c r="T708" s="293"/>
      <c r="U708" s="293"/>
      <c r="V708" s="293"/>
      <c r="W708" s="293"/>
      <c r="X708" s="293"/>
      <c r="Y708" s="293"/>
      <c r="Z708" s="293"/>
      <c r="AA708" s="293"/>
      <c r="AB708" s="293"/>
      <c r="AC708" s="293"/>
      <c r="AD708" s="293"/>
    </row>
    <row r="709">
      <c r="A709" s="293"/>
      <c r="B709" s="308"/>
      <c r="C709" s="293"/>
      <c r="D709" s="293"/>
      <c r="E709" s="293"/>
      <c r="F709" s="293"/>
      <c r="G709" s="293"/>
      <c r="H709" s="293"/>
      <c r="I709" s="293"/>
      <c r="J709" s="293"/>
      <c r="K709" s="293"/>
      <c r="L709" s="293"/>
      <c r="M709" s="293"/>
      <c r="N709" s="293"/>
      <c r="O709" s="293"/>
      <c r="P709" s="293"/>
      <c r="Q709" s="293"/>
      <c r="R709" s="293"/>
      <c r="S709" s="293"/>
      <c r="T709" s="293"/>
      <c r="U709" s="293"/>
      <c r="V709" s="293"/>
      <c r="W709" s="293"/>
      <c r="X709" s="293"/>
      <c r="Y709" s="293"/>
      <c r="Z709" s="293"/>
      <c r="AA709" s="293"/>
      <c r="AB709" s="293"/>
      <c r="AC709" s="293"/>
      <c r="AD709" s="293"/>
    </row>
    <row r="710">
      <c r="A710" s="293"/>
      <c r="B710" s="308"/>
      <c r="C710" s="293"/>
      <c r="D710" s="293"/>
      <c r="E710" s="293"/>
      <c r="F710" s="293"/>
      <c r="G710" s="293"/>
      <c r="H710" s="293"/>
      <c r="I710" s="293"/>
      <c r="J710" s="293"/>
      <c r="K710" s="293"/>
      <c r="L710" s="293"/>
      <c r="M710" s="293"/>
      <c r="N710" s="293"/>
      <c r="O710" s="293"/>
      <c r="P710" s="293"/>
      <c r="Q710" s="293"/>
      <c r="R710" s="293"/>
      <c r="S710" s="293"/>
      <c r="T710" s="293"/>
      <c r="U710" s="293"/>
      <c r="V710" s="293"/>
      <c r="W710" s="293"/>
      <c r="X710" s="293"/>
      <c r="Y710" s="293"/>
      <c r="Z710" s="293"/>
      <c r="AA710" s="293"/>
      <c r="AB710" s="293"/>
      <c r="AC710" s="293"/>
      <c r="AD710" s="293"/>
    </row>
    <row r="711">
      <c r="A711" s="293"/>
      <c r="B711" s="308"/>
      <c r="C711" s="293"/>
      <c r="D711" s="293"/>
      <c r="E711" s="293"/>
      <c r="F711" s="293"/>
      <c r="G711" s="293"/>
      <c r="H711" s="293"/>
      <c r="I711" s="293"/>
      <c r="J711" s="293"/>
      <c r="K711" s="293"/>
      <c r="L711" s="293"/>
      <c r="M711" s="293"/>
      <c r="N711" s="293"/>
      <c r="O711" s="293"/>
      <c r="P711" s="293"/>
      <c r="Q711" s="293"/>
      <c r="R711" s="293"/>
      <c r="S711" s="293"/>
      <c r="T711" s="293"/>
      <c r="U711" s="293"/>
      <c r="V711" s="293"/>
      <c r="W711" s="293"/>
      <c r="X711" s="293"/>
      <c r="Y711" s="293"/>
      <c r="Z711" s="293"/>
      <c r="AA711" s="293"/>
      <c r="AB711" s="293"/>
      <c r="AC711" s="293"/>
      <c r="AD711" s="293"/>
    </row>
    <row r="712">
      <c r="A712" s="293"/>
      <c r="B712" s="308"/>
      <c r="C712" s="293"/>
      <c r="D712" s="293"/>
      <c r="E712" s="293"/>
      <c r="F712" s="293"/>
      <c r="G712" s="293"/>
      <c r="H712" s="293"/>
      <c r="I712" s="293"/>
      <c r="J712" s="293"/>
      <c r="K712" s="293"/>
      <c r="L712" s="293"/>
      <c r="M712" s="293"/>
      <c r="N712" s="293"/>
      <c r="O712" s="293"/>
      <c r="P712" s="293"/>
      <c r="Q712" s="293"/>
      <c r="R712" s="293"/>
      <c r="S712" s="293"/>
      <c r="T712" s="293"/>
      <c r="U712" s="293"/>
      <c r="V712" s="293"/>
      <c r="W712" s="293"/>
      <c r="X712" s="293"/>
      <c r="Y712" s="293"/>
      <c r="Z712" s="293"/>
      <c r="AA712" s="293"/>
      <c r="AB712" s="293"/>
      <c r="AC712" s="293"/>
      <c r="AD712" s="293"/>
    </row>
    <row r="713">
      <c r="A713" s="293"/>
      <c r="B713" s="308"/>
      <c r="C713" s="293"/>
      <c r="D713" s="293"/>
      <c r="E713" s="293"/>
      <c r="F713" s="293"/>
      <c r="G713" s="293"/>
      <c r="H713" s="293"/>
      <c r="I713" s="293"/>
      <c r="J713" s="293"/>
      <c r="K713" s="293"/>
      <c r="L713" s="293"/>
      <c r="M713" s="293"/>
      <c r="N713" s="293"/>
      <c r="O713" s="293"/>
      <c r="P713" s="293"/>
      <c r="Q713" s="293"/>
      <c r="R713" s="293"/>
      <c r="S713" s="293"/>
      <c r="T713" s="293"/>
      <c r="U713" s="293"/>
      <c r="V713" s="293"/>
      <c r="W713" s="293"/>
      <c r="X713" s="293"/>
      <c r="Y713" s="293"/>
      <c r="Z713" s="293"/>
      <c r="AA713" s="293"/>
      <c r="AB713" s="293"/>
      <c r="AC713" s="293"/>
      <c r="AD713" s="293"/>
    </row>
    <row r="714">
      <c r="A714" s="293"/>
      <c r="B714" s="308"/>
      <c r="C714" s="293"/>
      <c r="D714" s="293"/>
      <c r="E714" s="293"/>
      <c r="F714" s="293"/>
      <c r="G714" s="293"/>
      <c r="H714" s="293"/>
      <c r="I714" s="293"/>
      <c r="J714" s="293"/>
      <c r="K714" s="293"/>
      <c r="L714" s="293"/>
      <c r="M714" s="293"/>
      <c r="N714" s="293"/>
      <c r="O714" s="293"/>
      <c r="P714" s="293"/>
      <c r="Q714" s="293"/>
      <c r="R714" s="293"/>
      <c r="S714" s="293"/>
      <c r="T714" s="293"/>
      <c r="U714" s="293"/>
      <c r="V714" s="293"/>
      <c r="W714" s="293"/>
      <c r="X714" s="293"/>
      <c r="Y714" s="293"/>
      <c r="Z714" s="293"/>
      <c r="AA714" s="293"/>
      <c r="AB714" s="293"/>
      <c r="AC714" s="293"/>
      <c r="AD714" s="293"/>
    </row>
    <row r="715">
      <c r="A715" s="293"/>
      <c r="B715" s="308"/>
      <c r="C715" s="293"/>
      <c r="D715" s="293"/>
      <c r="E715" s="293"/>
      <c r="F715" s="293"/>
      <c r="G715" s="293"/>
      <c r="H715" s="293"/>
      <c r="I715" s="293"/>
      <c r="J715" s="293"/>
      <c r="K715" s="293"/>
      <c r="L715" s="293"/>
      <c r="M715" s="293"/>
      <c r="N715" s="293"/>
      <c r="O715" s="293"/>
      <c r="P715" s="293"/>
      <c r="Q715" s="293"/>
      <c r="R715" s="293"/>
      <c r="S715" s="293"/>
      <c r="T715" s="293"/>
      <c r="U715" s="293"/>
      <c r="V715" s="293"/>
      <c r="W715" s="293"/>
      <c r="X715" s="293"/>
      <c r="Y715" s="293"/>
      <c r="Z715" s="293"/>
      <c r="AA715" s="293"/>
      <c r="AB715" s="293"/>
      <c r="AC715" s="293"/>
      <c r="AD715" s="293"/>
    </row>
    <row r="716">
      <c r="A716" s="293"/>
      <c r="B716" s="308"/>
      <c r="C716" s="293"/>
      <c r="D716" s="293"/>
      <c r="E716" s="293"/>
      <c r="F716" s="293"/>
      <c r="G716" s="293"/>
      <c r="H716" s="293"/>
      <c r="I716" s="293"/>
      <c r="J716" s="293"/>
      <c r="K716" s="293"/>
      <c r="L716" s="293"/>
      <c r="M716" s="293"/>
      <c r="N716" s="293"/>
      <c r="O716" s="293"/>
      <c r="P716" s="293"/>
      <c r="Q716" s="293"/>
      <c r="R716" s="293"/>
      <c r="S716" s="293"/>
      <c r="T716" s="293"/>
      <c r="U716" s="293"/>
      <c r="V716" s="293"/>
      <c r="W716" s="293"/>
      <c r="X716" s="293"/>
      <c r="Y716" s="293"/>
      <c r="Z716" s="293"/>
      <c r="AA716" s="293"/>
      <c r="AB716" s="293"/>
      <c r="AC716" s="293"/>
      <c r="AD716" s="293"/>
    </row>
    <row r="717">
      <c r="A717" s="293"/>
      <c r="B717" s="308"/>
      <c r="C717" s="293"/>
      <c r="D717" s="293"/>
      <c r="E717" s="293"/>
      <c r="F717" s="293"/>
      <c r="G717" s="293"/>
      <c r="H717" s="293"/>
      <c r="I717" s="293"/>
      <c r="J717" s="293"/>
      <c r="K717" s="293"/>
      <c r="L717" s="293"/>
      <c r="M717" s="293"/>
      <c r="N717" s="293"/>
      <c r="O717" s="293"/>
      <c r="P717" s="293"/>
      <c r="Q717" s="293"/>
      <c r="R717" s="293"/>
      <c r="S717" s="293"/>
      <c r="T717" s="293"/>
      <c r="U717" s="293"/>
      <c r="V717" s="293"/>
      <c r="W717" s="293"/>
      <c r="X717" s="293"/>
      <c r="Y717" s="293"/>
      <c r="Z717" s="293"/>
      <c r="AA717" s="293"/>
      <c r="AB717" s="293"/>
      <c r="AC717" s="293"/>
      <c r="AD717" s="293"/>
    </row>
    <row r="718">
      <c r="A718" s="293"/>
      <c r="B718" s="308"/>
      <c r="C718" s="293"/>
      <c r="D718" s="293"/>
      <c r="E718" s="293"/>
      <c r="F718" s="293"/>
      <c r="G718" s="293"/>
      <c r="H718" s="293"/>
      <c r="I718" s="293"/>
      <c r="J718" s="293"/>
      <c r="K718" s="293"/>
      <c r="L718" s="293"/>
      <c r="M718" s="293"/>
      <c r="N718" s="293"/>
      <c r="O718" s="293"/>
      <c r="P718" s="293"/>
      <c r="Q718" s="293"/>
      <c r="R718" s="293"/>
      <c r="S718" s="293"/>
      <c r="T718" s="293"/>
      <c r="U718" s="293"/>
      <c r="V718" s="293"/>
      <c r="W718" s="293"/>
      <c r="X718" s="293"/>
      <c r="Y718" s="293"/>
      <c r="Z718" s="293"/>
      <c r="AA718" s="293"/>
      <c r="AB718" s="293"/>
      <c r="AC718" s="293"/>
      <c r="AD718" s="293"/>
    </row>
    <row r="719">
      <c r="A719" s="293"/>
      <c r="B719" s="308"/>
      <c r="C719" s="293"/>
      <c r="D719" s="293"/>
      <c r="E719" s="293"/>
      <c r="F719" s="293"/>
      <c r="G719" s="293"/>
      <c r="H719" s="293"/>
      <c r="I719" s="293"/>
      <c r="J719" s="293"/>
      <c r="K719" s="293"/>
      <c r="L719" s="293"/>
      <c r="M719" s="293"/>
      <c r="N719" s="293"/>
      <c r="O719" s="293"/>
      <c r="P719" s="293"/>
      <c r="Q719" s="293"/>
      <c r="R719" s="293"/>
      <c r="S719" s="293"/>
      <c r="T719" s="293"/>
      <c r="U719" s="293"/>
      <c r="V719" s="293"/>
      <c r="W719" s="293"/>
      <c r="X719" s="293"/>
      <c r="Y719" s="293"/>
      <c r="Z719" s="293"/>
      <c r="AA719" s="293"/>
      <c r="AB719" s="293"/>
      <c r="AC719" s="293"/>
      <c r="AD719" s="293"/>
    </row>
    <row r="720">
      <c r="A720" s="293"/>
      <c r="B720" s="308"/>
      <c r="C720" s="293"/>
      <c r="D720" s="293"/>
      <c r="E720" s="293"/>
      <c r="F720" s="293"/>
      <c r="G720" s="293"/>
      <c r="H720" s="293"/>
      <c r="I720" s="293"/>
      <c r="J720" s="293"/>
      <c r="K720" s="293"/>
      <c r="L720" s="293"/>
      <c r="M720" s="293"/>
      <c r="N720" s="293"/>
      <c r="O720" s="293"/>
      <c r="P720" s="293"/>
      <c r="Q720" s="293"/>
      <c r="R720" s="293"/>
      <c r="S720" s="293"/>
      <c r="T720" s="293"/>
      <c r="U720" s="293"/>
      <c r="V720" s="293"/>
      <c r="W720" s="293"/>
      <c r="X720" s="293"/>
      <c r="Y720" s="293"/>
      <c r="Z720" s="293"/>
      <c r="AA720" s="293"/>
      <c r="AB720" s="293"/>
      <c r="AC720" s="293"/>
      <c r="AD720" s="293"/>
    </row>
    <row r="721">
      <c r="A721" s="293"/>
      <c r="B721" s="308"/>
      <c r="C721" s="293"/>
      <c r="D721" s="293"/>
      <c r="E721" s="293"/>
      <c r="F721" s="293"/>
      <c r="G721" s="293"/>
      <c r="H721" s="293"/>
      <c r="I721" s="293"/>
      <c r="J721" s="293"/>
      <c r="K721" s="293"/>
      <c r="L721" s="293"/>
      <c r="M721" s="293"/>
      <c r="N721" s="293"/>
      <c r="O721" s="293"/>
      <c r="P721" s="293"/>
      <c r="Q721" s="293"/>
      <c r="R721" s="293"/>
      <c r="S721" s="293"/>
      <c r="T721" s="293"/>
      <c r="U721" s="293"/>
      <c r="V721" s="293"/>
      <c r="W721" s="293"/>
      <c r="X721" s="293"/>
      <c r="Y721" s="293"/>
      <c r="Z721" s="293"/>
      <c r="AA721" s="293"/>
      <c r="AB721" s="293"/>
      <c r="AC721" s="293"/>
      <c r="AD721" s="293"/>
    </row>
    <row r="722">
      <c r="A722" s="293"/>
      <c r="B722" s="308"/>
      <c r="C722" s="293"/>
      <c r="D722" s="293"/>
      <c r="E722" s="293"/>
      <c r="F722" s="293"/>
      <c r="G722" s="293"/>
      <c r="H722" s="293"/>
      <c r="I722" s="293"/>
      <c r="J722" s="293"/>
      <c r="K722" s="293"/>
      <c r="L722" s="293"/>
      <c r="M722" s="293"/>
      <c r="N722" s="293"/>
      <c r="O722" s="293"/>
      <c r="P722" s="293"/>
      <c r="Q722" s="293"/>
      <c r="R722" s="293"/>
      <c r="S722" s="293"/>
      <c r="T722" s="293"/>
      <c r="U722" s="293"/>
      <c r="V722" s="293"/>
      <c r="W722" s="293"/>
      <c r="X722" s="293"/>
      <c r="Y722" s="293"/>
      <c r="Z722" s="293"/>
      <c r="AA722" s="293"/>
      <c r="AB722" s="293"/>
      <c r="AC722" s="293"/>
      <c r="AD722" s="293"/>
    </row>
    <row r="723">
      <c r="A723" s="293"/>
      <c r="B723" s="308"/>
      <c r="C723" s="293"/>
      <c r="D723" s="293"/>
      <c r="E723" s="293"/>
      <c r="F723" s="293"/>
      <c r="G723" s="293"/>
      <c r="H723" s="293"/>
      <c r="I723" s="293"/>
      <c r="J723" s="293"/>
      <c r="K723" s="293"/>
      <c r="L723" s="293"/>
      <c r="M723" s="293"/>
      <c r="N723" s="293"/>
      <c r="O723" s="293"/>
      <c r="P723" s="293"/>
      <c r="Q723" s="293"/>
      <c r="R723" s="293"/>
      <c r="S723" s="293"/>
      <c r="T723" s="293"/>
      <c r="U723" s="293"/>
      <c r="V723" s="293"/>
      <c r="W723" s="293"/>
      <c r="X723" s="293"/>
      <c r="Y723" s="293"/>
      <c r="Z723" s="293"/>
      <c r="AA723" s="293"/>
      <c r="AB723" s="293"/>
      <c r="AC723" s="293"/>
      <c r="AD723" s="293"/>
    </row>
    <row r="724">
      <c r="A724" s="293"/>
      <c r="B724" s="308"/>
      <c r="C724" s="293"/>
      <c r="D724" s="293"/>
      <c r="E724" s="293"/>
      <c r="F724" s="293"/>
      <c r="G724" s="293"/>
      <c r="H724" s="293"/>
      <c r="I724" s="293"/>
      <c r="J724" s="293"/>
      <c r="K724" s="293"/>
      <c r="L724" s="293"/>
      <c r="M724" s="293"/>
      <c r="N724" s="293"/>
      <c r="O724" s="293"/>
      <c r="P724" s="293"/>
      <c r="Q724" s="293"/>
      <c r="R724" s="293"/>
      <c r="S724" s="293"/>
      <c r="T724" s="293"/>
      <c r="U724" s="293"/>
      <c r="V724" s="293"/>
      <c r="W724" s="293"/>
      <c r="X724" s="293"/>
      <c r="Y724" s="293"/>
      <c r="Z724" s="293"/>
      <c r="AA724" s="293"/>
      <c r="AB724" s="293"/>
      <c r="AC724" s="293"/>
      <c r="AD724" s="293"/>
    </row>
    <row r="725">
      <c r="A725" s="293"/>
      <c r="B725" s="308"/>
      <c r="C725" s="293"/>
      <c r="D725" s="293"/>
      <c r="E725" s="293"/>
      <c r="F725" s="293"/>
      <c r="G725" s="293"/>
      <c r="H725" s="293"/>
      <c r="I725" s="293"/>
      <c r="J725" s="293"/>
      <c r="K725" s="293"/>
      <c r="L725" s="293"/>
      <c r="M725" s="293"/>
      <c r="N725" s="293"/>
      <c r="O725" s="293"/>
      <c r="P725" s="293"/>
      <c r="Q725" s="293"/>
      <c r="R725" s="293"/>
      <c r="S725" s="293"/>
      <c r="T725" s="293"/>
      <c r="U725" s="293"/>
      <c r="V725" s="293"/>
      <c r="W725" s="293"/>
      <c r="X725" s="293"/>
      <c r="Y725" s="293"/>
      <c r="Z725" s="293"/>
      <c r="AA725" s="293"/>
      <c r="AB725" s="293"/>
      <c r="AC725" s="293"/>
      <c r="AD725" s="293"/>
    </row>
    <row r="726">
      <c r="A726" s="293"/>
      <c r="B726" s="308"/>
      <c r="C726" s="293"/>
      <c r="D726" s="293"/>
      <c r="E726" s="293"/>
      <c r="F726" s="293"/>
      <c r="G726" s="293"/>
      <c r="H726" s="293"/>
      <c r="I726" s="293"/>
      <c r="J726" s="293"/>
      <c r="K726" s="293"/>
      <c r="L726" s="293"/>
      <c r="M726" s="293"/>
      <c r="N726" s="293"/>
      <c r="O726" s="293"/>
      <c r="P726" s="293"/>
      <c r="Q726" s="293"/>
      <c r="R726" s="293"/>
      <c r="S726" s="293"/>
      <c r="T726" s="293"/>
      <c r="U726" s="293"/>
      <c r="V726" s="293"/>
      <c r="W726" s="293"/>
      <c r="X726" s="293"/>
      <c r="Y726" s="293"/>
      <c r="Z726" s="293"/>
      <c r="AA726" s="293"/>
      <c r="AB726" s="293"/>
      <c r="AC726" s="293"/>
      <c r="AD726" s="293"/>
    </row>
    <row r="727">
      <c r="A727" s="293"/>
      <c r="B727" s="308"/>
      <c r="C727" s="293"/>
      <c r="D727" s="293"/>
      <c r="E727" s="293"/>
      <c r="F727" s="293"/>
      <c r="G727" s="293"/>
      <c r="H727" s="293"/>
      <c r="I727" s="293"/>
      <c r="J727" s="293"/>
      <c r="K727" s="293"/>
      <c r="L727" s="293"/>
      <c r="M727" s="293"/>
      <c r="N727" s="293"/>
      <c r="O727" s="293"/>
      <c r="P727" s="293"/>
      <c r="Q727" s="293"/>
      <c r="R727" s="293"/>
      <c r="S727" s="293"/>
      <c r="T727" s="293"/>
      <c r="U727" s="293"/>
      <c r="V727" s="293"/>
      <c r="W727" s="293"/>
      <c r="X727" s="293"/>
      <c r="Y727" s="293"/>
      <c r="Z727" s="293"/>
      <c r="AA727" s="293"/>
      <c r="AB727" s="293"/>
      <c r="AC727" s="293"/>
      <c r="AD727" s="293"/>
    </row>
    <row r="728">
      <c r="A728" s="293"/>
      <c r="B728" s="308"/>
      <c r="C728" s="293"/>
      <c r="D728" s="293"/>
      <c r="E728" s="293"/>
      <c r="F728" s="293"/>
      <c r="G728" s="293"/>
      <c r="H728" s="293"/>
      <c r="I728" s="293"/>
      <c r="J728" s="293"/>
      <c r="K728" s="293"/>
      <c r="L728" s="293"/>
      <c r="M728" s="293"/>
      <c r="N728" s="293"/>
      <c r="O728" s="293"/>
      <c r="P728" s="293"/>
      <c r="Q728" s="293"/>
      <c r="R728" s="293"/>
      <c r="S728" s="293"/>
      <c r="T728" s="293"/>
      <c r="U728" s="293"/>
      <c r="V728" s="293"/>
      <c r="W728" s="293"/>
      <c r="X728" s="293"/>
      <c r="Y728" s="293"/>
      <c r="Z728" s="293"/>
      <c r="AA728" s="293"/>
      <c r="AB728" s="293"/>
      <c r="AC728" s="293"/>
      <c r="AD728" s="293"/>
    </row>
    <row r="729">
      <c r="A729" s="293"/>
      <c r="B729" s="308"/>
      <c r="C729" s="293"/>
      <c r="D729" s="293"/>
      <c r="E729" s="293"/>
      <c r="F729" s="293"/>
      <c r="G729" s="293"/>
      <c r="H729" s="293"/>
      <c r="I729" s="293"/>
      <c r="J729" s="293"/>
      <c r="K729" s="293"/>
      <c r="L729" s="293"/>
      <c r="M729" s="293"/>
      <c r="N729" s="293"/>
      <c r="O729" s="293"/>
      <c r="P729" s="293"/>
      <c r="Q729" s="293"/>
      <c r="R729" s="293"/>
      <c r="S729" s="293"/>
      <c r="T729" s="293"/>
      <c r="U729" s="293"/>
      <c r="V729" s="293"/>
      <c r="W729" s="293"/>
      <c r="X729" s="293"/>
      <c r="Y729" s="293"/>
      <c r="Z729" s="293"/>
      <c r="AA729" s="293"/>
      <c r="AB729" s="293"/>
      <c r="AC729" s="293"/>
      <c r="AD729" s="293"/>
    </row>
    <row r="730">
      <c r="A730" s="293"/>
      <c r="B730" s="308"/>
      <c r="C730" s="293"/>
      <c r="D730" s="293"/>
      <c r="E730" s="293"/>
      <c r="F730" s="293"/>
      <c r="G730" s="293"/>
      <c r="H730" s="293"/>
      <c r="I730" s="293"/>
      <c r="J730" s="293"/>
      <c r="K730" s="293"/>
      <c r="L730" s="293"/>
      <c r="M730" s="293"/>
      <c r="N730" s="293"/>
      <c r="O730" s="293"/>
      <c r="P730" s="293"/>
      <c r="Q730" s="293"/>
      <c r="R730" s="293"/>
      <c r="S730" s="293"/>
      <c r="T730" s="293"/>
      <c r="U730" s="293"/>
      <c r="V730" s="293"/>
      <c r="W730" s="293"/>
      <c r="X730" s="293"/>
      <c r="Y730" s="293"/>
      <c r="Z730" s="293"/>
      <c r="AA730" s="293"/>
      <c r="AB730" s="293"/>
      <c r="AC730" s="293"/>
      <c r="AD730" s="293"/>
    </row>
    <row r="731">
      <c r="A731" s="293"/>
      <c r="B731" s="308"/>
      <c r="C731" s="293"/>
      <c r="D731" s="293"/>
      <c r="E731" s="293"/>
      <c r="F731" s="293"/>
      <c r="G731" s="293"/>
      <c r="H731" s="293"/>
      <c r="I731" s="293"/>
      <c r="J731" s="293"/>
      <c r="K731" s="293"/>
      <c r="L731" s="293"/>
      <c r="M731" s="293"/>
      <c r="N731" s="293"/>
      <c r="O731" s="293"/>
      <c r="P731" s="293"/>
      <c r="Q731" s="293"/>
      <c r="R731" s="293"/>
      <c r="S731" s="293"/>
      <c r="T731" s="293"/>
      <c r="U731" s="293"/>
      <c r="V731" s="293"/>
      <c r="W731" s="293"/>
      <c r="X731" s="293"/>
      <c r="Y731" s="293"/>
      <c r="Z731" s="293"/>
      <c r="AA731" s="293"/>
      <c r="AB731" s="293"/>
      <c r="AC731" s="293"/>
      <c r="AD731" s="293"/>
    </row>
    <row r="732">
      <c r="A732" s="293"/>
      <c r="B732" s="308"/>
      <c r="C732" s="293"/>
      <c r="D732" s="293"/>
      <c r="E732" s="293"/>
      <c r="F732" s="293"/>
      <c r="G732" s="293"/>
      <c r="H732" s="293"/>
      <c r="I732" s="293"/>
      <c r="J732" s="293"/>
      <c r="K732" s="293"/>
      <c r="L732" s="293"/>
      <c r="M732" s="293"/>
      <c r="N732" s="293"/>
      <c r="O732" s="293"/>
      <c r="P732" s="293"/>
      <c r="Q732" s="293"/>
      <c r="R732" s="293"/>
      <c r="S732" s="293"/>
      <c r="T732" s="293"/>
      <c r="U732" s="293"/>
      <c r="V732" s="293"/>
      <c r="W732" s="293"/>
      <c r="X732" s="293"/>
      <c r="Y732" s="293"/>
      <c r="Z732" s="293"/>
      <c r="AA732" s="293"/>
      <c r="AB732" s="293"/>
      <c r="AC732" s="293"/>
      <c r="AD732" s="293"/>
    </row>
    <row r="733">
      <c r="A733" s="293"/>
      <c r="B733" s="308"/>
      <c r="C733" s="293"/>
      <c r="D733" s="293"/>
      <c r="E733" s="293"/>
      <c r="F733" s="293"/>
      <c r="G733" s="293"/>
      <c r="H733" s="293"/>
      <c r="I733" s="293"/>
      <c r="J733" s="293"/>
      <c r="K733" s="293"/>
      <c r="L733" s="293"/>
      <c r="M733" s="293"/>
      <c r="N733" s="293"/>
      <c r="O733" s="293"/>
      <c r="P733" s="293"/>
      <c r="Q733" s="293"/>
      <c r="R733" s="293"/>
      <c r="S733" s="293"/>
      <c r="T733" s="293"/>
      <c r="U733" s="293"/>
      <c r="V733" s="293"/>
      <c r="W733" s="293"/>
      <c r="X733" s="293"/>
      <c r="Y733" s="293"/>
      <c r="Z733" s="293"/>
      <c r="AA733" s="293"/>
      <c r="AB733" s="293"/>
      <c r="AC733" s="293"/>
      <c r="AD733" s="293"/>
    </row>
    <row r="734">
      <c r="A734" s="293"/>
      <c r="B734" s="308"/>
      <c r="C734" s="293"/>
      <c r="D734" s="293"/>
      <c r="E734" s="293"/>
      <c r="F734" s="293"/>
      <c r="G734" s="293"/>
      <c r="H734" s="293"/>
      <c r="I734" s="293"/>
      <c r="J734" s="293"/>
      <c r="K734" s="293"/>
      <c r="L734" s="293"/>
      <c r="M734" s="293"/>
      <c r="N734" s="293"/>
      <c r="O734" s="293"/>
      <c r="P734" s="293"/>
      <c r="Q734" s="293"/>
      <c r="R734" s="293"/>
      <c r="S734" s="293"/>
      <c r="T734" s="293"/>
      <c r="U734" s="293"/>
      <c r="V734" s="293"/>
      <c r="W734" s="293"/>
      <c r="X734" s="293"/>
      <c r="Y734" s="293"/>
      <c r="Z734" s="293"/>
      <c r="AA734" s="293"/>
      <c r="AB734" s="293"/>
      <c r="AC734" s="293"/>
      <c r="AD734" s="293"/>
    </row>
    <row r="735">
      <c r="A735" s="293"/>
      <c r="B735" s="308"/>
      <c r="C735" s="293"/>
      <c r="D735" s="293"/>
      <c r="E735" s="293"/>
      <c r="F735" s="293"/>
      <c r="G735" s="293"/>
      <c r="H735" s="293"/>
      <c r="I735" s="293"/>
      <c r="J735" s="293"/>
      <c r="K735" s="293"/>
      <c r="L735" s="293"/>
      <c r="M735" s="293"/>
      <c r="N735" s="293"/>
      <c r="O735" s="293"/>
      <c r="P735" s="293"/>
      <c r="Q735" s="293"/>
      <c r="R735" s="293"/>
      <c r="S735" s="293"/>
      <c r="T735" s="293"/>
      <c r="U735" s="293"/>
      <c r="V735" s="293"/>
      <c r="W735" s="293"/>
      <c r="X735" s="293"/>
      <c r="Y735" s="293"/>
      <c r="Z735" s="293"/>
      <c r="AA735" s="293"/>
      <c r="AB735" s="293"/>
      <c r="AC735" s="293"/>
      <c r="AD735" s="293"/>
    </row>
    <row r="736">
      <c r="A736" s="293"/>
      <c r="B736" s="308"/>
      <c r="C736" s="293"/>
      <c r="D736" s="293"/>
      <c r="E736" s="293"/>
      <c r="F736" s="293"/>
      <c r="G736" s="293"/>
      <c r="H736" s="293"/>
      <c r="I736" s="293"/>
      <c r="J736" s="293"/>
      <c r="K736" s="293"/>
      <c r="L736" s="293"/>
      <c r="M736" s="293"/>
      <c r="N736" s="293"/>
      <c r="O736" s="293"/>
      <c r="P736" s="293"/>
      <c r="Q736" s="293"/>
      <c r="R736" s="293"/>
      <c r="S736" s="293"/>
      <c r="T736" s="293"/>
      <c r="U736" s="293"/>
      <c r="V736" s="293"/>
      <c r="W736" s="293"/>
      <c r="X736" s="293"/>
      <c r="Y736" s="293"/>
      <c r="Z736" s="293"/>
      <c r="AA736" s="293"/>
      <c r="AB736" s="293"/>
      <c r="AC736" s="293"/>
      <c r="AD736" s="293"/>
    </row>
    <row r="737">
      <c r="A737" s="293"/>
      <c r="B737" s="308"/>
      <c r="C737" s="293"/>
      <c r="D737" s="293"/>
      <c r="E737" s="293"/>
      <c r="F737" s="293"/>
      <c r="G737" s="293"/>
      <c r="H737" s="293"/>
      <c r="I737" s="293"/>
      <c r="J737" s="293"/>
      <c r="K737" s="293"/>
      <c r="L737" s="293"/>
      <c r="M737" s="293"/>
      <c r="N737" s="293"/>
      <c r="O737" s="293"/>
      <c r="P737" s="293"/>
      <c r="Q737" s="293"/>
      <c r="R737" s="293"/>
      <c r="S737" s="293"/>
      <c r="T737" s="293"/>
      <c r="U737" s="293"/>
      <c r="V737" s="293"/>
      <c r="W737" s="293"/>
      <c r="X737" s="293"/>
      <c r="Y737" s="293"/>
      <c r="Z737" s="293"/>
      <c r="AA737" s="293"/>
      <c r="AB737" s="293"/>
      <c r="AC737" s="293"/>
      <c r="AD737" s="293"/>
    </row>
    <row r="738">
      <c r="A738" s="293"/>
      <c r="B738" s="308"/>
      <c r="C738" s="293"/>
      <c r="D738" s="293"/>
      <c r="E738" s="293"/>
      <c r="F738" s="293"/>
      <c r="G738" s="293"/>
      <c r="H738" s="293"/>
      <c r="I738" s="293"/>
      <c r="J738" s="293"/>
      <c r="K738" s="293"/>
      <c r="L738" s="293"/>
      <c r="M738" s="293"/>
      <c r="N738" s="293"/>
      <c r="O738" s="293"/>
      <c r="P738" s="293"/>
      <c r="Q738" s="293"/>
      <c r="R738" s="293"/>
      <c r="S738" s="293"/>
      <c r="T738" s="293"/>
      <c r="U738" s="293"/>
      <c r="V738" s="293"/>
      <c r="W738" s="293"/>
      <c r="X738" s="293"/>
      <c r="Y738" s="293"/>
      <c r="Z738" s="293"/>
      <c r="AA738" s="293"/>
      <c r="AB738" s="293"/>
      <c r="AC738" s="293"/>
      <c r="AD738" s="293"/>
    </row>
    <row r="739">
      <c r="A739" s="293"/>
      <c r="B739" s="308"/>
      <c r="C739" s="293"/>
      <c r="D739" s="293"/>
      <c r="E739" s="293"/>
      <c r="F739" s="293"/>
      <c r="G739" s="293"/>
      <c r="H739" s="293"/>
      <c r="I739" s="293"/>
      <c r="J739" s="293"/>
      <c r="K739" s="293"/>
      <c r="L739" s="293"/>
      <c r="M739" s="293"/>
      <c r="N739" s="293"/>
      <c r="O739" s="293"/>
      <c r="P739" s="293"/>
      <c r="Q739" s="293"/>
      <c r="R739" s="293"/>
      <c r="S739" s="293"/>
      <c r="T739" s="293"/>
      <c r="U739" s="293"/>
      <c r="V739" s="293"/>
      <c r="W739" s="293"/>
      <c r="X739" s="293"/>
      <c r="Y739" s="293"/>
      <c r="Z739" s="293"/>
      <c r="AA739" s="293"/>
      <c r="AB739" s="293"/>
      <c r="AC739" s="293"/>
      <c r="AD739" s="293"/>
    </row>
    <row r="740">
      <c r="A740" s="293"/>
      <c r="B740" s="308"/>
      <c r="C740" s="293"/>
      <c r="D740" s="293"/>
      <c r="E740" s="293"/>
      <c r="F740" s="293"/>
      <c r="G740" s="293"/>
      <c r="H740" s="293"/>
      <c r="I740" s="293"/>
      <c r="J740" s="293"/>
      <c r="K740" s="293"/>
      <c r="L740" s="293"/>
      <c r="M740" s="293"/>
      <c r="N740" s="293"/>
      <c r="O740" s="293"/>
      <c r="P740" s="293"/>
      <c r="Q740" s="293"/>
      <c r="R740" s="293"/>
      <c r="S740" s="293"/>
      <c r="T740" s="293"/>
      <c r="U740" s="293"/>
      <c r="V740" s="293"/>
      <c r="W740" s="293"/>
      <c r="X740" s="293"/>
      <c r="Y740" s="293"/>
      <c r="Z740" s="293"/>
      <c r="AA740" s="293"/>
      <c r="AB740" s="293"/>
      <c r="AC740" s="293"/>
      <c r="AD740" s="293"/>
    </row>
    <row r="741">
      <c r="A741" s="293"/>
      <c r="B741" s="308"/>
      <c r="C741" s="293"/>
      <c r="D741" s="293"/>
      <c r="E741" s="293"/>
      <c r="F741" s="293"/>
      <c r="G741" s="293"/>
      <c r="H741" s="293"/>
      <c r="I741" s="293"/>
      <c r="J741" s="293"/>
      <c r="K741" s="293"/>
      <c r="L741" s="293"/>
      <c r="M741" s="293"/>
      <c r="N741" s="293"/>
      <c r="O741" s="293"/>
      <c r="P741" s="293"/>
      <c r="Q741" s="293"/>
      <c r="R741" s="293"/>
      <c r="S741" s="293"/>
      <c r="T741" s="293"/>
      <c r="U741" s="293"/>
      <c r="V741" s="293"/>
      <c r="W741" s="293"/>
      <c r="X741" s="293"/>
      <c r="Y741" s="293"/>
      <c r="Z741" s="293"/>
      <c r="AA741" s="293"/>
      <c r="AB741" s="293"/>
      <c r="AC741" s="293"/>
      <c r="AD741" s="293"/>
    </row>
    <row r="742">
      <c r="A742" s="293"/>
      <c r="B742" s="308"/>
      <c r="C742" s="293"/>
      <c r="D742" s="293"/>
      <c r="E742" s="293"/>
      <c r="F742" s="293"/>
      <c r="G742" s="293"/>
      <c r="H742" s="293"/>
      <c r="I742" s="293"/>
      <c r="J742" s="293"/>
      <c r="K742" s="293"/>
      <c r="L742" s="293"/>
      <c r="M742" s="293"/>
      <c r="N742" s="293"/>
      <c r="O742" s="293"/>
      <c r="P742" s="293"/>
      <c r="Q742" s="293"/>
      <c r="R742" s="293"/>
      <c r="S742" s="293"/>
      <c r="T742" s="293"/>
      <c r="U742" s="293"/>
      <c r="V742" s="293"/>
      <c r="W742" s="293"/>
      <c r="X742" s="293"/>
      <c r="Y742" s="293"/>
      <c r="Z742" s="293"/>
      <c r="AA742" s="293"/>
      <c r="AB742" s="293"/>
      <c r="AC742" s="293"/>
      <c r="AD742" s="293"/>
    </row>
    <row r="743">
      <c r="A743" s="293"/>
      <c r="B743" s="308"/>
      <c r="C743" s="293"/>
      <c r="D743" s="293"/>
      <c r="E743" s="293"/>
      <c r="F743" s="293"/>
      <c r="G743" s="293"/>
      <c r="H743" s="293"/>
      <c r="I743" s="293"/>
      <c r="J743" s="293"/>
      <c r="K743" s="293"/>
      <c r="L743" s="293"/>
      <c r="M743" s="293"/>
      <c r="N743" s="293"/>
      <c r="O743" s="293"/>
      <c r="P743" s="293"/>
      <c r="Q743" s="293"/>
      <c r="R743" s="293"/>
      <c r="S743" s="293"/>
      <c r="T743" s="293"/>
      <c r="U743" s="293"/>
      <c r="V743" s="293"/>
      <c r="W743" s="293"/>
      <c r="X743" s="293"/>
      <c r="Y743" s="293"/>
      <c r="Z743" s="293"/>
      <c r="AA743" s="293"/>
      <c r="AB743" s="293"/>
      <c r="AC743" s="293"/>
      <c r="AD743" s="293"/>
    </row>
    <row r="744">
      <c r="A744" s="293"/>
      <c r="B744" s="308"/>
      <c r="C744" s="293"/>
      <c r="D744" s="293"/>
      <c r="E744" s="293"/>
      <c r="F744" s="293"/>
      <c r="G744" s="293"/>
      <c r="H744" s="293"/>
      <c r="I744" s="293"/>
      <c r="J744" s="293"/>
      <c r="K744" s="293"/>
      <c r="L744" s="293"/>
      <c r="M744" s="293"/>
      <c r="N744" s="293"/>
      <c r="O744" s="293"/>
      <c r="P744" s="293"/>
      <c r="Q744" s="293"/>
      <c r="R744" s="293"/>
      <c r="S744" s="293"/>
      <c r="T744" s="293"/>
      <c r="U744" s="293"/>
      <c r="V744" s="293"/>
      <c r="W744" s="293"/>
      <c r="X744" s="293"/>
      <c r="Y744" s="293"/>
      <c r="Z744" s="293"/>
      <c r="AA744" s="293"/>
      <c r="AB744" s="293"/>
      <c r="AC744" s="293"/>
      <c r="AD744" s="293"/>
    </row>
    <row r="745">
      <c r="A745" s="293"/>
      <c r="B745" s="308"/>
      <c r="C745" s="293"/>
      <c r="D745" s="293"/>
      <c r="E745" s="293"/>
      <c r="F745" s="293"/>
      <c r="G745" s="293"/>
      <c r="H745" s="293"/>
      <c r="I745" s="293"/>
      <c r="J745" s="293"/>
      <c r="K745" s="293"/>
      <c r="L745" s="293"/>
      <c r="M745" s="293"/>
      <c r="N745" s="293"/>
      <c r="O745" s="293"/>
      <c r="P745" s="293"/>
      <c r="Q745" s="293"/>
      <c r="R745" s="293"/>
      <c r="S745" s="293"/>
      <c r="T745" s="293"/>
      <c r="U745" s="293"/>
      <c r="V745" s="293"/>
      <c r="W745" s="293"/>
      <c r="X745" s="293"/>
      <c r="Y745" s="293"/>
      <c r="Z745" s="293"/>
      <c r="AA745" s="293"/>
      <c r="AB745" s="293"/>
      <c r="AC745" s="293"/>
      <c r="AD745" s="293"/>
    </row>
    <row r="746">
      <c r="A746" s="293"/>
      <c r="B746" s="308"/>
      <c r="C746" s="293"/>
      <c r="D746" s="293"/>
      <c r="E746" s="293"/>
      <c r="F746" s="293"/>
      <c r="G746" s="293"/>
      <c r="H746" s="293"/>
      <c r="I746" s="293"/>
      <c r="J746" s="293"/>
      <c r="K746" s="293"/>
      <c r="L746" s="293"/>
      <c r="M746" s="293"/>
      <c r="N746" s="293"/>
      <c r="O746" s="293"/>
      <c r="P746" s="293"/>
      <c r="Q746" s="293"/>
      <c r="R746" s="293"/>
      <c r="S746" s="293"/>
      <c r="T746" s="293"/>
      <c r="U746" s="293"/>
      <c r="V746" s="293"/>
      <c r="W746" s="293"/>
      <c r="X746" s="293"/>
      <c r="Y746" s="293"/>
      <c r="Z746" s="293"/>
      <c r="AA746" s="293"/>
      <c r="AB746" s="293"/>
      <c r="AC746" s="293"/>
      <c r="AD746" s="293"/>
    </row>
    <row r="747">
      <c r="A747" s="293"/>
      <c r="B747" s="308"/>
      <c r="C747" s="293"/>
      <c r="D747" s="293"/>
      <c r="E747" s="293"/>
      <c r="F747" s="293"/>
      <c r="G747" s="293"/>
      <c r="H747" s="293"/>
      <c r="I747" s="293"/>
      <c r="J747" s="293"/>
      <c r="K747" s="293"/>
      <c r="L747" s="293"/>
      <c r="M747" s="293"/>
      <c r="N747" s="293"/>
      <c r="O747" s="293"/>
      <c r="P747" s="293"/>
      <c r="Q747" s="293"/>
      <c r="R747" s="293"/>
      <c r="S747" s="293"/>
      <c r="T747" s="293"/>
      <c r="U747" s="293"/>
      <c r="V747" s="293"/>
      <c r="W747" s="293"/>
      <c r="X747" s="293"/>
      <c r="Y747" s="293"/>
      <c r="Z747" s="293"/>
      <c r="AA747" s="293"/>
      <c r="AB747" s="293"/>
      <c r="AC747" s="293"/>
      <c r="AD747" s="293"/>
    </row>
    <row r="748">
      <c r="A748" s="293"/>
      <c r="B748" s="308"/>
      <c r="C748" s="293"/>
      <c r="D748" s="293"/>
      <c r="E748" s="293"/>
      <c r="F748" s="293"/>
      <c r="G748" s="293"/>
      <c r="H748" s="293"/>
      <c r="I748" s="293"/>
      <c r="J748" s="293"/>
      <c r="K748" s="293"/>
      <c r="L748" s="293"/>
      <c r="M748" s="293"/>
      <c r="N748" s="293"/>
      <c r="O748" s="293"/>
      <c r="P748" s="293"/>
      <c r="Q748" s="293"/>
      <c r="R748" s="293"/>
      <c r="S748" s="293"/>
      <c r="T748" s="293"/>
      <c r="U748" s="293"/>
      <c r="V748" s="293"/>
      <c r="W748" s="293"/>
      <c r="X748" s="293"/>
      <c r="Y748" s="293"/>
      <c r="Z748" s="293"/>
      <c r="AA748" s="293"/>
      <c r="AB748" s="293"/>
      <c r="AC748" s="293"/>
      <c r="AD748" s="293"/>
    </row>
    <row r="749">
      <c r="A749" s="293"/>
      <c r="B749" s="308"/>
      <c r="C749" s="293"/>
      <c r="D749" s="293"/>
      <c r="E749" s="293"/>
      <c r="F749" s="293"/>
      <c r="G749" s="293"/>
      <c r="H749" s="293"/>
      <c r="I749" s="293"/>
      <c r="J749" s="293"/>
      <c r="K749" s="293"/>
      <c r="L749" s="293"/>
      <c r="M749" s="293"/>
      <c r="N749" s="293"/>
      <c r="O749" s="293"/>
      <c r="P749" s="293"/>
      <c r="Q749" s="293"/>
      <c r="R749" s="293"/>
      <c r="S749" s="293"/>
      <c r="T749" s="293"/>
      <c r="U749" s="293"/>
      <c r="V749" s="293"/>
      <c r="W749" s="293"/>
      <c r="X749" s="293"/>
      <c r="Y749" s="293"/>
      <c r="Z749" s="293"/>
      <c r="AA749" s="293"/>
      <c r="AB749" s="293"/>
      <c r="AC749" s="293"/>
      <c r="AD749" s="293"/>
    </row>
    <row r="750">
      <c r="A750" s="293"/>
      <c r="B750" s="308"/>
      <c r="C750" s="293"/>
      <c r="D750" s="293"/>
      <c r="E750" s="293"/>
      <c r="F750" s="293"/>
      <c r="G750" s="293"/>
      <c r="H750" s="293"/>
      <c r="I750" s="293"/>
      <c r="J750" s="293"/>
      <c r="K750" s="293"/>
      <c r="L750" s="293"/>
      <c r="M750" s="293"/>
      <c r="N750" s="293"/>
      <c r="O750" s="293"/>
      <c r="P750" s="293"/>
      <c r="Q750" s="293"/>
      <c r="R750" s="293"/>
      <c r="S750" s="293"/>
      <c r="T750" s="293"/>
      <c r="U750" s="293"/>
      <c r="V750" s="293"/>
      <c r="W750" s="293"/>
      <c r="X750" s="293"/>
      <c r="Y750" s="293"/>
      <c r="Z750" s="293"/>
      <c r="AA750" s="293"/>
      <c r="AB750" s="293"/>
      <c r="AC750" s="293"/>
      <c r="AD750" s="293"/>
    </row>
    <row r="751">
      <c r="A751" s="293"/>
      <c r="B751" s="308"/>
      <c r="C751" s="293"/>
      <c r="D751" s="293"/>
      <c r="E751" s="293"/>
      <c r="F751" s="293"/>
      <c r="G751" s="293"/>
      <c r="H751" s="293"/>
      <c r="I751" s="293"/>
      <c r="J751" s="293"/>
      <c r="K751" s="293"/>
      <c r="L751" s="293"/>
      <c r="M751" s="293"/>
      <c r="N751" s="293"/>
      <c r="O751" s="293"/>
      <c r="P751" s="293"/>
      <c r="Q751" s="293"/>
      <c r="R751" s="293"/>
      <c r="S751" s="293"/>
      <c r="T751" s="293"/>
      <c r="U751" s="293"/>
      <c r="V751" s="293"/>
      <c r="W751" s="293"/>
      <c r="X751" s="293"/>
      <c r="Y751" s="293"/>
      <c r="Z751" s="293"/>
      <c r="AA751" s="293"/>
      <c r="AB751" s="293"/>
      <c r="AC751" s="293"/>
      <c r="AD751" s="293"/>
    </row>
    <row r="752">
      <c r="A752" s="293"/>
      <c r="B752" s="308"/>
      <c r="C752" s="293"/>
      <c r="D752" s="293"/>
      <c r="E752" s="293"/>
      <c r="F752" s="293"/>
      <c r="G752" s="293"/>
      <c r="H752" s="293"/>
      <c r="I752" s="293"/>
      <c r="J752" s="293"/>
      <c r="K752" s="293"/>
      <c r="L752" s="293"/>
      <c r="M752" s="293"/>
      <c r="N752" s="293"/>
      <c r="O752" s="293"/>
      <c r="P752" s="293"/>
      <c r="Q752" s="293"/>
      <c r="R752" s="293"/>
      <c r="S752" s="293"/>
      <c r="T752" s="293"/>
      <c r="U752" s="293"/>
      <c r="V752" s="293"/>
      <c r="W752" s="293"/>
      <c r="X752" s="293"/>
      <c r="Y752" s="293"/>
      <c r="Z752" s="293"/>
      <c r="AA752" s="293"/>
      <c r="AB752" s="293"/>
      <c r="AC752" s="293"/>
      <c r="AD752" s="293"/>
    </row>
    <row r="753">
      <c r="A753" s="293"/>
      <c r="B753" s="308"/>
      <c r="C753" s="293"/>
      <c r="D753" s="293"/>
      <c r="E753" s="293"/>
      <c r="F753" s="293"/>
      <c r="G753" s="293"/>
      <c r="H753" s="293"/>
      <c r="I753" s="293"/>
      <c r="J753" s="293"/>
      <c r="K753" s="293"/>
      <c r="L753" s="293"/>
      <c r="M753" s="293"/>
      <c r="N753" s="293"/>
      <c r="O753" s="293"/>
      <c r="P753" s="293"/>
      <c r="Q753" s="293"/>
      <c r="R753" s="293"/>
      <c r="S753" s="293"/>
      <c r="T753" s="293"/>
      <c r="U753" s="293"/>
      <c r="V753" s="293"/>
      <c r="W753" s="293"/>
      <c r="X753" s="293"/>
      <c r="Y753" s="293"/>
      <c r="Z753" s="293"/>
      <c r="AA753" s="293"/>
      <c r="AB753" s="293"/>
      <c r="AC753" s="293"/>
      <c r="AD753" s="293"/>
    </row>
    <row r="754">
      <c r="A754" s="293"/>
      <c r="B754" s="308"/>
      <c r="C754" s="293"/>
      <c r="D754" s="293"/>
      <c r="E754" s="293"/>
      <c r="F754" s="293"/>
      <c r="G754" s="293"/>
      <c r="H754" s="293"/>
      <c r="I754" s="293"/>
      <c r="J754" s="293"/>
      <c r="K754" s="293"/>
      <c r="L754" s="293"/>
      <c r="M754" s="293"/>
      <c r="N754" s="293"/>
      <c r="O754" s="293"/>
      <c r="P754" s="293"/>
      <c r="Q754" s="293"/>
      <c r="R754" s="293"/>
      <c r="S754" s="293"/>
      <c r="T754" s="293"/>
      <c r="U754" s="293"/>
      <c r="V754" s="293"/>
      <c r="W754" s="293"/>
      <c r="X754" s="293"/>
      <c r="Y754" s="293"/>
      <c r="Z754" s="293"/>
      <c r="AA754" s="293"/>
      <c r="AB754" s="293"/>
      <c r="AC754" s="293"/>
      <c r="AD754" s="293"/>
    </row>
    <row r="755">
      <c r="A755" s="293"/>
      <c r="B755" s="308"/>
      <c r="C755" s="293"/>
      <c r="D755" s="293"/>
      <c r="E755" s="293"/>
      <c r="F755" s="293"/>
      <c r="G755" s="293"/>
      <c r="H755" s="293"/>
      <c r="I755" s="293"/>
      <c r="J755" s="293"/>
      <c r="K755" s="293"/>
      <c r="L755" s="293"/>
      <c r="M755" s="293"/>
      <c r="N755" s="293"/>
      <c r="O755" s="293"/>
      <c r="P755" s="293"/>
      <c r="Q755" s="293"/>
      <c r="R755" s="293"/>
      <c r="S755" s="293"/>
      <c r="T755" s="293"/>
      <c r="U755" s="293"/>
      <c r="V755" s="293"/>
      <c r="W755" s="293"/>
      <c r="X755" s="293"/>
      <c r="Y755" s="293"/>
      <c r="Z755" s="293"/>
      <c r="AA755" s="293"/>
      <c r="AB755" s="293"/>
      <c r="AC755" s="293"/>
      <c r="AD755" s="293"/>
    </row>
    <row r="756">
      <c r="A756" s="293"/>
      <c r="B756" s="308"/>
      <c r="C756" s="293"/>
      <c r="D756" s="293"/>
      <c r="E756" s="293"/>
      <c r="F756" s="293"/>
      <c r="G756" s="293"/>
      <c r="H756" s="293"/>
      <c r="I756" s="293"/>
      <c r="J756" s="293"/>
      <c r="K756" s="293"/>
      <c r="L756" s="293"/>
      <c r="M756" s="293"/>
      <c r="N756" s="293"/>
      <c r="O756" s="293"/>
      <c r="P756" s="293"/>
      <c r="Q756" s="293"/>
      <c r="R756" s="293"/>
      <c r="S756" s="293"/>
      <c r="T756" s="293"/>
      <c r="U756" s="293"/>
      <c r="V756" s="293"/>
      <c r="W756" s="293"/>
      <c r="X756" s="293"/>
      <c r="Y756" s="293"/>
      <c r="Z756" s="293"/>
      <c r="AA756" s="293"/>
      <c r="AB756" s="293"/>
      <c r="AC756" s="293"/>
      <c r="AD756" s="293"/>
    </row>
    <row r="757">
      <c r="A757" s="293"/>
      <c r="B757" s="308"/>
      <c r="C757" s="293"/>
      <c r="D757" s="293"/>
      <c r="E757" s="293"/>
      <c r="F757" s="293"/>
      <c r="G757" s="293"/>
      <c r="H757" s="293"/>
      <c r="I757" s="293"/>
      <c r="J757" s="293"/>
      <c r="K757" s="293"/>
      <c r="L757" s="293"/>
      <c r="M757" s="293"/>
      <c r="N757" s="293"/>
      <c r="O757" s="293"/>
      <c r="P757" s="293"/>
      <c r="Q757" s="293"/>
      <c r="R757" s="293"/>
      <c r="S757" s="293"/>
      <c r="T757" s="293"/>
      <c r="U757" s="293"/>
      <c r="V757" s="293"/>
      <c r="W757" s="293"/>
      <c r="X757" s="293"/>
      <c r="Y757" s="293"/>
      <c r="Z757" s="293"/>
      <c r="AA757" s="293"/>
      <c r="AB757" s="293"/>
      <c r="AC757" s="293"/>
      <c r="AD757" s="293"/>
    </row>
    <row r="758">
      <c r="A758" s="293"/>
      <c r="B758" s="308"/>
      <c r="C758" s="293"/>
      <c r="D758" s="293"/>
      <c r="E758" s="293"/>
      <c r="F758" s="293"/>
      <c r="G758" s="293"/>
      <c r="H758" s="293"/>
      <c r="I758" s="293"/>
      <c r="J758" s="293"/>
      <c r="K758" s="293"/>
      <c r="L758" s="293"/>
      <c r="M758" s="293"/>
      <c r="N758" s="293"/>
      <c r="O758" s="293"/>
      <c r="P758" s="293"/>
      <c r="Q758" s="293"/>
      <c r="R758" s="293"/>
      <c r="S758" s="293"/>
      <c r="T758" s="293"/>
      <c r="U758" s="293"/>
      <c r="V758" s="293"/>
      <c r="W758" s="293"/>
      <c r="X758" s="293"/>
      <c r="Y758" s="293"/>
      <c r="Z758" s="293"/>
      <c r="AA758" s="293"/>
      <c r="AB758" s="293"/>
      <c r="AC758" s="293"/>
      <c r="AD758" s="293"/>
    </row>
    <row r="759">
      <c r="A759" s="293"/>
      <c r="B759" s="308"/>
      <c r="C759" s="293"/>
      <c r="D759" s="293"/>
      <c r="E759" s="293"/>
      <c r="F759" s="293"/>
      <c r="G759" s="293"/>
      <c r="H759" s="293"/>
      <c r="I759" s="293"/>
      <c r="J759" s="293"/>
      <c r="K759" s="293"/>
      <c r="L759" s="293"/>
      <c r="M759" s="293"/>
      <c r="N759" s="293"/>
      <c r="O759" s="293"/>
      <c r="P759" s="293"/>
      <c r="Q759" s="293"/>
      <c r="R759" s="293"/>
      <c r="S759" s="293"/>
      <c r="T759" s="293"/>
      <c r="U759" s="293"/>
      <c r="V759" s="293"/>
      <c r="W759" s="293"/>
      <c r="X759" s="293"/>
      <c r="Y759" s="293"/>
      <c r="Z759" s="293"/>
      <c r="AA759" s="293"/>
      <c r="AB759" s="293"/>
      <c r="AC759" s="293"/>
      <c r="AD759" s="293"/>
    </row>
    <row r="760">
      <c r="A760" s="293"/>
      <c r="B760" s="308"/>
      <c r="C760" s="293"/>
      <c r="D760" s="293"/>
      <c r="E760" s="293"/>
      <c r="F760" s="293"/>
      <c r="G760" s="293"/>
      <c r="H760" s="293"/>
      <c r="I760" s="293"/>
      <c r="J760" s="293"/>
      <c r="K760" s="293"/>
      <c r="L760" s="293"/>
      <c r="M760" s="293"/>
      <c r="N760" s="293"/>
      <c r="O760" s="293"/>
      <c r="P760" s="293"/>
      <c r="Q760" s="293"/>
      <c r="R760" s="293"/>
      <c r="S760" s="293"/>
      <c r="T760" s="293"/>
      <c r="U760" s="293"/>
      <c r="V760" s="293"/>
      <c r="W760" s="293"/>
      <c r="X760" s="293"/>
      <c r="Y760" s="293"/>
      <c r="Z760" s="293"/>
      <c r="AA760" s="293"/>
      <c r="AB760" s="293"/>
      <c r="AC760" s="293"/>
      <c r="AD760" s="293"/>
    </row>
    <row r="761">
      <c r="A761" s="293"/>
      <c r="B761" s="308"/>
      <c r="C761" s="293"/>
      <c r="D761" s="293"/>
      <c r="E761" s="293"/>
      <c r="F761" s="293"/>
      <c r="G761" s="293"/>
      <c r="H761" s="293"/>
      <c r="I761" s="293"/>
      <c r="J761" s="293"/>
      <c r="K761" s="293"/>
      <c r="L761" s="293"/>
      <c r="M761" s="293"/>
      <c r="N761" s="293"/>
      <c r="O761" s="293"/>
      <c r="P761" s="293"/>
      <c r="Q761" s="293"/>
      <c r="R761" s="293"/>
      <c r="S761" s="293"/>
      <c r="T761" s="293"/>
      <c r="U761" s="293"/>
      <c r="V761" s="293"/>
      <c r="W761" s="293"/>
      <c r="X761" s="293"/>
      <c r="Y761" s="293"/>
      <c r="Z761" s="293"/>
      <c r="AA761" s="293"/>
      <c r="AB761" s="293"/>
      <c r="AC761" s="293"/>
      <c r="AD761" s="293"/>
    </row>
    <row r="762">
      <c r="A762" s="293"/>
      <c r="B762" s="308"/>
      <c r="C762" s="293"/>
      <c r="D762" s="293"/>
      <c r="E762" s="293"/>
      <c r="F762" s="293"/>
      <c r="G762" s="293"/>
      <c r="H762" s="293"/>
      <c r="I762" s="293"/>
      <c r="J762" s="293"/>
      <c r="K762" s="293"/>
      <c r="L762" s="293"/>
      <c r="M762" s="293"/>
      <c r="N762" s="293"/>
      <c r="O762" s="293"/>
      <c r="P762" s="293"/>
      <c r="Q762" s="293"/>
      <c r="R762" s="293"/>
      <c r="S762" s="293"/>
      <c r="T762" s="293"/>
      <c r="U762" s="293"/>
      <c r="V762" s="293"/>
      <c r="W762" s="293"/>
      <c r="X762" s="293"/>
      <c r="Y762" s="293"/>
      <c r="Z762" s="293"/>
      <c r="AA762" s="293"/>
      <c r="AB762" s="293"/>
      <c r="AC762" s="293"/>
      <c r="AD762" s="293"/>
    </row>
    <row r="763">
      <c r="A763" s="293"/>
      <c r="B763" s="308"/>
      <c r="C763" s="293"/>
      <c r="D763" s="293"/>
      <c r="E763" s="293"/>
      <c r="F763" s="293"/>
      <c r="G763" s="293"/>
      <c r="H763" s="293"/>
      <c r="I763" s="293"/>
      <c r="J763" s="293"/>
      <c r="K763" s="293"/>
      <c r="L763" s="293"/>
      <c r="M763" s="293"/>
      <c r="N763" s="293"/>
      <c r="O763" s="293"/>
      <c r="P763" s="293"/>
      <c r="Q763" s="293"/>
      <c r="R763" s="293"/>
      <c r="S763" s="293"/>
      <c r="T763" s="293"/>
      <c r="U763" s="293"/>
      <c r="V763" s="293"/>
      <c r="W763" s="293"/>
      <c r="X763" s="293"/>
      <c r="Y763" s="293"/>
      <c r="Z763" s="293"/>
      <c r="AA763" s="293"/>
      <c r="AB763" s="293"/>
      <c r="AC763" s="293"/>
      <c r="AD763" s="293"/>
    </row>
    <row r="764">
      <c r="A764" s="293"/>
      <c r="B764" s="308"/>
      <c r="C764" s="293"/>
      <c r="D764" s="293"/>
      <c r="E764" s="293"/>
      <c r="F764" s="293"/>
      <c r="G764" s="293"/>
      <c r="H764" s="293"/>
      <c r="I764" s="293"/>
      <c r="J764" s="293"/>
      <c r="K764" s="293"/>
      <c r="L764" s="293"/>
      <c r="M764" s="293"/>
      <c r="N764" s="293"/>
      <c r="O764" s="293"/>
      <c r="P764" s="293"/>
      <c r="Q764" s="293"/>
      <c r="R764" s="293"/>
      <c r="S764" s="293"/>
      <c r="T764" s="293"/>
      <c r="U764" s="293"/>
      <c r="V764" s="293"/>
      <c r="W764" s="293"/>
      <c r="X764" s="293"/>
      <c r="Y764" s="293"/>
      <c r="Z764" s="293"/>
      <c r="AA764" s="293"/>
      <c r="AB764" s="293"/>
      <c r="AC764" s="293"/>
      <c r="AD764" s="293"/>
    </row>
    <row r="765">
      <c r="A765" s="293"/>
      <c r="B765" s="308"/>
      <c r="C765" s="293"/>
      <c r="D765" s="293"/>
      <c r="E765" s="293"/>
      <c r="F765" s="293"/>
      <c r="G765" s="293"/>
      <c r="H765" s="293"/>
      <c r="I765" s="293"/>
      <c r="J765" s="293"/>
      <c r="K765" s="293"/>
      <c r="L765" s="293"/>
      <c r="M765" s="293"/>
      <c r="N765" s="293"/>
      <c r="O765" s="293"/>
      <c r="P765" s="293"/>
      <c r="Q765" s="293"/>
      <c r="R765" s="293"/>
      <c r="S765" s="293"/>
      <c r="T765" s="293"/>
      <c r="U765" s="293"/>
      <c r="V765" s="293"/>
      <c r="W765" s="293"/>
      <c r="X765" s="293"/>
      <c r="Y765" s="293"/>
      <c r="Z765" s="293"/>
      <c r="AA765" s="293"/>
      <c r="AB765" s="293"/>
      <c r="AC765" s="293"/>
      <c r="AD765" s="293"/>
    </row>
    <row r="766">
      <c r="A766" s="293"/>
      <c r="B766" s="308"/>
      <c r="C766" s="293"/>
      <c r="D766" s="293"/>
      <c r="E766" s="293"/>
      <c r="F766" s="293"/>
      <c r="G766" s="293"/>
      <c r="H766" s="293"/>
      <c r="I766" s="293"/>
      <c r="J766" s="293"/>
      <c r="K766" s="293"/>
      <c r="L766" s="293"/>
      <c r="M766" s="293"/>
      <c r="N766" s="293"/>
      <c r="O766" s="293"/>
      <c r="P766" s="293"/>
      <c r="Q766" s="293"/>
      <c r="R766" s="293"/>
      <c r="S766" s="293"/>
      <c r="T766" s="293"/>
      <c r="U766" s="293"/>
      <c r="V766" s="293"/>
      <c r="W766" s="293"/>
      <c r="X766" s="293"/>
      <c r="Y766" s="293"/>
      <c r="Z766" s="293"/>
      <c r="AA766" s="293"/>
      <c r="AB766" s="293"/>
      <c r="AC766" s="293"/>
      <c r="AD766" s="293"/>
    </row>
    <row r="767">
      <c r="A767" s="293"/>
      <c r="B767" s="308"/>
      <c r="C767" s="293"/>
      <c r="D767" s="293"/>
      <c r="E767" s="293"/>
      <c r="F767" s="293"/>
      <c r="G767" s="293"/>
      <c r="H767" s="293"/>
      <c r="I767" s="293"/>
      <c r="J767" s="293"/>
      <c r="K767" s="293"/>
      <c r="L767" s="293"/>
      <c r="M767" s="293"/>
      <c r="N767" s="293"/>
      <c r="O767" s="293"/>
      <c r="P767" s="293"/>
      <c r="Q767" s="293"/>
      <c r="R767" s="293"/>
      <c r="S767" s="293"/>
      <c r="T767" s="293"/>
      <c r="U767" s="293"/>
      <c r="V767" s="293"/>
      <c r="W767" s="293"/>
      <c r="X767" s="293"/>
      <c r="Y767" s="293"/>
      <c r="Z767" s="293"/>
      <c r="AA767" s="293"/>
      <c r="AB767" s="293"/>
      <c r="AC767" s="293"/>
      <c r="AD767" s="293"/>
    </row>
    <row r="768">
      <c r="A768" s="293"/>
      <c r="B768" s="308"/>
      <c r="C768" s="293"/>
      <c r="D768" s="293"/>
      <c r="E768" s="293"/>
      <c r="F768" s="293"/>
      <c r="G768" s="293"/>
      <c r="H768" s="293"/>
      <c r="I768" s="293"/>
      <c r="J768" s="293"/>
      <c r="K768" s="293"/>
      <c r="L768" s="293"/>
      <c r="M768" s="293"/>
      <c r="N768" s="293"/>
      <c r="O768" s="293"/>
      <c r="P768" s="293"/>
      <c r="Q768" s="293"/>
      <c r="R768" s="293"/>
      <c r="S768" s="293"/>
      <c r="T768" s="293"/>
      <c r="U768" s="293"/>
      <c r="V768" s="293"/>
      <c r="W768" s="293"/>
      <c r="X768" s="293"/>
      <c r="Y768" s="293"/>
      <c r="Z768" s="293"/>
      <c r="AA768" s="293"/>
      <c r="AB768" s="293"/>
      <c r="AC768" s="293"/>
      <c r="AD768" s="293"/>
    </row>
    <row r="769">
      <c r="A769" s="293"/>
      <c r="B769" s="308"/>
      <c r="C769" s="293"/>
      <c r="D769" s="293"/>
      <c r="E769" s="293"/>
      <c r="F769" s="293"/>
      <c r="G769" s="293"/>
      <c r="H769" s="293"/>
      <c r="I769" s="293"/>
      <c r="J769" s="293"/>
      <c r="K769" s="293"/>
      <c r="L769" s="293"/>
      <c r="M769" s="293"/>
      <c r="N769" s="293"/>
      <c r="O769" s="293"/>
      <c r="P769" s="293"/>
      <c r="Q769" s="293"/>
      <c r="R769" s="293"/>
      <c r="S769" s="293"/>
      <c r="T769" s="293"/>
      <c r="U769" s="293"/>
      <c r="V769" s="293"/>
      <c r="W769" s="293"/>
      <c r="X769" s="293"/>
      <c r="Y769" s="293"/>
      <c r="Z769" s="293"/>
      <c r="AA769" s="293"/>
      <c r="AB769" s="293"/>
      <c r="AC769" s="293"/>
      <c r="AD769" s="293"/>
    </row>
    <row r="770">
      <c r="A770" s="293"/>
      <c r="B770" s="308"/>
      <c r="C770" s="293"/>
      <c r="D770" s="293"/>
      <c r="E770" s="293"/>
      <c r="F770" s="293"/>
      <c r="G770" s="293"/>
      <c r="H770" s="293"/>
      <c r="I770" s="293"/>
      <c r="J770" s="293"/>
      <c r="K770" s="293"/>
      <c r="L770" s="293"/>
      <c r="M770" s="293"/>
      <c r="N770" s="293"/>
      <c r="O770" s="293"/>
      <c r="P770" s="293"/>
      <c r="Q770" s="293"/>
      <c r="R770" s="293"/>
      <c r="S770" s="293"/>
      <c r="T770" s="293"/>
      <c r="U770" s="293"/>
      <c r="V770" s="293"/>
      <c r="W770" s="293"/>
      <c r="X770" s="293"/>
      <c r="Y770" s="293"/>
      <c r="Z770" s="293"/>
      <c r="AA770" s="293"/>
      <c r="AB770" s="293"/>
      <c r="AC770" s="293"/>
      <c r="AD770" s="293"/>
    </row>
    <row r="771">
      <c r="A771" s="293"/>
      <c r="B771" s="308"/>
      <c r="C771" s="293"/>
      <c r="D771" s="293"/>
      <c r="E771" s="293"/>
      <c r="F771" s="293"/>
      <c r="G771" s="293"/>
      <c r="H771" s="293"/>
      <c r="I771" s="293"/>
      <c r="J771" s="293"/>
      <c r="K771" s="293"/>
      <c r="L771" s="293"/>
      <c r="M771" s="293"/>
      <c r="N771" s="293"/>
      <c r="O771" s="293"/>
      <c r="P771" s="293"/>
      <c r="Q771" s="293"/>
      <c r="R771" s="293"/>
      <c r="S771" s="293"/>
      <c r="T771" s="293"/>
      <c r="U771" s="293"/>
      <c r="V771" s="293"/>
      <c r="W771" s="293"/>
      <c r="X771" s="293"/>
      <c r="Y771" s="293"/>
      <c r="Z771" s="293"/>
      <c r="AA771" s="293"/>
      <c r="AB771" s="293"/>
      <c r="AC771" s="293"/>
      <c r="AD771" s="293"/>
    </row>
    <row r="772">
      <c r="A772" s="293"/>
      <c r="B772" s="308"/>
      <c r="C772" s="293"/>
      <c r="D772" s="293"/>
      <c r="E772" s="293"/>
      <c r="F772" s="293"/>
      <c r="G772" s="293"/>
      <c r="H772" s="293"/>
      <c r="I772" s="293"/>
      <c r="J772" s="293"/>
      <c r="K772" s="293"/>
      <c r="L772" s="293"/>
      <c r="M772" s="293"/>
      <c r="N772" s="293"/>
      <c r="O772" s="293"/>
      <c r="P772" s="293"/>
      <c r="Q772" s="293"/>
      <c r="R772" s="293"/>
      <c r="S772" s="293"/>
      <c r="T772" s="293"/>
      <c r="U772" s="293"/>
      <c r="V772" s="293"/>
      <c r="W772" s="293"/>
      <c r="X772" s="293"/>
      <c r="Y772" s="293"/>
      <c r="Z772" s="293"/>
      <c r="AA772" s="293"/>
      <c r="AB772" s="293"/>
      <c r="AC772" s="293"/>
      <c r="AD772" s="293"/>
    </row>
    <row r="773">
      <c r="A773" s="293"/>
      <c r="B773" s="308"/>
      <c r="C773" s="293"/>
      <c r="D773" s="293"/>
      <c r="E773" s="293"/>
      <c r="F773" s="293"/>
      <c r="G773" s="293"/>
      <c r="H773" s="293"/>
      <c r="I773" s="293"/>
      <c r="J773" s="293"/>
      <c r="K773" s="293"/>
      <c r="L773" s="293"/>
      <c r="M773" s="293"/>
      <c r="N773" s="293"/>
      <c r="O773" s="293"/>
      <c r="P773" s="293"/>
      <c r="Q773" s="293"/>
      <c r="R773" s="293"/>
      <c r="S773" s="293"/>
      <c r="T773" s="293"/>
      <c r="U773" s="293"/>
      <c r="V773" s="293"/>
      <c r="W773" s="293"/>
      <c r="X773" s="293"/>
      <c r="Y773" s="293"/>
      <c r="Z773" s="293"/>
      <c r="AA773" s="293"/>
      <c r="AB773" s="293"/>
      <c r="AC773" s="293"/>
      <c r="AD773" s="293"/>
    </row>
    <row r="774">
      <c r="A774" s="293"/>
      <c r="B774" s="308"/>
      <c r="C774" s="293"/>
      <c r="D774" s="293"/>
      <c r="E774" s="293"/>
      <c r="F774" s="293"/>
      <c r="G774" s="293"/>
      <c r="H774" s="293"/>
      <c r="I774" s="293"/>
      <c r="J774" s="293"/>
      <c r="K774" s="293"/>
      <c r="L774" s="293"/>
      <c r="M774" s="293"/>
      <c r="N774" s="293"/>
      <c r="O774" s="293"/>
      <c r="P774" s="293"/>
      <c r="Q774" s="293"/>
      <c r="R774" s="293"/>
      <c r="S774" s="293"/>
      <c r="T774" s="293"/>
      <c r="U774" s="293"/>
      <c r="V774" s="293"/>
      <c r="W774" s="293"/>
      <c r="X774" s="293"/>
      <c r="Y774" s="293"/>
      <c r="Z774" s="293"/>
      <c r="AA774" s="293"/>
      <c r="AB774" s="293"/>
      <c r="AC774" s="293"/>
      <c r="AD774" s="293"/>
    </row>
    <row r="775">
      <c r="A775" s="293"/>
      <c r="B775" s="308"/>
      <c r="C775" s="293"/>
      <c r="D775" s="293"/>
      <c r="E775" s="293"/>
      <c r="F775" s="293"/>
      <c r="G775" s="293"/>
      <c r="H775" s="293"/>
      <c r="I775" s="293"/>
      <c r="J775" s="293"/>
      <c r="K775" s="293"/>
      <c r="L775" s="293"/>
      <c r="M775" s="293"/>
      <c r="N775" s="293"/>
      <c r="O775" s="293"/>
      <c r="P775" s="293"/>
      <c r="Q775" s="293"/>
      <c r="R775" s="293"/>
      <c r="S775" s="293"/>
      <c r="T775" s="293"/>
      <c r="U775" s="293"/>
      <c r="V775" s="293"/>
      <c r="W775" s="293"/>
      <c r="X775" s="293"/>
      <c r="Y775" s="293"/>
      <c r="Z775" s="293"/>
      <c r="AA775" s="293"/>
      <c r="AB775" s="293"/>
      <c r="AC775" s="293"/>
      <c r="AD775" s="293"/>
    </row>
    <row r="776">
      <c r="A776" s="293"/>
      <c r="B776" s="308"/>
      <c r="C776" s="293"/>
      <c r="D776" s="293"/>
      <c r="E776" s="293"/>
      <c r="F776" s="293"/>
      <c r="G776" s="293"/>
      <c r="H776" s="293"/>
      <c r="I776" s="293"/>
      <c r="J776" s="293"/>
      <c r="K776" s="293"/>
      <c r="L776" s="293"/>
      <c r="M776" s="293"/>
      <c r="N776" s="293"/>
      <c r="O776" s="293"/>
      <c r="P776" s="293"/>
      <c r="Q776" s="293"/>
      <c r="R776" s="293"/>
      <c r="S776" s="293"/>
      <c r="T776" s="293"/>
      <c r="U776" s="293"/>
      <c r="V776" s="293"/>
      <c r="W776" s="293"/>
      <c r="X776" s="293"/>
      <c r="Y776" s="293"/>
      <c r="Z776" s="293"/>
      <c r="AA776" s="293"/>
      <c r="AB776" s="293"/>
      <c r="AC776" s="293"/>
      <c r="AD776" s="293"/>
    </row>
    <row r="777">
      <c r="A777" s="293"/>
      <c r="B777" s="308"/>
      <c r="C777" s="293"/>
      <c r="D777" s="293"/>
      <c r="E777" s="293"/>
      <c r="F777" s="293"/>
      <c r="G777" s="293"/>
      <c r="H777" s="293"/>
      <c r="I777" s="293"/>
      <c r="J777" s="293"/>
      <c r="K777" s="293"/>
      <c r="L777" s="293"/>
      <c r="M777" s="293"/>
      <c r="N777" s="293"/>
      <c r="O777" s="293"/>
      <c r="P777" s="293"/>
      <c r="Q777" s="293"/>
      <c r="R777" s="293"/>
      <c r="S777" s="293"/>
      <c r="T777" s="293"/>
      <c r="U777" s="293"/>
      <c r="V777" s="293"/>
      <c r="W777" s="293"/>
      <c r="X777" s="293"/>
      <c r="Y777" s="293"/>
      <c r="Z777" s="293"/>
      <c r="AA777" s="293"/>
      <c r="AB777" s="293"/>
      <c r="AC777" s="293"/>
      <c r="AD777" s="293"/>
    </row>
    <row r="778">
      <c r="A778" s="293"/>
      <c r="B778" s="308"/>
      <c r="C778" s="293"/>
      <c r="D778" s="293"/>
      <c r="E778" s="293"/>
      <c r="F778" s="293"/>
      <c r="G778" s="293"/>
      <c r="H778" s="293"/>
      <c r="I778" s="293"/>
      <c r="J778" s="293"/>
      <c r="K778" s="293"/>
      <c r="L778" s="293"/>
      <c r="M778" s="293"/>
      <c r="N778" s="293"/>
      <c r="O778" s="293"/>
      <c r="P778" s="293"/>
      <c r="Q778" s="293"/>
      <c r="R778" s="293"/>
      <c r="S778" s="293"/>
      <c r="T778" s="293"/>
      <c r="U778" s="293"/>
      <c r="V778" s="293"/>
      <c r="W778" s="293"/>
      <c r="X778" s="293"/>
      <c r="Y778" s="293"/>
      <c r="Z778" s="293"/>
      <c r="AA778" s="293"/>
      <c r="AB778" s="293"/>
      <c r="AC778" s="293"/>
      <c r="AD778" s="293"/>
    </row>
    <row r="779">
      <c r="A779" s="293"/>
      <c r="B779" s="308"/>
      <c r="C779" s="293"/>
      <c r="D779" s="293"/>
      <c r="E779" s="293"/>
      <c r="F779" s="293"/>
      <c r="G779" s="293"/>
      <c r="H779" s="293"/>
      <c r="I779" s="293"/>
      <c r="J779" s="293"/>
      <c r="K779" s="293"/>
      <c r="L779" s="293"/>
      <c r="M779" s="293"/>
      <c r="N779" s="293"/>
      <c r="O779" s="293"/>
      <c r="P779" s="293"/>
      <c r="Q779" s="293"/>
      <c r="R779" s="293"/>
      <c r="S779" s="293"/>
      <c r="T779" s="293"/>
      <c r="U779" s="293"/>
      <c r="V779" s="293"/>
      <c r="W779" s="293"/>
      <c r="X779" s="293"/>
      <c r="Y779" s="293"/>
      <c r="Z779" s="293"/>
      <c r="AA779" s="293"/>
      <c r="AB779" s="293"/>
      <c r="AC779" s="293"/>
      <c r="AD779" s="293"/>
    </row>
    <row r="780">
      <c r="A780" s="293"/>
      <c r="B780" s="308"/>
      <c r="C780" s="293"/>
      <c r="D780" s="293"/>
      <c r="E780" s="293"/>
      <c r="F780" s="293"/>
      <c r="G780" s="293"/>
      <c r="H780" s="293"/>
      <c r="I780" s="293"/>
      <c r="J780" s="293"/>
      <c r="K780" s="293"/>
      <c r="L780" s="293"/>
      <c r="M780" s="293"/>
      <c r="N780" s="293"/>
      <c r="O780" s="293"/>
      <c r="P780" s="293"/>
      <c r="Q780" s="293"/>
      <c r="R780" s="293"/>
      <c r="S780" s="293"/>
      <c r="T780" s="293"/>
      <c r="U780" s="293"/>
      <c r="V780" s="293"/>
      <c r="W780" s="293"/>
      <c r="X780" s="293"/>
      <c r="Y780" s="293"/>
      <c r="Z780" s="293"/>
      <c r="AA780" s="293"/>
      <c r="AB780" s="293"/>
      <c r="AC780" s="293"/>
      <c r="AD780" s="293"/>
    </row>
    <row r="781">
      <c r="A781" s="293"/>
      <c r="B781" s="308"/>
      <c r="C781" s="293"/>
      <c r="D781" s="293"/>
      <c r="E781" s="293"/>
      <c r="F781" s="293"/>
      <c r="G781" s="293"/>
      <c r="H781" s="293"/>
      <c r="I781" s="293"/>
      <c r="J781" s="293"/>
      <c r="K781" s="293"/>
      <c r="L781" s="293"/>
      <c r="M781" s="293"/>
      <c r="N781" s="293"/>
      <c r="O781" s="293"/>
      <c r="P781" s="293"/>
      <c r="Q781" s="293"/>
      <c r="R781" s="293"/>
      <c r="S781" s="293"/>
      <c r="T781" s="293"/>
      <c r="U781" s="293"/>
      <c r="V781" s="293"/>
      <c r="W781" s="293"/>
      <c r="X781" s="293"/>
      <c r="Y781" s="293"/>
      <c r="Z781" s="293"/>
      <c r="AA781" s="293"/>
      <c r="AB781" s="293"/>
      <c r="AC781" s="293"/>
      <c r="AD781" s="293"/>
    </row>
    <row r="782">
      <c r="A782" s="293"/>
      <c r="B782" s="308"/>
      <c r="C782" s="293"/>
      <c r="D782" s="293"/>
      <c r="E782" s="293"/>
      <c r="F782" s="293"/>
      <c r="G782" s="293"/>
      <c r="H782" s="293"/>
      <c r="I782" s="293"/>
      <c r="J782" s="293"/>
      <c r="K782" s="293"/>
      <c r="L782" s="293"/>
      <c r="M782" s="293"/>
      <c r="N782" s="293"/>
      <c r="O782" s="293"/>
      <c r="P782" s="293"/>
      <c r="Q782" s="293"/>
      <c r="R782" s="293"/>
      <c r="S782" s="293"/>
      <c r="T782" s="293"/>
      <c r="U782" s="293"/>
      <c r="V782" s="293"/>
      <c r="W782" s="293"/>
      <c r="X782" s="293"/>
      <c r="Y782" s="293"/>
      <c r="Z782" s="293"/>
      <c r="AA782" s="293"/>
      <c r="AB782" s="293"/>
      <c r="AC782" s="293"/>
      <c r="AD782" s="293"/>
    </row>
    <row r="783">
      <c r="A783" s="293"/>
      <c r="B783" s="308"/>
      <c r="C783" s="293"/>
      <c r="D783" s="293"/>
      <c r="E783" s="293"/>
      <c r="F783" s="293"/>
      <c r="G783" s="293"/>
      <c r="H783" s="293"/>
      <c r="I783" s="293"/>
      <c r="J783" s="293"/>
      <c r="K783" s="293"/>
      <c r="L783" s="293"/>
      <c r="M783" s="293"/>
      <c r="N783" s="293"/>
      <c r="O783" s="293"/>
      <c r="P783" s="293"/>
      <c r="Q783" s="293"/>
      <c r="R783" s="293"/>
      <c r="S783" s="293"/>
      <c r="T783" s="293"/>
      <c r="U783" s="293"/>
      <c r="V783" s="293"/>
      <c r="W783" s="293"/>
      <c r="X783" s="293"/>
      <c r="Y783" s="293"/>
      <c r="Z783" s="293"/>
      <c r="AA783" s="293"/>
      <c r="AB783" s="293"/>
      <c r="AC783" s="293"/>
      <c r="AD783" s="293"/>
    </row>
    <row r="784">
      <c r="A784" s="293"/>
      <c r="B784" s="308"/>
      <c r="C784" s="293"/>
      <c r="D784" s="293"/>
      <c r="E784" s="293"/>
      <c r="F784" s="293"/>
      <c r="G784" s="293"/>
      <c r="H784" s="293"/>
      <c r="I784" s="293"/>
      <c r="J784" s="293"/>
      <c r="K784" s="293"/>
      <c r="L784" s="293"/>
      <c r="M784" s="293"/>
      <c r="N784" s="293"/>
      <c r="O784" s="293"/>
      <c r="P784" s="293"/>
      <c r="Q784" s="293"/>
      <c r="R784" s="293"/>
      <c r="S784" s="293"/>
      <c r="T784" s="293"/>
      <c r="U784" s="293"/>
      <c r="V784" s="293"/>
      <c r="W784" s="293"/>
      <c r="X784" s="293"/>
      <c r="Y784" s="293"/>
      <c r="Z784" s="293"/>
      <c r="AA784" s="293"/>
      <c r="AB784" s="293"/>
      <c r="AC784" s="293"/>
      <c r="AD784" s="293"/>
    </row>
    <row r="785">
      <c r="A785" s="293"/>
      <c r="B785" s="308"/>
      <c r="C785" s="293"/>
      <c r="D785" s="293"/>
      <c r="E785" s="293"/>
      <c r="F785" s="293"/>
      <c r="G785" s="293"/>
      <c r="H785" s="293"/>
      <c r="I785" s="293"/>
      <c r="J785" s="293"/>
      <c r="K785" s="293"/>
      <c r="L785" s="293"/>
      <c r="M785" s="293"/>
      <c r="N785" s="293"/>
      <c r="O785" s="293"/>
      <c r="P785" s="293"/>
      <c r="Q785" s="293"/>
      <c r="R785" s="293"/>
      <c r="S785" s="293"/>
      <c r="T785" s="293"/>
      <c r="U785" s="293"/>
      <c r="V785" s="293"/>
      <c r="W785" s="293"/>
      <c r="X785" s="293"/>
      <c r="Y785" s="293"/>
      <c r="Z785" s="293"/>
      <c r="AA785" s="293"/>
      <c r="AB785" s="293"/>
      <c r="AC785" s="293"/>
      <c r="AD785" s="293"/>
    </row>
    <row r="786">
      <c r="A786" s="293"/>
      <c r="B786" s="308"/>
      <c r="C786" s="293"/>
      <c r="D786" s="293"/>
      <c r="E786" s="293"/>
      <c r="F786" s="293"/>
      <c r="G786" s="293"/>
      <c r="H786" s="293"/>
      <c r="I786" s="293"/>
      <c r="J786" s="293"/>
      <c r="K786" s="293"/>
      <c r="L786" s="293"/>
      <c r="M786" s="293"/>
      <c r="N786" s="293"/>
      <c r="O786" s="293"/>
      <c r="P786" s="293"/>
      <c r="Q786" s="293"/>
      <c r="R786" s="293"/>
      <c r="S786" s="293"/>
      <c r="T786" s="293"/>
      <c r="U786" s="293"/>
      <c r="V786" s="293"/>
      <c r="W786" s="293"/>
      <c r="X786" s="293"/>
      <c r="Y786" s="293"/>
      <c r="Z786" s="293"/>
      <c r="AA786" s="293"/>
      <c r="AB786" s="293"/>
      <c r="AC786" s="293"/>
      <c r="AD786" s="293"/>
    </row>
    <row r="787">
      <c r="A787" s="293"/>
      <c r="B787" s="308"/>
      <c r="C787" s="293"/>
      <c r="D787" s="293"/>
      <c r="E787" s="293"/>
      <c r="F787" s="293"/>
      <c r="G787" s="293"/>
      <c r="H787" s="293"/>
      <c r="I787" s="293"/>
      <c r="J787" s="293"/>
      <c r="K787" s="293"/>
      <c r="L787" s="293"/>
      <c r="M787" s="293"/>
      <c r="N787" s="293"/>
      <c r="O787" s="293"/>
      <c r="P787" s="293"/>
      <c r="Q787" s="293"/>
      <c r="R787" s="293"/>
      <c r="S787" s="293"/>
      <c r="T787" s="293"/>
      <c r="U787" s="293"/>
      <c r="V787" s="293"/>
      <c r="W787" s="293"/>
      <c r="X787" s="293"/>
      <c r="Y787" s="293"/>
      <c r="Z787" s="293"/>
      <c r="AA787" s="293"/>
      <c r="AB787" s="293"/>
      <c r="AC787" s="293"/>
      <c r="AD787" s="293"/>
    </row>
    <row r="788">
      <c r="A788" s="293"/>
      <c r="B788" s="308"/>
      <c r="C788" s="293"/>
      <c r="D788" s="293"/>
      <c r="E788" s="293"/>
      <c r="F788" s="293"/>
      <c r="G788" s="293"/>
      <c r="H788" s="293"/>
      <c r="I788" s="293"/>
      <c r="J788" s="293"/>
      <c r="K788" s="293"/>
      <c r="L788" s="293"/>
      <c r="M788" s="293"/>
      <c r="N788" s="293"/>
      <c r="O788" s="293"/>
      <c r="P788" s="293"/>
      <c r="Q788" s="293"/>
      <c r="R788" s="293"/>
      <c r="S788" s="293"/>
      <c r="T788" s="293"/>
      <c r="U788" s="293"/>
      <c r="V788" s="293"/>
      <c r="W788" s="293"/>
      <c r="X788" s="293"/>
      <c r="Y788" s="293"/>
      <c r="Z788" s="293"/>
      <c r="AA788" s="293"/>
      <c r="AB788" s="293"/>
      <c r="AC788" s="293"/>
      <c r="AD788" s="293"/>
    </row>
    <row r="789">
      <c r="A789" s="293"/>
      <c r="B789" s="308"/>
      <c r="C789" s="293"/>
      <c r="D789" s="293"/>
      <c r="E789" s="293"/>
      <c r="F789" s="293"/>
      <c r="G789" s="293"/>
      <c r="H789" s="293"/>
      <c r="I789" s="293"/>
      <c r="J789" s="293"/>
      <c r="K789" s="293"/>
      <c r="L789" s="293"/>
      <c r="M789" s="293"/>
      <c r="N789" s="293"/>
      <c r="O789" s="293"/>
      <c r="P789" s="293"/>
      <c r="Q789" s="293"/>
      <c r="R789" s="293"/>
      <c r="S789" s="293"/>
      <c r="T789" s="293"/>
      <c r="U789" s="293"/>
      <c r="V789" s="293"/>
      <c r="W789" s="293"/>
      <c r="X789" s="293"/>
      <c r="Y789" s="293"/>
      <c r="Z789" s="293"/>
      <c r="AA789" s="293"/>
      <c r="AB789" s="293"/>
      <c r="AC789" s="293"/>
      <c r="AD789" s="293"/>
    </row>
    <row r="790">
      <c r="A790" s="293"/>
      <c r="B790" s="308"/>
      <c r="C790" s="293"/>
      <c r="D790" s="293"/>
      <c r="E790" s="293"/>
      <c r="F790" s="293"/>
      <c r="G790" s="293"/>
      <c r="H790" s="293"/>
      <c r="I790" s="293"/>
      <c r="J790" s="293"/>
      <c r="K790" s="293"/>
      <c r="L790" s="293"/>
      <c r="M790" s="293"/>
      <c r="N790" s="293"/>
      <c r="O790" s="293"/>
      <c r="P790" s="293"/>
      <c r="Q790" s="293"/>
      <c r="R790" s="293"/>
      <c r="S790" s="293"/>
      <c r="T790" s="293"/>
      <c r="U790" s="293"/>
      <c r="V790" s="293"/>
      <c r="W790" s="293"/>
      <c r="X790" s="293"/>
      <c r="Y790" s="293"/>
      <c r="Z790" s="293"/>
      <c r="AA790" s="293"/>
      <c r="AB790" s="293"/>
      <c r="AC790" s="293"/>
      <c r="AD790" s="293"/>
    </row>
    <row r="791">
      <c r="A791" s="293"/>
      <c r="B791" s="308"/>
      <c r="C791" s="293"/>
      <c r="D791" s="293"/>
      <c r="E791" s="293"/>
      <c r="F791" s="293"/>
      <c r="G791" s="293"/>
      <c r="H791" s="293"/>
      <c r="I791" s="293"/>
      <c r="J791" s="293"/>
      <c r="K791" s="293"/>
      <c r="L791" s="293"/>
      <c r="M791" s="293"/>
      <c r="N791" s="293"/>
      <c r="O791" s="293"/>
      <c r="P791" s="293"/>
      <c r="Q791" s="293"/>
      <c r="R791" s="293"/>
      <c r="S791" s="293"/>
      <c r="T791" s="293"/>
      <c r="U791" s="293"/>
      <c r="V791" s="293"/>
      <c r="W791" s="293"/>
      <c r="X791" s="293"/>
      <c r="Y791" s="293"/>
      <c r="Z791" s="293"/>
      <c r="AA791" s="293"/>
      <c r="AB791" s="293"/>
      <c r="AC791" s="293"/>
      <c r="AD791" s="293"/>
    </row>
    <row r="792">
      <c r="A792" s="293"/>
      <c r="B792" s="308"/>
      <c r="C792" s="293"/>
      <c r="D792" s="293"/>
      <c r="E792" s="293"/>
      <c r="F792" s="293"/>
      <c r="G792" s="293"/>
      <c r="H792" s="293"/>
      <c r="I792" s="293"/>
      <c r="J792" s="293"/>
      <c r="K792" s="293"/>
      <c r="L792" s="293"/>
      <c r="M792" s="293"/>
      <c r="N792" s="293"/>
      <c r="O792" s="293"/>
      <c r="P792" s="293"/>
      <c r="Q792" s="293"/>
      <c r="R792" s="293"/>
      <c r="S792" s="293"/>
      <c r="T792" s="293"/>
      <c r="U792" s="293"/>
      <c r="V792" s="293"/>
      <c r="W792" s="293"/>
      <c r="X792" s="293"/>
      <c r="Y792" s="293"/>
      <c r="Z792" s="293"/>
      <c r="AA792" s="293"/>
      <c r="AB792" s="293"/>
      <c r="AC792" s="293"/>
      <c r="AD792" s="293"/>
    </row>
    <row r="793">
      <c r="A793" s="293"/>
      <c r="B793" s="308"/>
      <c r="C793" s="293"/>
      <c r="D793" s="293"/>
      <c r="E793" s="293"/>
      <c r="F793" s="293"/>
      <c r="G793" s="293"/>
      <c r="H793" s="293"/>
      <c r="I793" s="293"/>
      <c r="J793" s="293"/>
      <c r="K793" s="293"/>
      <c r="L793" s="293"/>
      <c r="M793" s="293"/>
      <c r="N793" s="293"/>
      <c r="O793" s="293"/>
      <c r="P793" s="293"/>
      <c r="Q793" s="293"/>
      <c r="R793" s="293"/>
      <c r="S793" s="293"/>
      <c r="T793" s="293"/>
      <c r="U793" s="293"/>
      <c r="V793" s="293"/>
      <c r="W793" s="293"/>
      <c r="X793" s="293"/>
      <c r="Y793" s="293"/>
      <c r="Z793" s="293"/>
      <c r="AA793" s="293"/>
      <c r="AB793" s="293"/>
      <c r="AC793" s="293"/>
      <c r="AD793" s="293"/>
    </row>
    <row r="794">
      <c r="A794" s="293"/>
      <c r="B794" s="308"/>
      <c r="C794" s="293"/>
      <c r="D794" s="293"/>
      <c r="E794" s="293"/>
      <c r="F794" s="293"/>
      <c r="G794" s="293"/>
      <c r="H794" s="293"/>
      <c r="I794" s="293"/>
      <c r="J794" s="293"/>
      <c r="K794" s="293"/>
      <c r="L794" s="293"/>
      <c r="M794" s="293"/>
      <c r="N794" s="293"/>
      <c r="O794" s="293"/>
      <c r="P794" s="293"/>
      <c r="Q794" s="293"/>
      <c r="R794" s="293"/>
      <c r="S794" s="293"/>
      <c r="T794" s="293"/>
      <c r="U794" s="293"/>
      <c r="V794" s="293"/>
      <c r="W794" s="293"/>
      <c r="X794" s="293"/>
      <c r="Y794" s="293"/>
      <c r="Z794" s="293"/>
      <c r="AA794" s="293"/>
      <c r="AB794" s="293"/>
      <c r="AC794" s="293"/>
      <c r="AD794" s="293"/>
    </row>
    <row r="795">
      <c r="A795" s="293"/>
      <c r="B795" s="308"/>
      <c r="C795" s="293"/>
      <c r="D795" s="293"/>
      <c r="E795" s="293"/>
      <c r="F795" s="293"/>
      <c r="G795" s="293"/>
      <c r="H795" s="293"/>
      <c r="I795" s="293"/>
      <c r="J795" s="293"/>
      <c r="K795" s="293"/>
      <c r="L795" s="293"/>
      <c r="M795" s="293"/>
      <c r="N795" s="293"/>
      <c r="O795" s="293"/>
      <c r="P795" s="293"/>
      <c r="Q795" s="293"/>
      <c r="R795" s="293"/>
      <c r="S795" s="293"/>
      <c r="T795" s="293"/>
      <c r="U795" s="293"/>
      <c r="V795" s="293"/>
      <c r="W795" s="293"/>
      <c r="X795" s="293"/>
      <c r="Y795" s="293"/>
      <c r="Z795" s="293"/>
      <c r="AA795" s="293"/>
      <c r="AB795" s="293"/>
      <c r="AC795" s="293"/>
      <c r="AD795" s="293"/>
    </row>
    <row r="796">
      <c r="A796" s="293"/>
      <c r="B796" s="308"/>
      <c r="C796" s="293"/>
      <c r="D796" s="293"/>
      <c r="E796" s="293"/>
      <c r="F796" s="293"/>
      <c r="G796" s="293"/>
      <c r="H796" s="293"/>
      <c r="I796" s="293"/>
      <c r="J796" s="293"/>
      <c r="K796" s="293"/>
      <c r="L796" s="293"/>
      <c r="M796" s="293"/>
      <c r="N796" s="293"/>
      <c r="O796" s="293"/>
      <c r="P796" s="293"/>
      <c r="Q796" s="293"/>
      <c r="R796" s="293"/>
      <c r="S796" s="293"/>
      <c r="T796" s="293"/>
      <c r="U796" s="293"/>
      <c r="V796" s="293"/>
      <c r="W796" s="293"/>
      <c r="X796" s="293"/>
      <c r="Y796" s="293"/>
      <c r="Z796" s="293"/>
      <c r="AA796" s="293"/>
      <c r="AB796" s="293"/>
      <c r="AC796" s="293"/>
      <c r="AD796" s="293"/>
    </row>
    <row r="797">
      <c r="A797" s="293"/>
      <c r="B797" s="308"/>
      <c r="C797" s="293"/>
      <c r="D797" s="293"/>
      <c r="E797" s="293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3"/>
      <c r="V797" s="293"/>
      <c r="W797" s="293"/>
      <c r="X797" s="293"/>
      <c r="Y797" s="293"/>
      <c r="Z797" s="293"/>
      <c r="AA797" s="293"/>
      <c r="AB797" s="293"/>
      <c r="AC797" s="293"/>
      <c r="AD797" s="293"/>
    </row>
    <row r="798">
      <c r="A798" s="293"/>
      <c r="B798" s="308"/>
      <c r="C798" s="293"/>
      <c r="D798" s="293"/>
      <c r="E798" s="293"/>
      <c r="F798" s="293"/>
      <c r="G798" s="293"/>
      <c r="H798" s="293"/>
      <c r="I798" s="293"/>
      <c r="J798" s="293"/>
      <c r="K798" s="293"/>
      <c r="L798" s="293"/>
      <c r="M798" s="293"/>
      <c r="N798" s="293"/>
      <c r="O798" s="293"/>
      <c r="P798" s="293"/>
      <c r="Q798" s="293"/>
      <c r="R798" s="293"/>
      <c r="S798" s="293"/>
      <c r="T798" s="293"/>
      <c r="U798" s="293"/>
      <c r="V798" s="293"/>
      <c r="W798" s="293"/>
      <c r="X798" s="293"/>
      <c r="Y798" s="293"/>
      <c r="Z798" s="293"/>
      <c r="AA798" s="293"/>
      <c r="AB798" s="293"/>
      <c r="AC798" s="293"/>
      <c r="AD798" s="293"/>
    </row>
    <row r="799">
      <c r="A799" s="293"/>
      <c r="B799" s="308"/>
      <c r="C799" s="293"/>
      <c r="D799" s="293"/>
      <c r="E799" s="293"/>
      <c r="F799" s="293"/>
      <c r="G799" s="293"/>
      <c r="H799" s="293"/>
      <c r="I799" s="293"/>
      <c r="J799" s="293"/>
      <c r="K799" s="293"/>
      <c r="L799" s="293"/>
      <c r="M799" s="293"/>
      <c r="N799" s="293"/>
      <c r="O799" s="293"/>
      <c r="P799" s="293"/>
      <c r="Q799" s="293"/>
      <c r="R799" s="293"/>
      <c r="S799" s="293"/>
      <c r="T799" s="293"/>
      <c r="U799" s="293"/>
      <c r="V799" s="293"/>
      <c r="W799" s="293"/>
      <c r="X799" s="293"/>
      <c r="Y799" s="293"/>
      <c r="Z799" s="293"/>
      <c r="AA799" s="293"/>
      <c r="AB799" s="293"/>
      <c r="AC799" s="293"/>
      <c r="AD799" s="293"/>
    </row>
    <row r="800">
      <c r="A800" s="293"/>
      <c r="B800" s="308"/>
      <c r="C800" s="293"/>
      <c r="D800" s="293"/>
      <c r="E800" s="293"/>
      <c r="F800" s="293"/>
      <c r="G800" s="293"/>
      <c r="H800" s="293"/>
      <c r="I800" s="293"/>
      <c r="J800" s="293"/>
      <c r="K800" s="293"/>
      <c r="L800" s="293"/>
      <c r="M800" s="293"/>
      <c r="N800" s="293"/>
      <c r="O800" s="293"/>
      <c r="P800" s="293"/>
      <c r="Q800" s="293"/>
      <c r="R800" s="293"/>
      <c r="S800" s="293"/>
      <c r="T800" s="293"/>
      <c r="U800" s="293"/>
      <c r="V800" s="293"/>
      <c r="W800" s="293"/>
      <c r="X800" s="293"/>
      <c r="Y800" s="293"/>
      <c r="Z800" s="293"/>
      <c r="AA800" s="293"/>
      <c r="AB800" s="293"/>
      <c r="AC800" s="293"/>
      <c r="AD800" s="293"/>
    </row>
    <row r="801">
      <c r="A801" s="293"/>
      <c r="B801" s="308"/>
      <c r="C801" s="293"/>
      <c r="D801" s="293"/>
      <c r="E801" s="293"/>
      <c r="F801" s="293"/>
      <c r="G801" s="293"/>
      <c r="H801" s="293"/>
      <c r="I801" s="293"/>
      <c r="J801" s="293"/>
      <c r="K801" s="293"/>
      <c r="L801" s="293"/>
      <c r="M801" s="293"/>
      <c r="N801" s="293"/>
      <c r="O801" s="293"/>
      <c r="P801" s="293"/>
      <c r="Q801" s="293"/>
      <c r="R801" s="293"/>
      <c r="S801" s="293"/>
      <c r="T801" s="293"/>
      <c r="U801" s="293"/>
      <c r="V801" s="293"/>
      <c r="W801" s="293"/>
      <c r="X801" s="293"/>
      <c r="Y801" s="293"/>
      <c r="Z801" s="293"/>
      <c r="AA801" s="293"/>
      <c r="AB801" s="293"/>
      <c r="AC801" s="293"/>
      <c r="AD801" s="293"/>
    </row>
    <row r="802">
      <c r="A802" s="293"/>
      <c r="B802" s="308"/>
      <c r="C802" s="293"/>
      <c r="D802" s="293"/>
      <c r="E802" s="293"/>
      <c r="F802" s="293"/>
      <c r="G802" s="293"/>
      <c r="H802" s="293"/>
      <c r="I802" s="293"/>
      <c r="J802" s="293"/>
      <c r="K802" s="293"/>
      <c r="L802" s="293"/>
      <c r="M802" s="293"/>
      <c r="N802" s="293"/>
      <c r="O802" s="293"/>
      <c r="P802" s="293"/>
      <c r="Q802" s="293"/>
      <c r="R802" s="293"/>
      <c r="S802" s="293"/>
      <c r="T802" s="293"/>
      <c r="U802" s="293"/>
      <c r="V802" s="293"/>
      <c r="W802" s="293"/>
      <c r="X802" s="293"/>
      <c r="Y802" s="293"/>
      <c r="Z802" s="293"/>
      <c r="AA802" s="293"/>
      <c r="AB802" s="293"/>
      <c r="AC802" s="293"/>
      <c r="AD802" s="293"/>
    </row>
    <row r="803">
      <c r="A803" s="293"/>
      <c r="B803" s="308"/>
      <c r="C803" s="293"/>
      <c r="D803" s="293"/>
      <c r="E803" s="293"/>
      <c r="F803" s="293"/>
      <c r="G803" s="293"/>
      <c r="H803" s="293"/>
      <c r="I803" s="293"/>
      <c r="J803" s="293"/>
      <c r="K803" s="293"/>
      <c r="L803" s="293"/>
      <c r="M803" s="293"/>
      <c r="N803" s="293"/>
      <c r="O803" s="293"/>
      <c r="P803" s="293"/>
      <c r="Q803" s="293"/>
      <c r="R803" s="293"/>
      <c r="S803" s="293"/>
      <c r="T803" s="293"/>
      <c r="U803" s="293"/>
      <c r="V803" s="293"/>
      <c r="W803" s="293"/>
      <c r="X803" s="293"/>
      <c r="Y803" s="293"/>
      <c r="Z803" s="293"/>
      <c r="AA803" s="293"/>
      <c r="AB803" s="293"/>
      <c r="AC803" s="293"/>
      <c r="AD803" s="293"/>
    </row>
    <row r="804">
      <c r="A804" s="293"/>
      <c r="B804" s="308"/>
      <c r="C804" s="293"/>
      <c r="D804" s="293"/>
      <c r="E804" s="293"/>
      <c r="F804" s="293"/>
      <c r="G804" s="293"/>
      <c r="H804" s="293"/>
      <c r="I804" s="293"/>
      <c r="J804" s="293"/>
      <c r="K804" s="293"/>
      <c r="L804" s="293"/>
      <c r="M804" s="293"/>
      <c r="N804" s="293"/>
      <c r="O804" s="293"/>
      <c r="P804" s="293"/>
      <c r="Q804" s="293"/>
      <c r="R804" s="293"/>
      <c r="S804" s="293"/>
      <c r="T804" s="293"/>
      <c r="U804" s="293"/>
      <c r="V804" s="293"/>
      <c r="W804" s="293"/>
      <c r="X804" s="293"/>
      <c r="Y804" s="293"/>
      <c r="Z804" s="293"/>
      <c r="AA804" s="293"/>
      <c r="AB804" s="293"/>
      <c r="AC804" s="293"/>
      <c r="AD804" s="293"/>
    </row>
    <row r="805">
      <c r="A805" s="293"/>
      <c r="B805" s="308"/>
      <c r="C805" s="293"/>
      <c r="D805" s="293"/>
      <c r="E805" s="293"/>
      <c r="F805" s="293"/>
      <c r="G805" s="293"/>
      <c r="H805" s="293"/>
      <c r="I805" s="293"/>
      <c r="J805" s="293"/>
      <c r="K805" s="293"/>
      <c r="L805" s="293"/>
      <c r="M805" s="293"/>
      <c r="N805" s="293"/>
      <c r="O805" s="293"/>
      <c r="P805" s="293"/>
      <c r="Q805" s="293"/>
      <c r="R805" s="293"/>
      <c r="S805" s="293"/>
      <c r="T805" s="293"/>
      <c r="U805" s="293"/>
      <c r="V805" s="293"/>
      <c r="W805" s="293"/>
      <c r="X805" s="293"/>
      <c r="Y805" s="293"/>
      <c r="Z805" s="293"/>
      <c r="AA805" s="293"/>
      <c r="AB805" s="293"/>
      <c r="AC805" s="293"/>
      <c r="AD805" s="293"/>
    </row>
    <row r="806">
      <c r="A806" s="293"/>
      <c r="B806" s="308"/>
      <c r="C806" s="293"/>
      <c r="D806" s="293"/>
      <c r="E806" s="293"/>
      <c r="F806" s="293"/>
      <c r="G806" s="293"/>
      <c r="H806" s="293"/>
      <c r="I806" s="293"/>
      <c r="J806" s="293"/>
      <c r="K806" s="293"/>
      <c r="L806" s="293"/>
      <c r="M806" s="293"/>
      <c r="N806" s="293"/>
      <c r="O806" s="293"/>
      <c r="P806" s="293"/>
      <c r="Q806" s="293"/>
      <c r="R806" s="293"/>
      <c r="S806" s="293"/>
      <c r="T806" s="293"/>
      <c r="U806" s="293"/>
      <c r="V806" s="293"/>
      <c r="W806" s="293"/>
      <c r="X806" s="293"/>
      <c r="Y806" s="293"/>
      <c r="Z806" s="293"/>
      <c r="AA806" s="293"/>
      <c r="AB806" s="293"/>
      <c r="AC806" s="293"/>
      <c r="AD806" s="293"/>
    </row>
    <row r="807">
      <c r="A807" s="293"/>
      <c r="B807" s="308"/>
      <c r="C807" s="293"/>
      <c r="D807" s="293"/>
      <c r="E807" s="293"/>
      <c r="F807" s="293"/>
      <c r="G807" s="293"/>
      <c r="H807" s="293"/>
      <c r="I807" s="293"/>
      <c r="J807" s="293"/>
      <c r="K807" s="293"/>
      <c r="L807" s="293"/>
      <c r="M807" s="293"/>
      <c r="N807" s="293"/>
      <c r="O807" s="293"/>
      <c r="P807" s="293"/>
      <c r="Q807" s="293"/>
      <c r="R807" s="293"/>
      <c r="S807" s="293"/>
      <c r="T807" s="293"/>
      <c r="U807" s="293"/>
      <c r="V807" s="293"/>
      <c r="W807" s="293"/>
      <c r="X807" s="293"/>
      <c r="Y807" s="293"/>
      <c r="Z807" s="293"/>
      <c r="AA807" s="293"/>
      <c r="AB807" s="293"/>
      <c r="AC807" s="293"/>
      <c r="AD807" s="293"/>
    </row>
    <row r="808">
      <c r="A808" s="293"/>
      <c r="B808" s="308"/>
      <c r="C808" s="293"/>
      <c r="D808" s="293"/>
      <c r="E808" s="293"/>
      <c r="F808" s="293"/>
      <c r="G808" s="293"/>
      <c r="H808" s="293"/>
      <c r="I808" s="293"/>
      <c r="J808" s="293"/>
      <c r="K808" s="293"/>
      <c r="L808" s="293"/>
      <c r="M808" s="293"/>
      <c r="N808" s="293"/>
      <c r="O808" s="293"/>
      <c r="P808" s="293"/>
      <c r="Q808" s="293"/>
      <c r="R808" s="293"/>
      <c r="S808" s="293"/>
      <c r="T808" s="293"/>
      <c r="U808" s="293"/>
      <c r="V808" s="293"/>
      <c r="W808" s="293"/>
      <c r="X808" s="293"/>
      <c r="Y808" s="293"/>
      <c r="Z808" s="293"/>
      <c r="AA808" s="293"/>
      <c r="AB808" s="293"/>
      <c r="AC808" s="293"/>
      <c r="AD808" s="293"/>
    </row>
    <row r="809">
      <c r="A809" s="293"/>
      <c r="B809" s="308"/>
      <c r="C809" s="293"/>
      <c r="D809" s="293"/>
      <c r="E809" s="293"/>
      <c r="F809" s="293"/>
      <c r="G809" s="293"/>
      <c r="H809" s="293"/>
      <c r="I809" s="293"/>
      <c r="J809" s="293"/>
      <c r="K809" s="293"/>
      <c r="L809" s="293"/>
      <c r="M809" s="293"/>
      <c r="N809" s="293"/>
      <c r="O809" s="293"/>
      <c r="P809" s="293"/>
      <c r="Q809" s="293"/>
      <c r="R809" s="293"/>
      <c r="S809" s="293"/>
      <c r="T809" s="293"/>
      <c r="U809" s="293"/>
      <c r="V809" s="293"/>
      <c r="W809" s="293"/>
      <c r="X809" s="293"/>
      <c r="Y809" s="293"/>
      <c r="Z809" s="293"/>
      <c r="AA809" s="293"/>
      <c r="AB809" s="293"/>
      <c r="AC809" s="293"/>
      <c r="AD809" s="293"/>
    </row>
    <row r="810">
      <c r="A810" s="293"/>
      <c r="B810" s="308"/>
      <c r="C810" s="293"/>
      <c r="D810" s="293"/>
      <c r="E810" s="293"/>
      <c r="F810" s="293"/>
      <c r="G810" s="293"/>
      <c r="H810" s="293"/>
      <c r="I810" s="293"/>
      <c r="J810" s="293"/>
      <c r="K810" s="293"/>
      <c r="L810" s="293"/>
      <c r="M810" s="293"/>
      <c r="N810" s="293"/>
      <c r="O810" s="293"/>
      <c r="P810" s="293"/>
      <c r="Q810" s="293"/>
      <c r="R810" s="293"/>
      <c r="S810" s="293"/>
      <c r="T810" s="293"/>
      <c r="U810" s="293"/>
      <c r="V810" s="293"/>
      <c r="W810" s="293"/>
      <c r="X810" s="293"/>
      <c r="Y810" s="293"/>
      <c r="Z810" s="293"/>
      <c r="AA810" s="293"/>
      <c r="AB810" s="293"/>
      <c r="AC810" s="293"/>
      <c r="AD810" s="293"/>
    </row>
    <row r="811">
      <c r="A811" s="293"/>
      <c r="B811" s="308"/>
      <c r="C811" s="293"/>
      <c r="D811" s="293"/>
      <c r="E811" s="293"/>
      <c r="F811" s="293"/>
      <c r="G811" s="293"/>
      <c r="H811" s="293"/>
      <c r="I811" s="293"/>
      <c r="J811" s="293"/>
      <c r="K811" s="293"/>
      <c r="L811" s="293"/>
      <c r="M811" s="293"/>
      <c r="N811" s="293"/>
      <c r="O811" s="293"/>
      <c r="P811" s="293"/>
      <c r="Q811" s="293"/>
      <c r="R811" s="293"/>
      <c r="S811" s="293"/>
      <c r="T811" s="293"/>
      <c r="U811" s="293"/>
      <c r="V811" s="293"/>
      <c r="W811" s="293"/>
      <c r="X811" s="293"/>
      <c r="Y811" s="293"/>
      <c r="Z811" s="293"/>
      <c r="AA811" s="293"/>
      <c r="AB811" s="293"/>
      <c r="AC811" s="293"/>
      <c r="AD811" s="293"/>
    </row>
    <row r="812">
      <c r="A812" s="293"/>
      <c r="B812" s="308"/>
      <c r="C812" s="293"/>
      <c r="D812" s="293"/>
      <c r="E812" s="293"/>
      <c r="F812" s="293"/>
      <c r="G812" s="293"/>
      <c r="H812" s="293"/>
      <c r="I812" s="293"/>
      <c r="J812" s="293"/>
      <c r="K812" s="293"/>
      <c r="L812" s="293"/>
      <c r="M812" s="293"/>
      <c r="N812" s="293"/>
      <c r="O812" s="293"/>
      <c r="P812" s="293"/>
      <c r="Q812" s="293"/>
      <c r="R812" s="293"/>
      <c r="S812" s="293"/>
      <c r="T812" s="293"/>
      <c r="U812" s="293"/>
      <c r="V812" s="293"/>
      <c r="W812" s="293"/>
      <c r="X812" s="293"/>
      <c r="Y812" s="293"/>
      <c r="Z812" s="293"/>
      <c r="AA812" s="293"/>
      <c r="AB812" s="293"/>
      <c r="AC812" s="293"/>
      <c r="AD812" s="293"/>
    </row>
    <row r="813">
      <c r="A813" s="293"/>
      <c r="B813" s="308"/>
      <c r="C813" s="293"/>
      <c r="D813" s="293"/>
      <c r="E813" s="293"/>
      <c r="F813" s="293"/>
      <c r="G813" s="293"/>
      <c r="H813" s="293"/>
      <c r="I813" s="293"/>
      <c r="J813" s="293"/>
      <c r="K813" s="293"/>
      <c r="L813" s="293"/>
      <c r="M813" s="293"/>
      <c r="N813" s="293"/>
      <c r="O813" s="293"/>
      <c r="P813" s="293"/>
      <c r="Q813" s="293"/>
      <c r="R813" s="293"/>
      <c r="S813" s="293"/>
      <c r="T813" s="293"/>
      <c r="U813" s="293"/>
      <c r="V813" s="293"/>
      <c r="W813" s="293"/>
      <c r="X813" s="293"/>
      <c r="Y813" s="293"/>
      <c r="Z813" s="293"/>
      <c r="AA813" s="293"/>
      <c r="AB813" s="293"/>
      <c r="AC813" s="293"/>
      <c r="AD813" s="293"/>
    </row>
    <row r="814">
      <c r="A814" s="293"/>
      <c r="B814" s="308"/>
      <c r="C814" s="293"/>
      <c r="D814" s="293"/>
      <c r="E814" s="293"/>
      <c r="F814" s="293"/>
      <c r="G814" s="293"/>
      <c r="H814" s="293"/>
      <c r="I814" s="293"/>
      <c r="J814" s="293"/>
      <c r="K814" s="293"/>
      <c r="L814" s="293"/>
      <c r="M814" s="293"/>
      <c r="N814" s="293"/>
      <c r="O814" s="293"/>
      <c r="P814" s="293"/>
      <c r="Q814" s="293"/>
      <c r="R814" s="293"/>
      <c r="S814" s="293"/>
      <c r="T814" s="293"/>
      <c r="U814" s="293"/>
      <c r="V814" s="293"/>
      <c r="W814" s="293"/>
      <c r="X814" s="293"/>
      <c r="Y814" s="293"/>
      <c r="Z814" s="293"/>
      <c r="AA814" s="293"/>
      <c r="AB814" s="293"/>
      <c r="AC814" s="293"/>
      <c r="AD814" s="293"/>
    </row>
    <row r="815">
      <c r="A815" s="293"/>
      <c r="B815" s="308"/>
      <c r="C815" s="293"/>
      <c r="D815" s="293"/>
      <c r="E815" s="293"/>
      <c r="F815" s="293"/>
      <c r="G815" s="293"/>
      <c r="H815" s="293"/>
      <c r="I815" s="293"/>
      <c r="J815" s="293"/>
      <c r="K815" s="293"/>
      <c r="L815" s="293"/>
      <c r="M815" s="293"/>
      <c r="N815" s="293"/>
      <c r="O815" s="293"/>
      <c r="P815" s="293"/>
      <c r="Q815" s="293"/>
      <c r="R815" s="293"/>
      <c r="S815" s="293"/>
      <c r="T815" s="293"/>
      <c r="U815" s="293"/>
      <c r="V815" s="293"/>
      <c r="W815" s="293"/>
      <c r="X815" s="293"/>
      <c r="Y815" s="293"/>
      <c r="Z815" s="293"/>
      <c r="AA815" s="293"/>
      <c r="AB815" s="293"/>
      <c r="AC815" s="293"/>
      <c r="AD815" s="293"/>
    </row>
    <row r="816">
      <c r="A816" s="293"/>
      <c r="B816" s="308"/>
      <c r="C816" s="293"/>
      <c r="D816" s="293"/>
      <c r="E816" s="293"/>
      <c r="F816" s="293"/>
      <c r="G816" s="293"/>
      <c r="H816" s="293"/>
      <c r="I816" s="293"/>
      <c r="J816" s="293"/>
      <c r="K816" s="293"/>
      <c r="L816" s="293"/>
      <c r="M816" s="293"/>
      <c r="N816" s="293"/>
      <c r="O816" s="293"/>
      <c r="P816" s="293"/>
      <c r="Q816" s="293"/>
      <c r="R816" s="293"/>
      <c r="S816" s="293"/>
      <c r="T816" s="293"/>
      <c r="U816" s="293"/>
      <c r="V816" s="293"/>
      <c r="W816" s="293"/>
      <c r="X816" s="293"/>
      <c r="Y816" s="293"/>
      <c r="Z816" s="293"/>
      <c r="AA816" s="293"/>
      <c r="AB816" s="293"/>
      <c r="AC816" s="293"/>
      <c r="AD816" s="293"/>
    </row>
    <row r="817">
      <c r="A817" s="293"/>
      <c r="B817" s="308"/>
      <c r="C817" s="293"/>
      <c r="D817" s="293"/>
      <c r="E817" s="293"/>
      <c r="F817" s="293"/>
      <c r="G817" s="293"/>
      <c r="H817" s="293"/>
      <c r="I817" s="293"/>
      <c r="J817" s="293"/>
      <c r="K817" s="293"/>
      <c r="L817" s="293"/>
      <c r="M817" s="293"/>
      <c r="N817" s="293"/>
      <c r="O817" s="293"/>
      <c r="P817" s="293"/>
      <c r="Q817" s="293"/>
      <c r="R817" s="293"/>
      <c r="S817" s="293"/>
      <c r="T817" s="293"/>
      <c r="U817" s="293"/>
      <c r="V817" s="293"/>
      <c r="W817" s="293"/>
      <c r="X817" s="293"/>
      <c r="Y817" s="293"/>
      <c r="Z817" s="293"/>
      <c r="AA817" s="293"/>
      <c r="AB817" s="293"/>
      <c r="AC817" s="293"/>
      <c r="AD817" s="293"/>
    </row>
    <row r="818">
      <c r="A818" s="293"/>
      <c r="B818" s="308"/>
      <c r="C818" s="293"/>
      <c r="D818" s="293"/>
      <c r="E818" s="293"/>
      <c r="F818" s="293"/>
      <c r="G818" s="293"/>
      <c r="H818" s="293"/>
      <c r="I818" s="293"/>
      <c r="J818" s="293"/>
      <c r="K818" s="293"/>
      <c r="L818" s="293"/>
      <c r="M818" s="293"/>
      <c r="N818" s="293"/>
      <c r="O818" s="293"/>
      <c r="P818" s="293"/>
      <c r="Q818" s="293"/>
      <c r="R818" s="293"/>
      <c r="S818" s="293"/>
      <c r="T818" s="293"/>
      <c r="U818" s="293"/>
      <c r="V818" s="293"/>
      <c r="W818" s="293"/>
      <c r="X818" s="293"/>
      <c r="Y818" s="293"/>
      <c r="Z818" s="293"/>
      <c r="AA818" s="293"/>
      <c r="AB818" s="293"/>
      <c r="AC818" s="293"/>
      <c r="AD818" s="293"/>
    </row>
    <row r="819">
      <c r="A819" s="293"/>
      <c r="B819" s="308"/>
      <c r="C819" s="293"/>
      <c r="D819" s="293"/>
      <c r="E819" s="293"/>
      <c r="F819" s="293"/>
      <c r="G819" s="293"/>
      <c r="H819" s="293"/>
      <c r="I819" s="293"/>
      <c r="J819" s="293"/>
      <c r="K819" s="293"/>
      <c r="L819" s="293"/>
      <c r="M819" s="293"/>
      <c r="N819" s="293"/>
      <c r="O819" s="293"/>
      <c r="P819" s="293"/>
      <c r="Q819" s="293"/>
      <c r="R819" s="293"/>
      <c r="S819" s="293"/>
      <c r="T819" s="293"/>
      <c r="U819" s="293"/>
      <c r="V819" s="293"/>
      <c r="W819" s="293"/>
      <c r="X819" s="293"/>
      <c r="Y819" s="293"/>
      <c r="Z819" s="293"/>
      <c r="AA819" s="293"/>
      <c r="AB819" s="293"/>
      <c r="AC819" s="293"/>
      <c r="AD819" s="293"/>
    </row>
    <row r="820">
      <c r="A820" s="293"/>
      <c r="B820" s="308"/>
      <c r="C820" s="293"/>
      <c r="D820" s="293"/>
      <c r="E820" s="293"/>
      <c r="F820" s="293"/>
      <c r="G820" s="293"/>
      <c r="H820" s="293"/>
      <c r="I820" s="293"/>
      <c r="J820" s="293"/>
      <c r="K820" s="293"/>
      <c r="L820" s="293"/>
      <c r="M820" s="293"/>
      <c r="N820" s="293"/>
      <c r="O820" s="293"/>
      <c r="P820" s="293"/>
      <c r="Q820" s="293"/>
      <c r="R820" s="293"/>
      <c r="S820" s="293"/>
      <c r="T820" s="293"/>
      <c r="U820" s="293"/>
      <c r="V820" s="293"/>
      <c r="W820" s="293"/>
      <c r="X820" s="293"/>
      <c r="Y820" s="293"/>
      <c r="Z820" s="293"/>
      <c r="AA820" s="293"/>
      <c r="AB820" s="293"/>
      <c r="AC820" s="293"/>
      <c r="AD820" s="293"/>
    </row>
    <row r="821">
      <c r="A821" s="293"/>
      <c r="B821" s="308"/>
      <c r="C821" s="293"/>
      <c r="D821" s="293"/>
      <c r="E821" s="293"/>
      <c r="F821" s="293"/>
      <c r="G821" s="293"/>
      <c r="H821" s="293"/>
      <c r="I821" s="293"/>
      <c r="J821" s="293"/>
      <c r="K821" s="293"/>
      <c r="L821" s="293"/>
      <c r="M821" s="293"/>
      <c r="N821" s="293"/>
      <c r="O821" s="293"/>
      <c r="P821" s="293"/>
      <c r="Q821" s="293"/>
      <c r="R821" s="293"/>
      <c r="S821" s="293"/>
      <c r="T821" s="293"/>
      <c r="U821" s="293"/>
      <c r="V821" s="293"/>
      <c r="W821" s="293"/>
      <c r="X821" s="293"/>
      <c r="Y821" s="293"/>
      <c r="Z821" s="293"/>
      <c r="AA821" s="293"/>
      <c r="AB821" s="293"/>
      <c r="AC821" s="293"/>
      <c r="AD821" s="293"/>
    </row>
    <row r="822">
      <c r="A822" s="293"/>
      <c r="B822" s="308"/>
      <c r="C822" s="293"/>
      <c r="D822" s="293"/>
      <c r="E822" s="293"/>
      <c r="F822" s="293"/>
      <c r="G822" s="293"/>
      <c r="H822" s="293"/>
      <c r="I822" s="293"/>
      <c r="J822" s="293"/>
      <c r="K822" s="293"/>
      <c r="L822" s="293"/>
      <c r="M822" s="293"/>
      <c r="N822" s="293"/>
      <c r="O822" s="293"/>
      <c r="P822" s="293"/>
      <c r="Q822" s="293"/>
      <c r="R822" s="293"/>
      <c r="S822" s="293"/>
      <c r="T822" s="293"/>
      <c r="U822" s="293"/>
      <c r="V822" s="293"/>
      <c r="W822" s="293"/>
      <c r="X822" s="293"/>
      <c r="Y822" s="293"/>
      <c r="Z822" s="293"/>
      <c r="AA822" s="293"/>
      <c r="AB822" s="293"/>
      <c r="AC822" s="293"/>
      <c r="AD822" s="293"/>
    </row>
    <row r="823">
      <c r="A823" s="293"/>
      <c r="B823" s="308"/>
      <c r="C823" s="293"/>
      <c r="D823" s="293"/>
      <c r="E823" s="293"/>
      <c r="F823" s="293"/>
      <c r="G823" s="293"/>
      <c r="H823" s="293"/>
      <c r="I823" s="293"/>
      <c r="J823" s="293"/>
      <c r="K823" s="293"/>
      <c r="L823" s="293"/>
      <c r="M823" s="293"/>
      <c r="N823" s="293"/>
      <c r="O823" s="293"/>
      <c r="P823" s="293"/>
      <c r="Q823" s="293"/>
      <c r="R823" s="293"/>
      <c r="S823" s="293"/>
      <c r="T823" s="293"/>
      <c r="U823" s="293"/>
      <c r="V823" s="293"/>
      <c r="W823" s="293"/>
      <c r="X823" s="293"/>
      <c r="Y823" s="293"/>
      <c r="Z823" s="293"/>
      <c r="AA823" s="293"/>
      <c r="AB823" s="293"/>
      <c r="AC823" s="293"/>
      <c r="AD823" s="293"/>
    </row>
    <row r="824">
      <c r="A824" s="293"/>
      <c r="B824" s="308"/>
      <c r="C824" s="293"/>
      <c r="D824" s="293"/>
      <c r="E824" s="293"/>
      <c r="F824" s="293"/>
      <c r="G824" s="293"/>
      <c r="H824" s="293"/>
      <c r="I824" s="293"/>
      <c r="J824" s="293"/>
      <c r="K824" s="293"/>
      <c r="L824" s="293"/>
      <c r="M824" s="293"/>
      <c r="N824" s="293"/>
      <c r="O824" s="293"/>
      <c r="P824" s="293"/>
      <c r="Q824" s="293"/>
      <c r="R824" s="293"/>
      <c r="S824" s="293"/>
      <c r="T824" s="293"/>
      <c r="U824" s="293"/>
      <c r="V824" s="293"/>
      <c r="W824" s="293"/>
      <c r="X824" s="293"/>
      <c r="Y824" s="293"/>
      <c r="Z824" s="293"/>
      <c r="AA824" s="293"/>
      <c r="AB824" s="293"/>
      <c r="AC824" s="293"/>
      <c r="AD824" s="293"/>
    </row>
    <row r="825">
      <c r="A825" s="293"/>
      <c r="B825" s="308"/>
      <c r="C825" s="293"/>
      <c r="D825" s="293"/>
      <c r="E825" s="293"/>
      <c r="F825" s="293"/>
      <c r="G825" s="293"/>
      <c r="H825" s="293"/>
      <c r="I825" s="293"/>
      <c r="J825" s="293"/>
      <c r="K825" s="293"/>
      <c r="L825" s="293"/>
      <c r="M825" s="293"/>
      <c r="N825" s="293"/>
      <c r="O825" s="293"/>
      <c r="P825" s="293"/>
      <c r="Q825" s="293"/>
      <c r="R825" s="293"/>
      <c r="S825" s="293"/>
      <c r="T825" s="293"/>
      <c r="U825" s="293"/>
      <c r="V825" s="293"/>
      <c r="W825" s="293"/>
      <c r="X825" s="293"/>
      <c r="Y825" s="293"/>
      <c r="Z825" s="293"/>
      <c r="AA825" s="293"/>
      <c r="AB825" s="293"/>
      <c r="AC825" s="293"/>
      <c r="AD825" s="293"/>
    </row>
    <row r="826">
      <c r="A826" s="293"/>
      <c r="B826" s="308"/>
      <c r="C826" s="293"/>
      <c r="D826" s="293"/>
      <c r="E826" s="293"/>
      <c r="F826" s="293"/>
      <c r="G826" s="293"/>
      <c r="H826" s="293"/>
      <c r="I826" s="293"/>
      <c r="J826" s="293"/>
      <c r="K826" s="293"/>
      <c r="L826" s="293"/>
      <c r="M826" s="293"/>
      <c r="N826" s="293"/>
      <c r="O826" s="293"/>
      <c r="P826" s="293"/>
      <c r="Q826" s="293"/>
      <c r="R826" s="293"/>
      <c r="S826" s="293"/>
      <c r="T826" s="293"/>
      <c r="U826" s="293"/>
      <c r="V826" s="293"/>
      <c r="W826" s="293"/>
      <c r="X826" s="293"/>
      <c r="Y826" s="293"/>
      <c r="Z826" s="293"/>
      <c r="AA826" s="293"/>
      <c r="AB826" s="293"/>
      <c r="AC826" s="293"/>
      <c r="AD826" s="293"/>
    </row>
    <row r="827">
      <c r="A827" s="293"/>
      <c r="B827" s="308"/>
      <c r="C827" s="293"/>
      <c r="D827" s="293"/>
      <c r="E827" s="293"/>
      <c r="F827" s="293"/>
      <c r="G827" s="293"/>
      <c r="H827" s="293"/>
      <c r="I827" s="293"/>
      <c r="J827" s="293"/>
      <c r="K827" s="293"/>
      <c r="L827" s="293"/>
      <c r="M827" s="293"/>
      <c r="N827" s="293"/>
      <c r="O827" s="293"/>
      <c r="P827" s="293"/>
      <c r="Q827" s="293"/>
      <c r="R827" s="293"/>
      <c r="S827" s="293"/>
      <c r="T827" s="293"/>
      <c r="U827" s="293"/>
      <c r="V827" s="293"/>
      <c r="W827" s="293"/>
      <c r="X827" s="293"/>
      <c r="Y827" s="293"/>
      <c r="Z827" s="293"/>
      <c r="AA827" s="293"/>
      <c r="AB827" s="293"/>
      <c r="AC827" s="293"/>
      <c r="AD827" s="293"/>
    </row>
    <row r="828">
      <c r="A828" s="293"/>
      <c r="B828" s="308"/>
      <c r="C828" s="293"/>
      <c r="D828" s="293"/>
      <c r="E828" s="293"/>
      <c r="F828" s="293"/>
      <c r="G828" s="293"/>
      <c r="H828" s="293"/>
      <c r="I828" s="293"/>
      <c r="J828" s="293"/>
      <c r="K828" s="293"/>
      <c r="L828" s="293"/>
      <c r="M828" s="293"/>
      <c r="N828" s="293"/>
      <c r="O828" s="293"/>
      <c r="P828" s="293"/>
      <c r="Q828" s="293"/>
      <c r="R828" s="293"/>
      <c r="S828" s="293"/>
      <c r="T828" s="293"/>
      <c r="U828" s="293"/>
      <c r="V828" s="293"/>
      <c r="W828" s="293"/>
      <c r="X828" s="293"/>
      <c r="Y828" s="293"/>
      <c r="Z828" s="293"/>
      <c r="AA828" s="293"/>
      <c r="AB828" s="293"/>
      <c r="AC828" s="293"/>
      <c r="AD828" s="293"/>
    </row>
    <row r="829">
      <c r="A829" s="293"/>
      <c r="B829" s="308"/>
      <c r="C829" s="293"/>
      <c r="D829" s="293"/>
      <c r="E829" s="293"/>
      <c r="F829" s="293"/>
      <c r="G829" s="293"/>
      <c r="H829" s="293"/>
      <c r="I829" s="293"/>
      <c r="J829" s="293"/>
      <c r="K829" s="293"/>
      <c r="L829" s="293"/>
      <c r="M829" s="293"/>
      <c r="N829" s="293"/>
      <c r="O829" s="293"/>
      <c r="P829" s="293"/>
      <c r="Q829" s="293"/>
      <c r="R829" s="293"/>
      <c r="S829" s="293"/>
      <c r="T829" s="293"/>
      <c r="U829" s="293"/>
      <c r="V829" s="293"/>
      <c r="W829" s="293"/>
      <c r="X829" s="293"/>
      <c r="Y829" s="293"/>
      <c r="Z829" s="293"/>
      <c r="AA829" s="293"/>
      <c r="AB829" s="293"/>
      <c r="AC829" s="293"/>
      <c r="AD829" s="293"/>
    </row>
    <row r="830">
      <c r="A830" s="293"/>
      <c r="B830" s="308"/>
      <c r="C830" s="293"/>
      <c r="D830" s="293"/>
      <c r="E830" s="293"/>
      <c r="F830" s="293"/>
      <c r="G830" s="293"/>
      <c r="H830" s="293"/>
      <c r="I830" s="293"/>
      <c r="J830" s="293"/>
      <c r="K830" s="293"/>
      <c r="L830" s="293"/>
      <c r="M830" s="293"/>
      <c r="N830" s="293"/>
      <c r="O830" s="293"/>
      <c r="P830" s="293"/>
      <c r="Q830" s="293"/>
      <c r="R830" s="293"/>
      <c r="S830" s="293"/>
      <c r="T830" s="293"/>
      <c r="U830" s="293"/>
      <c r="V830" s="293"/>
      <c r="W830" s="293"/>
      <c r="X830" s="293"/>
      <c r="Y830" s="293"/>
      <c r="Z830" s="293"/>
      <c r="AA830" s="293"/>
      <c r="AB830" s="293"/>
      <c r="AC830" s="293"/>
      <c r="AD830" s="293"/>
    </row>
    <row r="831">
      <c r="A831" s="293"/>
      <c r="B831" s="308"/>
      <c r="C831" s="293"/>
      <c r="D831" s="293"/>
      <c r="E831" s="293"/>
      <c r="F831" s="293"/>
      <c r="G831" s="293"/>
      <c r="H831" s="293"/>
      <c r="I831" s="293"/>
      <c r="J831" s="293"/>
      <c r="K831" s="293"/>
      <c r="L831" s="293"/>
      <c r="M831" s="293"/>
      <c r="N831" s="293"/>
      <c r="O831" s="293"/>
      <c r="P831" s="293"/>
      <c r="Q831" s="293"/>
      <c r="R831" s="293"/>
      <c r="S831" s="293"/>
      <c r="T831" s="293"/>
      <c r="U831" s="293"/>
      <c r="V831" s="293"/>
      <c r="W831" s="293"/>
      <c r="X831" s="293"/>
      <c r="Y831" s="293"/>
      <c r="Z831" s="293"/>
      <c r="AA831" s="293"/>
      <c r="AB831" s="293"/>
      <c r="AC831" s="293"/>
      <c r="AD831" s="293"/>
    </row>
    <row r="832">
      <c r="A832" s="293"/>
      <c r="B832" s="308"/>
      <c r="C832" s="293"/>
      <c r="D832" s="293"/>
      <c r="E832" s="293"/>
      <c r="F832" s="293"/>
      <c r="G832" s="293"/>
      <c r="H832" s="293"/>
      <c r="I832" s="293"/>
      <c r="J832" s="293"/>
      <c r="K832" s="293"/>
      <c r="L832" s="293"/>
      <c r="M832" s="293"/>
      <c r="N832" s="293"/>
      <c r="O832" s="293"/>
      <c r="P832" s="293"/>
      <c r="Q832" s="293"/>
      <c r="R832" s="293"/>
      <c r="S832" s="293"/>
      <c r="T832" s="293"/>
      <c r="U832" s="293"/>
      <c r="V832" s="293"/>
      <c r="W832" s="293"/>
      <c r="X832" s="293"/>
      <c r="Y832" s="293"/>
      <c r="Z832" s="293"/>
      <c r="AA832" s="293"/>
      <c r="AB832" s="293"/>
      <c r="AC832" s="293"/>
      <c r="AD832" s="293"/>
    </row>
    <row r="833">
      <c r="A833" s="293"/>
      <c r="B833" s="308"/>
      <c r="C833" s="293"/>
      <c r="D833" s="293"/>
      <c r="E833" s="293"/>
      <c r="F833" s="293"/>
      <c r="G833" s="293"/>
      <c r="H833" s="293"/>
      <c r="I833" s="293"/>
      <c r="J833" s="293"/>
      <c r="K833" s="293"/>
      <c r="L833" s="293"/>
      <c r="M833" s="293"/>
      <c r="N833" s="293"/>
      <c r="O833" s="293"/>
      <c r="P833" s="293"/>
      <c r="Q833" s="293"/>
      <c r="R833" s="293"/>
      <c r="S833" s="293"/>
      <c r="T833" s="293"/>
      <c r="U833" s="293"/>
      <c r="V833" s="293"/>
      <c r="W833" s="293"/>
      <c r="X833" s="293"/>
      <c r="Y833" s="293"/>
      <c r="Z833" s="293"/>
      <c r="AA833" s="293"/>
      <c r="AB833" s="293"/>
      <c r="AC833" s="293"/>
      <c r="AD833" s="293"/>
    </row>
    <row r="834">
      <c r="A834" s="293"/>
      <c r="B834" s="308"/>
      <c r="C834" s="293"/>
      <c r="D834" s="293"/>
      <c r="E834" s="293"/>
      <c r="F834" s="293"/>
      <c r="G834" s="293"/>
      <c r="H834" s="293"/>
      <c r="I834" s="293"/>
      <c r="J834" s="293"/>
      <c r="K834" s="293"/>
      <c r="L834" s="293"/>
      <c r="M834" s="293"/>
      <c r="N834" s="293"/>
      <c r="O834" s="293"/>
      <c r="P834" s="293"/>
      <c r="Q834" s="293"/>
      <c r="R834" s="293"/>
      <c r="S834" s="293"/>
      <c r="T834" s="293"/>
      <c r="U834" s="293"/>
      <c r="V834" s="293"/>
      <c r="W834" s="293"/>
      <c r="X834" s="293"/>
      <c r="Y834" s="293"/>
      <c r="Z834" s="293"/>
      <c r="AA834" s="293"/>
      <c r="AB834" s="293"/>
      <c r="AC834" s="293"/>
      <c r="AD834" s="293"/>
    </row>
    <row r="835">
      <c r="A835" s="293"/>
      <c r="B835" s="308"/>
      <c r="C835" s="293"/>
      <c r="D835" s="293"/>
      <c r="E835" s="293"/>
      <c r="F835" s="293"/>
      <c r="G835" s="293"/>
      <c r="H835" s="293"/>
      <c r="I835" s="293"/>
      <c r="J835" s="293"/>
      <c r="K835" s="293"/>
      <c r="L835" s="293"/>
      <c r="M835" s="293"/>
      <c r="N835" s="293"/>
      <c r="O835" s="293"/>
      <c r="P835" s="293"/>
      <c r="Q835" s="293"/>
      <c r="R835" s="293"/>
      <c r="S835" s="293"/>
      <c r="T835" s="293"/>
      <c r="U835" s="293"/>
      <c r="V835" s="293"/>
      <c r="W835" s="293"/>
      <c r="X835" s="293"/>
      <c r="Y835" s="293"/>
      <c r="Z835" s="293"/>
      <c r="AA835" s="293"/>
      <c r="AB835" s="293"/>
      <c r="AC835" s="293"/>
      <c r="AD835" s="293"/>
    </row>
    <row r="836">
      <c r="A836" s="293"/>
      <c r="B836" s="308"/>
      <c r="C836" s="293"/>
      <c r="D836" s="293"/>
      <c r="E836" s="293"/>
      <c r="F836" s="293"/>
      <c r="G836" s="293"/>
      <c r="H836" s="293"/>
      <c r="I836" s="293"/>
      <c r="J836" s="293"/>
      <c r="K836" s="293"/>
      <c r="L836" s="293"/>
      <c r="M836" s="293"/>
      <c r="N836" s="293"/>
      <c r="O836" s="293"/>
      <c r="P836" s="293"/>
      <c r="Q836" s="293"/>
      <c r="R836" s="293"/>
      <c r="S836" s="293"/>
      <c r="T836" s="293"/>
      <c r="U836" s="293"/>
      <c r="V836" s="293"/>
      <c r="W836" s="293"/>
      <c r="X836" s="293"/>
      <c r="Y836" s="293"/>
      <c r="Z836" s="293"/>
      <c r="AA836" s="293"/>
      <c r="AB836" s="293"/>
      <c r="AC836" s="293"/>
      <c r="AD836" s="293"/>
    </row>
    <row r="837">
      <c r="A837" s="293"/>
      <c r="B837" s="308"/>
      <c r="C837" s="293"/>
      <c r="D837" s="293"/>
      <c r="E837" s="293"/>
      <c r="F837" s="293"/>
      <c r="G837" s="293"/>
      <c r="H837" s="293"/>
      <c r="I837" s="293"/>
      <c r="J837" s="293"/>
      <c r="K837" s="293"/>
      <c r="L837" s="293"/>
      <c r="M837" s="293"/>
      <c r="N837" s="293"/>
      <c r="O837" s="293"/>
      <c r="P837" s="293"/>
      <c r="Q837" s="293"/>
      <c r="R837" s="293"/>
      <c r="S837" s="293"/>
      <c r="T837" s="293"/>
      <c r="U837" s="293"/>
      <c r="V837" s="293"/>
      <c r="W837" s="293"/>
      <c r="X837" s="293"/>
      <c r="Y837" s="293"/>
      <c r="Z837" s="293"/>
      <c r="AA837" s="293"/>
      <c r="AB837" s="293"/>
      <c r="AC837" s="293"/>
      <c r="AD837" s="293"/>
    </row>
    <row r="838">
      <c r="A838" s="293"/>
      <c r="B838" s="308"/>
      <c r="C838" s="293"/>
      <c r="D838" s="293"/>
      <c r="E838" s="293"/>
      <c r="F838" s="293"/>
      <c r="G838" s="293"/>
      <c r="H838" s="293"/>
      <c r="I838" s="293"/>
      <c r="J838" s="293"/>
      <c r="K838" s="293"/>
      <c r="L838" s="293"/>
      <c r="M838" s="293"/>
      <c r="N838" s="293"/>
      <c r="O838" s="293"/>
      <c r="P838" s="293"/>
      <c r="Q838" s="293"/>
      <c r="R838" s="293"/>
      <c r="S838" s="293"/>
      <c r="T838" s="293"/>
      <c r="U838" s="293"/>
      <c r="V838" s="293"/>
      <c r="W838" s="293"/>
      <c r="X838" s="293"/>
      <c r="Y838" s="293"/>
      <c r="Z838" s="293"/>
      <c r="AA838" s="293"/>
      <c r="AB838" s="293"/>
      <c r="AC838" s="293"/>
      <c r="AD838" s="293"/>
    </row>
    <row r="839">
      <c r="A839" s="293"/>
      <c r="B839" s="308"/>
      <c r="C839" s="293"/>
      <c r="D839" s="293"/>
      <c r="E839" s="293"/>
      <c r="F839" s="293"/>
      <c r="G839" s="293"/>
      <c r="H839" s="293"/>
      <c r="I839" s="293"/>
      <c r="J839" s="293"/>
      <c r="K839" s="293"/>
      <c r="L839" s="293"/>
      <c r="M839" s="293"/>
      <c r="N839" s="293"/>
      <c r="O839" s="293"/>
      <c r="P839" s="293"/>
      <c r="Q839" s="293"/>
      <c r="R839" s="293"/>
      <c r="S839" s="293"/>
      <c r="T839" s="293"/>
      <c r="U839" s="293"/>
      <c r="V839" s="293"/>
      <c r="W839" s="293"/>
      <c r="X839" s="293"/>
      <c r="Y839" s="293"/>
      <c r="Z839" s="293"/>
      <c r="AA839" s="293"/>
      <c r="AB839" s="293"/>
      <c r="AC839" s="293"/>
      <c r="AD839" s="293"/>
    </row>
    <row r="840">
      <c r="A840" s="293"/>
      <c r="B840" s="308"/>
      <c r="C840" s="293"/>
      <c r="D840" s="293"/>
      <c r="E840" s="293"/>
      <c r="F840" s="293"/>
      <c r="G840" s="293"/>
      <c r="H840" s="293"/>
      <c r="I840" s="293"/>
      <c r="J840" s="293"/>
      <c r="K840" s="293"/>
      <c r="L840" s="293"/>
      <c r="M840" s="293"/>
      <c r="N840" s="293"/>
      <c r="O840" s="293"/>
      <c r="P840" s="293"/>
      <c r="Q840" s="293"/>
      <c r="R840" s="293"/>
      <c r="S840" s="293"/>
      <c r="T840" s="293"/>
      <c r="U840" s="293"/>
      <c r="V840" s="293"/>
      <c r="W840" s="293"/>
      <c r="X840" s="293"/>
      <c r="Y840" s="293"/>
      <c r="Z840" s="293"/>
      <c r="AA840" s="293"/>
      <c r="AB840" s="293"/>
      <c r="AC840" s="293"/>
      <c r="AD840" s="293"/>
    </row>
    <row r="841">
      <c r="A841" s="293"/>
      <c r="B841" s="308"/>
      <c r="C841" s="293"/>
      <c r="D841" s="293"/>
      <c r="E841" s="293"/>
      <c r="F841" s="293"/>
      <c r="G841" s="293"/>
      <c r="H841" s="293"/>
      <c r="I841" s="293"/>
      <c r="J841" s="293"/>
      <c r="K841" s="293"/>
      <c r="L841" s="293"/>
      <c r="M841" s="293"/>
      <c r="N841" s="293"/>
      <c r="O841" s="293"/>
      <c r="P841" s="293"/>
      <c r="Q841" s="293"/>
      <c r="R841" s="293"/>
      <c r="S841" s="293"/>
      <c r="T841" s="293"/>
      <c r="U841" s="293"/>
      <c r="V841" s="293"/>
      <c r="W841" s="293"/>
      <c r="X841" s="293"/>
      <c r="Y841" s="293"/>
      <c r="Z841" s="293"/>
      <c r="AA841" s="293"/>
      <c r="AB841" s="293"/>
      <c r="AC841" s="293"/>
      <c r="AD841" s="293"/>
    </row>
    <row r="842">
      <c r="A842" s="293"/>
      <c r="B842" s="308"/>
      <c r="C842" s="293"/>
      <c r="D842" s="293"/>
      <c r="E842" s="293"/>
      <c r="F842" s="293"/>
      <c r="G842" s="293"/>
      <c r="H842" s="293"/>
      <c r="I842" s="293"/>
      <c r="J842" s="293"/>
      <c r="K842" s="293"/>
      <c r="L842" s="293"/>
      <c r="M842" s="293"/>
      <c r="N842" s="293"/>
      <c r="O842" s="293"/>
      <c r="P842" s="293"/>
      <c r="Q842" s="293"/>
      <c r="R842" s="293"/>
      <c r="S842" s="293"/>
      <c r="T842" s="293"/>
      <c r="U842" s="293"/>
      <c r="V842" s="293"/>
      <c r="W842" s="293"/>
      <c r="X842" s="293"/>
      <c r="Y842" s="293"/>
      <c r="Z842" s="293"/>
      <c r="AA842" s="293"/>
      <c r="AB842" s="293"/>
      <c r="AC842" s="293"/>
      <c r="AD842" s="293"/>
    </row>
    <row r="843">
      <c r="A843" s="293"/>
      <c r="B843" s="308"/>
      <c r="C843" s="293"/>
      <c r="D843" s="293"/>
      <c r="E843" s="293"/>
      <c r="F843" s="293"/>
      <c r="G843" s="293"/>
      <c r="H843" s="293"/>
      <c r="I843" s="293"/>
      <c r="J843" s="293"/>
      <c r="K843" s="293"/>
      <c r="L843" s="293"/>
      <c r="M843" s="293"/>
      <c r="N843" s="293"/>
      <c r="O843" s="293"/>
      <c r="P843" s="293"/>
      <c r="Q843" s="293"/>
      <c r="R843" s="293"/>
      <c r="S843" s="293"/>
      <c r="T843" s="293"/>
      <c r="U843" s="293"/>
      <c r="V843" s="293"/>
      <c r="W843" s="293"/>
      <c r="X843" s="293"/>
      <c r="Y843" s="293"/>
      <c r="Z843" s="293"/>
      <c r="AA843" s="293"/>
      <c r="AB843" s="293"/>
      <c r="AC843" s="293"/>
      <c r="AD843" s="293"/>
    </row>
    <row r="844">
      <c r="A844" s="293"/>
      <c r="B844" s="308"/>
      <c r="C844" s="293"/>
      <c r="D844" s="293"/>
      <c r="E844" s="293"/>
      <c r="F844" s="293"/>
      <c r="G844" s="293"/>
      <c r="H844" s="293"/>
      <c r="I844" s="293"/>
      <c r="J844" s="293"/>
      <c r="K844" s="293"/>
      <c r="L844" s="293"/>
      <c r="M844" s="293"/>
      <c r="N844" s="293"/>
      <c r="O844" s="293"/>
      <c r="P844" s="293"/>
      <c r="Q844" s="293"/>
      <c r="R844" s="293"/>
      <c r="S844" s="293"/>
      <c r="T844" s="293"/>
      <c r="U844" s="293"/>
      <c r="V844" s="293"/>
      <c r="W844" s="293"/>
      <c r="X844" s="293"/>
      <c r="Y844" s="293"/>
      <c r="Z844" s="293"/>
      <c r="AA844" s="293"/>
      <c r="AB844" s="293"/>
      <c r="AC844" s="293"/>
      <c r="AD844" s="293"/>
    </row>
    <row r="845">
      <c r="A845" s="293"/>
      <c r="B845" s="308"/>
      <c r="C845" s="293"/>
      <c r="D845" s="293"/>
      <c r="E845" s="293"/>
      <c r="F845" s="293"/>
      <c r="G845" s="293"/>
      <c r="H845" s="293"/>
      <c r="I845" s="293"/>
      <c r="J845" s="293"/>
      <c r="K845" s="293"/>
      <c r="L845" s="293"/>
      <c r="M845" s="293"/>
      <c r="N845" s="293"/>
      <c r="O845" s="293"/>
      <c r="P845" s="293"/>
      <c r="Q845" s="293"/>
      <c r="R845" s="293"/>
      <c r="S845" s="293"/>
      <c r="T845" s="293"/>
      <c r="U845" s="293"/>
      <c r="V845" s="293"/>
      <c r="W845" s="293"/>
      <c r="X845" s="293"/>
      <c r="Y845" s="293"/>
      <c r="Z845" s="293"/>
      <c r="AA845" s="293"/>
      <c r="AB845" s="293"/>
      <c r="AC845" s="293"/>
      <c r="AD845" s="293"/>
    </row>
    <row r="846">
      <c r="A846" s="293"/>
      <c r="B846" s="308"/>
      <c r="C846" s="293"/>
      <c r="D846" s="293"/>
      <c r="E846" s="293"/>
      <c r="F846" s="293"/>
      <c r="G846" s="293"/>
      <c r="H846" s="293"/>
      <c r="I846" s="293"/>
      <c r="J846" s="293"/>
      <c r="K846" s="293"/>
      <c r="L846" s="293"/>
      <c r="M846" s="293"/>
      <c r="N846" s="293"/>
      <c r="O846" s="293"/>
      <c r="P846" s="293"/>
      <c r="Q846" s="293"/>
      <c r="R846" s="293"/>
      <c r="S846" s="293"/>
      <c r="T846" s="293"/>
      <c r="U846" s="293"/>
      <c r="V846" s="293"/>
      <c r="W846" s="293"/>
      <c r="X846" s="293"/>
      <c r="Y846" s="293"/>
      <c r="Z846" s="293"/>
      <c r="AA846" s="293"/>
      <c r="AB846" s="293"/>
      <c r="AC846" s="293"/>
      <c r="AD846" s="293"/>
    </row>
    <row r="847">
      <c r="A847" s="293"/>
      <c r="B847" s="308"/>
      <c r="C847" s="293"/>
      <c r="D847" s="293"/>
      <c r="E847" s="293"/>
      <c r="F847" s="293"/>
      <c r="G847" s="293"/>
      <c r="H847" s="293"/>
      <c r="I847" s="293"/>
      <c r="J847" s="293"/>
      <c r="K847" s="293"/>
      <c r="L847" s="293"/>
      <c r="M847" s="293"/>
      <c r="N847" s="293"/>
      <c r="O847" s="293"/>
      <c r="P847" s="293"/>
      <c r="Q847" s="293"/>
      <c r="R847" s="293"/>
      <c r="S847" s="293"/>
      <c r="T847" s="293"/>
      <c r="U847" s="293"/>
      <c r="V847" s="293"/>
      <c r="W847" s="293"/>
      <c r="X847" s="293"/>
      <c r="Y847" s="293"/>
      <c r="Z847" s="293"/>
      <c r="AA847" s="293"/>
      <c r="AB847" s="293"/>
      <c r="AC847" s="293"/>
      <c r="AD847" s="293"/>
    </row>
    <row r="848">
      <c r="A848" s="293"/>
      <c r="B848" s="308"/>
      <c r="C848" s="293"/>
      <c r="D848" s="293"/>
      <c r="E848" s="293"/>
      <c r="F848" s="293"/>
      <c r="G848" s="293"/>
      <c r="H848" s="293"/>
      <c r="I848" s="293"/>
      <c r="J848" s="293"/>
      <c r="K848" s="293"/>
      <c r="L848" s="293"/>
      <c r="M848" s="293"/>
      <c r="N848" s="293"/>
      <c r="O848" s="293"/>
      <c r="P848" s="293"/>
      <c r="Q848" s="293"/>
      <c r="R848" s="293"/>
      <c r="S848" s="293"/>
      <c r="T848" s="293"/>
      <c r="U848" s="293"/>
      <c r="V848" s="293"/>
      <c r="W848" s="293"/>
      <c r="X848" s="293"/>
      <c r="Y848" s="293"/>
      <c r="Z848" s="293"/>
      <c r="AA848" s="293"/>
      <c r="AB848" s="293"/>
      <c r="AC848" s="293"/>
      <c r="AD848" s="293"/>
    </row>
    <row r="849">
      <c r="A849" s="293"/>
      <c r="B849" s="308"/>
      <c r="C849" s="293"/>
      <c r="D849" s="293"/>
      <c r="E849" s="293"/>
      <c r="F849" s="293"/>
      <c r="G849" s="293"/>
      <c r="H849" s="293"/>
      <c r="I849" s="293"/>
      <c r="J849" s="293"/>
      <c r="K849" s="293"/>
      <c r="L849" s="293"/>
      <c r="M849" s="293"/>
      <c r="N849" s="293"/>
      <c r="O849" s="293"/>
      <c r="P849" s="293"/>
      <c r="Q849" s="293"/>
      <c r="R849" s="293"/>
      <c r="S849" s="293"/>
      <c r="T849" s="293"/>
      <c r="U849" s="293"/>
      <c r="V849" s="293"/>
      <c r="W849" s="293"/>
      <c r="X849" s="293"/>
      <c r="Y849" s="293"/>
      <c r="Z849" s="293"/>
      <c r="AA849" s="293"/>
      <c r="AB849" s="293"/>
      <c r="AC849" s="293"/>
      <c r="AD849" s="293"/>
    </row>
    <row r="850">
      <c r="A850" s="293"/>
      <c r="B850" s="308"/>
      <c r="C850" s="293"/>
      <c r="D850" s="293"/>
      <c r="E850" s="293"/>
      <c r="F850" s="293"/>
      <c r="G850" s="293"/>
      <c r="H850" s="293"/>
      <c r="I850" s="293"/>
      <c r="J850" s="293"/>
      <c r="K850" s="293"/>
      <c r="L850" s="293"/>
      <c r="M850" s="293"/>
      <c r="N850" s="293"/>
      <c r="O850" s="293"/>
      <c r="P850" s="293"/>
      <c r="Q850" s="293"/>
      <c r="R850" s="293"/>
      <c r="S850" s="293"/>
      <c r="T850" s="293"/>
      <c r="U850" s="293"/>
      <c r="V850" s="293"/>
      <c r="W850" s="293"/>
      <c r="X850" s="293"/>
      <c r="Y850" s="293"/>
      <c r="Z850" s="293"/>
      <c r="AA850" s="293"/>
      <c r="AB850" s="293"/>
      <c r="AC850" s="293"/>
      <c r="AD850" s="293"/>
    </row>
    <row r="851">
      <c r="A851" s="293"/>
      <c r="B851" s="308"/>
      <c r="C851" s="293"/>
      <c r="D851" s="293"/>
      <c r="E851" s="293"/>
      <c r="F851" s="293"/>
      <c r="G851" s="293"/>
      <c r="H851" s="293"/>
      <c r="I851" s="293"/>
      <c r="J851" s="293"/>
      <c r="K851" s="293"/>
      <c r="L851" s="293"/>
      <c r="M851" s="293"/>
      <c r="N851" s="293"/>
      <c r="O851" s="293"/>
      <c r="P851" s="293"/>
      <c r="Q851" s="293"/>
      <c r="R851" s="293"/>
      <c r="S851" s="293"/>
      <c r="T851" s="293"/>
      <c r="U851" s="293"/>
      <c r="V851" s="293"/>
      <c r="W851" s="293"/>
      <c r="X851" s="293"/>
      <c r="Y851" s="293"/>
      <c r="Z851" s="293"/>
      <c r="AA851" s="293"/>
      <c r="AB851" s="293"/>
      <c r="AC851" s="293"/>
      <c r="AD851" s="293"/>
    </row>
    <row r="852">
      <c r="A852" s="293"/>
      <c r="B852" s="308"/>
      <c r="C852" s="293"/>
      <c r="D852" s="293"/>
      <c r="E852" s="293"/>
      <c r="F852" s="293"/>
      <c r="G852" s="293"/>
      <c r="H852" s="293"/>
      <c r="I852" s="293"/>
      <c r="J852" s="293"/>
      <c r="K852" s="293"/>
      <c r="L852" s="293"/>
      <c r="M852" s="293"/>
      <c r="N852" s="293"/>
      <c r="O852" s="293"/>
      <c r="P852" s="293"/>
      <c r="Q852" s="293"/>
      <c r="R852" s="293"/>
      <c r="S852" s="293"/>
      <c r="T852" s="293"/>
      <c r="U852" s="293"/>
      <c r="V852" s="293"/>
      <c r="W852" s="293"/>
      <c r="X852" s="293"/>
      <c r="Y852" s="293"/>
      <c r="Z852" s="293"/>
      <c r="AA852" s="293"/>
      <c r="AB852" s="293"/>
      <c r="AC852" s="293"/>
      <c r="AD852" s="293"/>
    </row>
    <row r="853">
      <c r="A853" s="293"/>
      <c r="B853" s="308"/>
      <c r="C853" s="293"/>
      <c r="D853" s="293"/>
      <c r="E853" s="293"/>
      <c r="F853" s="293"/>
      <c r="G853" s="293"/>
      <c r="H853" s="293"/>
      <c r="I853" s="293"/>
      <c r="J853" s="293"/>
      <c r="K853" s="293"/>
      <c r="L853" s="293"/>
      <c r="M853" s="293"/>
      <c r="N853" s="293"/>
      <c r="O853" s="293"/>
      <c r="P853" s="293"/>
      <c r="Q853" s="293"/>
      <c r="R853" s="293"/>
      <c r="S853" s="293"/>
      <c r="T853" s="293"/>
      <c r="U853" s="293"/>
      <c r="V853" s="293"/>
      <c r="W853" s="293"/>
      <c r="X853" s="293"/>
      <c r="Y853" s="293"/>
      <c r="Z853" s="293"/>
      <c r="AA853" s="293"/>
      <c r="AB853" s="293"/>
      <c r="AC853" s="293"/>
      <c r="AD853" s="293"/>
    </row>
    <row r="854">
      <c r="A854" s="293"/>
      <c r="B854" s="308"/>
      <c r="C854" s="293"/>
      <c r="D854" s="293"/>
      <c r="E854" s="293"/>
      <c r="F854" s="293"/>
      <c r="G854" s="293"/>
      <c r="H854" s="293"/>
      <c r="I854" s="293"/>
      <c r="J854" s="293"/>
      <c r="K854" s="293"/>
      <c r="L854" s="293"/>
      <c r="M854" s="293"/>
      <c r="N854" s="293"/>
      <c r="O854" s="293"/>
      <c r="P854" s="293"/>
      <c r="Q854" s="293"/>
      <c r="R854" s="293"/>
      <c r="S854" s="293"/>
      <c r="T854" s="293"/>
      <c r="U854" s="293"/>
      <c r="V854" s="293"/>
      <c r="W854" s="293"/>
      <c r="X854" s="293"/>
      <c r="Y854" s="293"/>
      <c r="Z854" s="293"/>
      <c r="AA854" s="293"/>
      <c r="AB854" s="293"/>
      <c r="AC854" s="293"/>
      <c r="AD854" s="293"/>
    </row>
    <row r="855">
      <c r="A855" s="293"/>
      <c r="B855" s="308"/>
      <c r="C855" s="293"/>
      <c r="D855" s="293"/>
      <c r="E855" s="293"/>
      <c r="F855" s="293"/>
      <c r="G855" s="293"/>
      <c r="H855" s="293"/>
      <c r="I855" s="293"/>
      <c r="J855" s="293"/>
      <c r="K855" s="293"/>
      <c r="L855" s="293"/>
      <c r="M855" s="293"/>
      <c r="N855" s="293"/>
      <c r="O855" s="293"/>
      <c r="P855" s="293"/>
      <c r="Q855" s="293"/>
      <c r="R855" s="293"/>
      <c r="S855" s="293"/>
      <c r="T855" s="293"/>
      <c r="U855" s="293"/>
      <c r="V855" s="293"/>
      <c r="W855" s="293"/>
      <c r="X855" s="293"/>
      <c r="Y855" s="293"/>
      <c r="Z855" s="293"/>
      <c r="AA855" s="293"/>
      <c r="AB855" s="293"/>
      <c r="AC855" s="293"/>
      <c r="AD855" s="293"/>
    </row>
    <row r="856">
      <c r="A856" s="293"/>
      <c r="B856" s="308"/>
      <c r="C856" s="293"/>
      <c r="D856" s="293"/>
      <c r="E856" s="293"/>
      <c r="F856" s="293"/>
      <c r="G856" s="293"/>
      <c r="H856" s="293"/>
      <c r="I856" s="293"/>
      <c r="J856" s="293"/>
      <c r="K856" s="293"/>
      <c r="L856" s="293"/>
      <c r="M856" s="293"/>
      <c r="N856" s="293"/>
      <c r="O856" s="293"/>
      <c r="P856" s="293"/>
      <c r="Q856" s="293"/>
      <c r="R856" s="293"/>
      <c r="S856" s="293"/>
      <c r="T856" s="293"/>
      <c r="U856" s="293"/>
      <c r="V856" s="293"/>
      <c r="W856" s="293"/>
      <c r="X856" s="293"/>
      <c r="Y856" s="293"/>
      <c r="Z856" s="293"/>
      <c r="AA856" s="293"/>
      <c r="AB856" s="293"/>
      <c r="AC856" s="293"/>
      <c r="AD856" s="293"/>
    </row>
    <row r="857">
      <c r="A857" s="293"/>
      <c r="B857" s="308"/>
      <c r="C857" s="293"/>
      <c r="D857" s="293"/>
      <c r="E857" s="293"/>
      <c r="F857" s="293"/>
      <c r="G857" s="293"/>
      <c r="H857" s="293"/>
      <c r="I857" s="293"/>
      <c r="J857" s="293"/>
      <c r="K857" s="293"/>
      <c r="L857" s="293"/>
      <c r="M857" s="293"/>
      <c r="N857" s="293"/>
      <c r="O857" s="293"/>
      <c r="P857" s="293"/>
      <c r="Q857" s="293"/>
      <c r="R857" s="293"/>
      <c r="S857" s="293"/>
      <c r="T857" s="293"/>
      <c r="U857" s="293"/>
      <c r="V857" s="293"/>
      <c r="W857" s="293"/>
      <c r="X857" s="293"/>
      <c r="Y857" s="293"/>
      <c r="Z857" s="293"/>
      <c r="AA857" s="293"/>
      <c r="AB857" s="293"/>
      <c r="AC857" s="293"/>
      <c r="AD857" s="293"/>
    </row>
    <row r="858">
      <c r="A858" s="293"/>
      <c r="B858" s="308"/>
      <c r="C858" s="293"/>
      <c r="D858" s="293"/>
      <c r="E858" s="293"/>
      <c r="F858" s="293"/>
      <c r="G858" s="293"/>
      <c r="H858" s="293"/>
      <c r="I858" s="293"/>
      <c r="J858" s="293"/>
      <c r="K858" s="293"/>
      <c r="L858" s="293"/>
      <c r="M858" s="293"/>
      <c r="N858" s="293"/>
      <c r="O858" s="293"/>
      <c r="P858" s="293"/>
      <c r="Q858" s="293"/>
      <c r="R858" s="293"/>
      <c r="S858" s="293"/>
      <c r="T858" s="293"/>
      <c r="U858" s="293"/>
      <c r="V858" s="293"/>
      <c r="W858" s="293"/>
      <c r="X858" s="293"/>
      <c r="Y858" s="293"/>
      <c r="Z858" s="293"/>
      <c r="AA858" s="293"/>
      <c r="AB858" s="293"/>
      <c r="AC858" s="293"/>
      <c r="AD858" s="293"/>
    </row>
    <row r="859">
      <c r="A859" s="293"/>
      <c r="B859" s="308"/>
      <c r="C859" s="293"/>
      <c r="D859" s="293"/>
      <c r="E859" s="293"/>
      <c r="F859" s="293"/>
      <c r="G859" s="293"/>
      <c r="H859" s="293"/>
      <c r="I859" s="293"/>
      <c r="J859" s="293"/>
      <c r="K859" s="293"/>
      <c r="L859" s="293"/>
      <c r="M859" s="293"/>
      <c r="N859" s="293"/>
      <c r="O859" s="293"/>
      <c r="P859" s="293"/>
      <c r="Q859" s="293"/>
      <c r="R859" s="293"/>
      <c r="S859" s="293"/>
      <c r="T859" s="293"/>
      <c r="U859" s="293"/>
      <c r="V859" s="293"/>
      <c r="W859" s="293"/>
      <c r="X859" s="293"/>
      <c r="Y859" s="293"/>
      <c r="Z859" s="293"/>
      <c r="AA859" s="293"/>
      <c r="AB859" s="293"/>
      <c r="AC859" s="293"/>
      <c r="AD859" s="293"/>
    </row>
    <row r="860">
      <c r="A860" s="293"/>
      <c r="B860" s="308"/>
      <c r="C860" s="293"/>
      <c r="D860" s="293"/>
      <c r="E860" s="293"/>
      <c r="F860" s="293"/>
      <c r="G860" s="293"/>
      <c r="H860" s="293"/>
      <c r="I860" s="293"/>
      <c r="J860" s="293"/>
      <c r="K860" s="293"/>
      <c r="L860" s="293"/>
      <c r="M860" s="293"/>
      <c r="N860" s="293"/>
      <c r="O860" s="293"/>
      <c r="P860" s="293"/>
      <c r="Q860" s="293"/>
      <c r="R860" s="293"/>
      <c r="S860" s="293"/>
      <c r="T860" s="293"/>
      <c r="U860" s="293"/>
      <c r="V860" s="293"/>
      <c r="W860" s="293"/>
      <c r="X860" s="293"/>
      <c r="Y860" s="293"/>
      <c r="Z860" s="293"/>
      <c r="AA860" s="293"/>
      <c r="AB860" s="293"/>
      <c r="AC860" s="293"/>
      <c r="AD860" s="293"/>
    </row>
    <row r="861">
      <c r="A861" s="293"/>
      <c r="B861" s="308"/>
      <c r="C861" s="293"/>
      <c r="D861" s="293"/>
      <c r="E861" s="293"/>
      <c r="F861" s="293"/>
      <c r="G861" s="293"/>
      <c r="H861" s="293"/>
      <c r="I861" s="293"/>
      <c r="J861" s="293"/>
      <c r="K861" s="293"/>
      <c r="L861" s="293"/>
      <c r="M861" s="293"/>
      <c r="N861" s="293"/>
      <c r="O861" s="293"/>
      <c r="P861" s="293"/>
      <c r="Q861" s="293"/>
      <c r="R861" s="293"/>
      <c r="S861" s="293"/>
      <c r="T861" s="293"/>
      <c r="U861" s="293"/>
      <c r="V861" s="293"/>
      <c r="W861" s="293"/>
      <c r="X861" s="293"/>
      <c r="Y861" s="293"/>
      <c r="Z861" s="293"/>
      <c r="AA861" s="293"/>
      <c r="AB861" s="293"/>
      <c r="AC861" s="293"/>
      <c r="AD861" s="293"/>
    </row>
    <row r="862">
      <c r="A862" s="293"/>
      <c r="B862" s="308"/>
      <c r="C862" s="293"/>
      <c r="D862" s="293"/>
      <c r="E862" s="293"/>
      <c r="F862" s="293"/>
      <c r="G862" s="293"/>
      <c r="H862" s="293"/>
      <c r="I862" s="293"/>
      <c r="J862" s="293"/>
      <c r="K862" s="293"/>
      <c r="L862" s="293"/>
      <c r="M862" s="293"/>
      <c r="N862" s="293"/>
      <c r="O862" s="293"/>
      <c r="P862" s="293"/>
      <c r="Q862" s="293"/>
      <c r="R862" s="293"/>
      <c r="S862" s="293"/>
      <c r="T862" s="293"/>
      <c r="U862" s="293"/>
      <c r="V862" s="293"/>
      <c r="W862" s="293"/>
      <c r="X862" s="293"/>
      <c r="Y862" s="293"/>
      <c r="Z862" s="293"/>
      <c r="AA862" s="293"/>
      <c r="AB862" s="293"/>
      <c r="AC862" s="293"/>
      <c r="AD862" s="293"/>
    </row>
    <row r="863">
      <c r="A863" s="293"/>
      <c r="B863" s="308"/>
      <c r="C863" s="293"/>
      <c r="D863" s="293"/>
      <c r="E863" s="293"/>
      <c r="F863" s="293"/>
      <c r="G863" s="293"/>
      <c r="H863" s="293"/>
      <c r="I863" s="293"/>
      <c r="J863" s="293"/>
      <c r="K863" s="293"/>
      <c r="L863" s="293"/>
      <c r="M863" s="293"/>
      <c r="N863" s="293"/>
      <c r="O863" s="293"/>
      <c r="P863" s="293"/>
      <c r="Q863" s="293"/>
      <c r="R863" s="293"/>
      <c r="S863" s="293"/>
      <c r="T863" s="293"/>
      <c r="U863" s="293"/>
      <c r="V863" s="293"/>
      <c r="W863" s="293"/>
      <c r="X863" s="293"/>
      <c r="Y863" s="293"/>
      <c r="Z863" s="293"/>
      <c r="AA863" s="293"/>
      <c r="AB863" s="293"/>
      <c r="AC863" s="293"/>
      <c r="AD863" s="293"/>
    </row>
    <row r="864">
      <c r="A864" s="293"/>
      <c r="B864" s="308"/>
      <c r="C864" s="293"/>
      <c r="D864" s="293"/>
      <c r="E864" s="293"/>
      <c r="F864" s="293"/>
      <c r="G864" s="293"/>
      <c r="H864" s="293"/>
      <c r="I864" s="293"/>
      <c r="J864" s="293"/>
      <c r="K864" s="293"/>
      <c r="L864" s="293"/>
      <c r="M864" s="293"/>
      <c r="N864" s="293"/>
      <c r="O864" s="293"/>
      <c r="P864" s="293"/>
      <c r="Q864" s="293"/>
      <c r="R864" s="293"/>
      <c r="S864" s="293"/>
      <c r="T864" s="293"/>
      <c r="U864" s="293"/>
      <c r="V864" s="293"/>
      <c r="W864" s="293"/>
      <c r="X864" s="293"/>
      <c r="Y864" s="293"/>
      <c r="Z864" s="293"/>
      <c r="AA864" s="293"/>
      <c r="AB864" s="293"/>
      <c r="AC864" s="293"/>
      <c r="AD864" s="293"/>
    </row>
    <row r="865">
      <c r="A865" s="293"/>
      <c r="B865" s="308"/>
      <c r="C865" s="293"/>
      <c r="D865" s="293"/>
      <c r="E865" s="293"/>
      <c r="F865" s="293"/>
      <c r="G865" s="293"/>
      <c r="H865" s="293"/>
      <c r="I865" s="293"/>
      <c r="J865" s="293"/>
      <c r="K865" s="293"/>
      <c r="L865" s="293"/>
      <c r="M865" s="293"/>
      <c r="N865" s="293"/>
      <c r="O865" s="293"/>
      <c r="P865" s="293"/>
      <c r="Q865" s="293"/>
      <c r="R865" s="293"/>
      <c r="S865" s="293"/>
      <c r="T865" s="293"/>
      <c r="U865" s="293"/>
      <c r="V865" s="293"/>
      <c r="W865" s="293"/>
      <c r="X865" s="293"/>
      <c r="Y865" s="293"/>
      <c r="Z865" s="293"/>
      <c r="AA865" s="293"/>
      <c r="AB865" s="293"/>
      <c r="AC865" s="293"/>
      <c r="AD865" s="293"/>
    </row>
    <row r="866">
      <c r="A866" s="293"/>
      <c r="B866" s="308"/>
      <c r="C866" s="293"/>
      <c r="D866" s="293"/>
      <c r="E866" s="293"/>
      <c r="F866" s="293"/>
      <c r="G866" s="293"/>
      <c r="H866" s="293"/>
      <c r="I866" s="293"/>
      <c r="J866" s="293"/>
      <c r="K866" s="293"/>
      <c r="L866" s="293"/>
      <c r="M866" s="293"/>
      <c r="N866" s="293"/>
      <c r="O866" s="293"/>
      <c r="P866" s="293"/>
      <c r="Q866" s="293"/>
      <c r="R866" s="293"/>
      <c r="S866" s="293"/>
      <c r="T866" s="293"/>
      <c r="U866" s="293"/>
      <c r="V866" s="293"/>
      <c r="W866" s="293"/>
      <c r="X866" s="293"/>
      <c r="Y866" s="293"/>
      <c r="Z866" s="293"/>
      <c r="AA866" s="293"/>
      <c r="AB866" s="293"/>
      <c r="AC866" s="293"/>
      <c r="AD866" s="293"/>
    </row>
    <row r="867">
      <c r="A867" s="293"/>
      <c r="B867" s="308"/>
      <c r="C867" s="293"/>
      <c r="D867" s="293"/>
      <c r="E867" s="293"/>
      <c r="F867" s="293"/>
      <c r="G867" s="293"/>
      <c r="H867" s="293"/>
      <c r="I867" s="293"/>
      <c r="J867" s="293"/>
      <c r="K867" s="293"/>
      <c r="L867" s="293"/>
      <c r="M867" s="293"/>
      <c r="N867" s="293"/>
      <c r="O867" s="293"/>
      <c r="P867" s="293"/>
      <c r="Q867" s="293"/>
      <c r="R867" s="293"/>
      <c r="S867" s="293"/>
      <c r="T867" s="293"/>
      <c r="U867" s="293"/>
      <c r="V867" s="293"/>
      <c r="W867" s="293"/>
      <c r="X867" s="293"/>
      <c r="Y867" s="293"/>
      <c r="Z867" s="293"/>
      <c r="AA867" s="293"/>
      <c r="AB867" s="293"/>
      <c r="AC867" s="293"/>
      <c r="AD867" s="293"/>
    </row>
    <row r="868">
      <c r="A868" s="293"/>
      <c r="B868" s="308"/>
      <c r="C868" s="293"/>
      <c r="D868" s="293"/>
      <c r="E868" s="293"/>
      <c r="F868" s="293"/>
      <c r="G868" s="293"/>
      <c r="H868" s="293"/>
      <c r="I868" s="293"/>
      <c r="J868" s="293"/>
      <c r="K868" s="293"/>
      <c r="L868" s="293"/>
      <c r="M868" s="293"/>
      <c r="N868" s="293"/>
      <c r="O868" s="293"/>
      <c r="P868" s="293"/>
      <c r="Q868" s="293"/>
      <c r="R868" s="293"/>
      <c r="S868" s="293"/>
      <c r="T868" s="293"/>
      <c r="U868" s="293"/>
      <c r="V868" s="293"/>
      <c r="W868" s="293"/>
      <c r="X868" s="293"/>
      <c r="Y868" s="293"/>
      <c r="Z868" s="293"/>
      <c r="AA868" s="293"/>
      <c r="AB868" s="293"/>
      <c r="AC868" s="293"/>
      <c r="AD868" s="293"/>
    </row>
    <row r="869">
      <c r="A869" s="293"/>
      <c r="B869" s="308"/>
      <c r="C869" s="293"/>
      <c r="D869" s="293"/>
      <c r="E869" s="293"/>
      <c r="F869" s="293"/>
      <c r="G869" s="293"/>
      <c r="H869" s="293"/>
      <c r="I869" s="293"/>
      <c r="J869" s="293"/>
      <c r="K869" s="293"/>
      <c r="L869" s="293"/>
      <c r="M869" s="293"/>
      <c r="N869" s="293"/>
      <c r="O869" s="293"/>
      <c r="P869" s="293"/>
      <c r="Q869" s="293"/>
      <c r="R869" s="293"/>
      <c r="S869" s="293"/>
      <c r="T869" s="293"/>
      <c r="U869" s="293"/>
      <c r="V869" s="293"/>
      <c r="W869" s="293"/>
      <c r="X869" s="293"/>
      <c r="Y869" s="293"/>
      <c r="Z869" s="293"/>
      <c r="AA869" s="293"/>
      <c r="AB869" s="293"/>
      <c r="AC869" s="293"/>
      <c r="AD869" s="293"/>
    </row>
    <row r="870">
      <c r="A870" s="293"/>
      <c r="B870" s="308"/>
      <c r="C870" s="293"/>
      <c r="D870" s="293"/>
      <c r="E870" s="293"/>
      <c r="F870" s="293"/>
      <c r="G870" s="293"/>
      <c r="H870" s="293"/>
      <c r="I870" s="293"/>
      <c r="J870" s="293"/>
      <c r="K870" s="293"/>
      <c r="L870" s="293"/>
      <c r="M870" s="293"/>
      <c r="N870" s="293"/>
      <c r="O870" s="293"/>
      <c r="P870" s="293"/>
      <c r="Q870" s="293"/>
      <c r="R870" s="293"/>
      <c r="S870" s="293"/>
      <c r="T870" s="293"/>
      <c r="U870" s="293"/>
      <c r="V870" s="293"/>
      <c r="W870" s="293"/>
      <c r="X870" s="293"/>
      <c r="Y870" s="293"/>
      <c r="Z870" s="293"/>
      <c r="AA870" s="293"/>
      <c r="AB870" s="293"/>
      <c r="AC870" s="293"/>
      <c r="AD870" s="293"/>
    </row>
    <row r="871">
      <c r="A871" s="293"/>
      <c r="B871" s="308"/>
      <c r="C871" s="293"/>
      <c r="D871" s="293"/>
      <c r="E871" s="293"/>
      <c r="F871" s="293"/>
      <c r="G871" s="293"/>
      <c r="H871" s="293"/>
      <c r="I871" s="293"/>
      <c r="J871" s="293"/>
      <c r="K871" s="293"/>
      <c r="L871" s="293"/>
      <c r="M871" s="293"/>
      <c r="N871" s="293"/>
      <c r="O871" s="293"/>
      <c r="P871" s="293"/>
      <c r="Q871" s="293"/>
      <c r="R871" s="293"/>
      <c r="S871" s="293"/>
      <c r="T871" s="293"/>
      <c r="U871" s="293"/>
      <c r="V871" s="293"/>
      <c r="W871" s="293"/>
      <c r="X871" s="293"/>
      <c r="Y871" s="293"/>
      <c r="Z871" s="293"/>
      <c r="AA871" s="293"/>
      <c r="AB871" s="293"/>
      <c r="AC871" s="293"/>
      <c r="AD871" s="293"/>
    </row>
    <row r="872">
      <c r="A872" s="293"/>
      <c r="B872" s="308"/>
      <c r="C872" s="293"/>
      <c r="D872" s="293"/>
      <c r="E872" s="293"/>
      <c r="F872" s="293"/>
      <c r="G872" s="293"/>
      <c r="H872" s="293"/>
      <c r="I872" s="293"/>
      <c r="J872" s="293"/>
      <c r="K872" s="293"/>
      <c r="L872" s="293"/>
      <c r="M872" s="293"/>
      <c r="N872" s="293"/>
      <c r="O872" s="293"/>
      <c r="P872" s="293"/>
      <c r="Q872" s="293"/>
      <c r="R872" s="293"/>
      <c r="S872" s="293"/>
      <c r="T872" s="293"/>
      <c r="U872" s="293"/>
      <c r="V872" s="293"/>
      <c r="W872" s="293"/>
      <c r="X872" s="293"/>
      <c r="Y872" s="293"/>
      <c r="Z872" s="293"/>
      <c r="AA872" s="293"/>
      <c r="AB872" s="293"/>
      <c r="AC872" s="293"/>
      <c r="AD872" s="293"/>
    </row>
    <row r="873">
      <c r="A873" s="293"/>
      <c r="B873" s="308"/>
      <c r="C873" s="293"/>
      <c r="D873" s="293"/>
      <c r="E873" s="293"/>
      <c r="F873" s="293"/>
      <c r="G873" s="293"/>
      <c r="H873" s="293"/>
      <c r="I873" s="293"/>
      <c r="J873" s="293"/>
      <c r="K873" s="293"/>
      <c r="L873" s="293"/>
      <c r="M873" s="293"/>
      <c r="N873" s="293"/>
      <c r="O873" s="293"/>
      <c r="P873" s="293"/>
      <c r="Q873" s="293"/>
      <c r="R873" s="293"/>
      <c r="S873" s="293"/>
      <c r="T873" s="293"/>
      <c r="U873" s="293"/>
      <c r="V873" s="293"/>
      <c r="W873" s="293"/>
      <c r="X873" s="293"/>
      <c r="Y873" s="293"/>
      <c r="Z873" s="293"/>
      <c r="AA873" s="293"/>
      <c r="AB873" s="293"/>
      <c r="AC873" s="293"/>
      <c r="AD873" s="293"/>
    </row>
    <row r="874">
      <c r="A874" s="293"/>
      <c r="B874" s="308"/>
      <c r="C874" s="293"/>
      <c r="D874" s="293"/>
      <c r="E874" s="293"/>
      <c r="F874" s="293"/>
      <c r="G874" s="293"/>
      <c r="H874" s="293"/>
      <c r="I874" s="293"/>
      <c r="J874" s="293"/>
      <c r="K874" s="293"/>
      <c r="L874" s="293"/>
      <c r="M874" s="293"/>
      <c r="N874" s="293"/>
      <c r="O874" s="293"/>
      <c r="P874" s="293"/>
      <c r="Q874" s="293"/>
      <c r="R874" s="293"/>
      <c r="S874" s="293"/>
      <c r="T874" s="293"/>
      <c r="U874" s="293"/>
      <c r="V874" s="293"/>
      <c r="W874" s="293"/>
      <c r="X874" s="293"/>
      <c r="Y874" s="293"/>
      <c r="Z874" s="293"/>
      <c r="AA874" s="293"/>
      <c r="AB874" s="293"/>
      <c r="AC874" s="293"/>
      <c r="AD874" s="293"/>
    </row>
    <row r="875">
      <c r="A875" s="293"/>
      <c r="B875" s="308"/>
      <c r="C875" s="293"/>
      <c r="D875" s="293"/>
      <c r="E875" s="293"/>
      <c r="F875" s="293"/>
      <c r="G875" s="293"/>
      <c r="H875" s="293"/>
      <c r="I875" s="293"/>
      <c r="J875" s="293"/>
      <c r="K875" s="293"/>
      <c r="L875" s="293"/>
      <c r="M875" s="293"/>
      <c r="N875" s="293"/>
      <c r="O875" s="293"/>
      <c r="P875" s="293"/>
      <c r="Q875" s="293"/>
      <c r="R875" s="293"/>
      <c r="S875" s="293"/>
      <c r="T875" s="293"/>
      <c r="U875" s="293"/>
      <c r="V875" s="293"/>
      <c r="W875" s="293"/>
      <c r="X875" s="293"/>
      <c r="Y875" s="293"/>
      <c r="Z875" s="293"/>
      <c r="AA875" s="293"/>
      <c r="AB875" s="293"/>
      <c r="AC875" s="293"/>
      <c r="AD875" s="293"/>
    </row>
    <row r="876">
      <c r="A876" s="293"/>
      <c r="B876" s="308"/>
      <c r="C876" s="293"/>
      <c r="D876" s="293"/>
      <c r="E876" s="293"/>
      <c r="F876" s="293"/>
      <c r="G876" s="293"/>
      <c r="H876" s="293"/>
      <c r="I876" s="293"/>
      <c r="J876" s="293"/>
      <c r="K876" s="293"/>
      <c r="L876" s="293"/>
      <c r="M876" s="293"/>
      <c r="N876" s="293"/>
      <c r="O876" s="293"/>
      <c r="P876" s="293"/>
      <c r="Q876" s="293"/>
      <c r="R876" s="293"/>
      <c r="S876" s="293"/>
      <c r="T876" s="293"/>
      <c r="U876" s="293"/>
      <c r="V876" s="293"/>
      <c r="W876" s="293"/>
      <c r="X876" s="293"/>
      <c r="Y876" s="293"/>
      <c r="Z876" s="293"/>
      <c r="AA876" s="293"/>
      <c r="AB876" s="293"/>
      <c r="AC876" s="293"/>
      <c r="AD876" s="293"/>
    </row>
    <row r="877">
      <c r="A877" s="293"/>
      <c r="B877" s="308"/>
      <c r="C877" s="293"/>
      <c r="D877" s="293"/>
      <c r="E877" s="293"/>
      <c r="F877" s="293"/>
      <c r="G877" s="293"/>
      <c r="H877" s="293"/>
      <c r="I877" s="293"/>
      <c r="J877" s="293"/>
      <c r="K877" s="293"/>
      <c r="L877" s="293"/>
      <c r="M877" s="293"/>
      <c r="N877" s="293"/>
      <c r="O877" s="293"/>
      <c r="P877" s="293"/>
      <c r="Q877" s="293"/>
      <c r="R877" s="293"/>
      <c r="S877" s="293"/>
      <c r="T877" s="293"/>
      <c r="U877" s="293"/>
      <c r="V877" s="293"/>
      <c r="W877" s="293"/>
      <c r="X877" s="293"/>
      <c r="Y877" s="293"/>
      <c r="Z877" s="293"/>
      <c r="AA877" s="293"/>
      <c r="AB877" s="293"/>
      <c r="AC877" s="293"/>
      <c r="AD877" s="293"/>
    </row>
    <row r="878">
      <c r="A878" s="293"/>
      <c r="B878" s="308"/>
      <c r="C878" s="293"/>
      <c r="D878" s="293"/>
      <c r="E878" s="293"/>
      <c r="F878" s="293"/>
      <c r="G878" s="293"/>
      <c r="H878" s="293"/>
      <c r="I878" s="293"/>
      <c r="J878" s="293"/>
      <c r="K878" s="293"/>
      <c r="L878" s="293"/>
      <c r="M878" s="293"/>
      <c r="N878" s="293"/>
      <c r="O878" s="293"/>
      <c r="P878" s="293"/>
      <c r="Q878" s="293"/>
      <c r="R878" s="293"/>
      <c r="S878" s="293"/>
      <c r="T878" s="293"/>
      <c r="U878" s="293"/>
      <c r="V878" s="293"/>
      <c r="W878" s="293"/>
      <c r="X878" s="293"/>
      <c r="Y878" s="293"/>
      <c r="Z878" s="293"/>
      <c r="AA878" s="293"/>
      <c r="AB878" s="293"/>
      <c r="AC878" s="293"/>
      <c r="AD878" s="293"/>
    </row>
    <row r="879">
      <c r="A879" s="293"/>
      <c r="B879" s="308"/>
      <c r="C879" s="293"/>
      <c r="D879" s="293"/>
      <c r="E879" s="293"/>
      <c r="F879" s="293"/>
      <c r="G879" s="293"/>
      <c r="H879" s="293"/>
      <c r="I879" s="293"/>
      <c r="J879" s="293"/>
      <c r="K879" s="293"/>
      <c r="L879" s="293"/>
      <c r="M879" s="293"/>
      <c r="N879" s="293"/>
      <c r="O879" s="293"/>
      <c r="P879" s="293"/>
      <c r="Q879" s="293"/>
      <c r="R879" s="293"/>
      <c r="S879" s="293"/>
      <c r="T879" s="293"/>
      <c r="U879" s="293"/>
      <c r="V879" s="293"/>
      <c r="W879" s="293"/>
      <c r="X879" s="293"/>
      <c r="Y879" s="293"/>
      <c r="Z879" s="293"/>
      <c r="AA879" s="293"/>
      <c r="AB879" s="293"/>
      <c r="AC879" s="293"/>
      <c r="AD879" s="293"/>
    </row>
    <row r="880">
      <c r="A880" s="293"/>
      <c r="B880" s="308"/>
      <c r="C880" s="293"/>
      <c r="D880" s="293"/>
      <c r="E880" s="293"/>
      <c r="F880" s="293"/>
      <c r="G880" s="293"/>
      <c r="H880" s="293"/>
      <c r="I880" s="293"/>
      <c r="J880" s="293"/>
      <c r="K880" s="293"/>
      <c r="L880" s="293"/>
      <c r="M880" s="293"/>
      <c r="N880" s="293"/>
      <c r="O880" s="293"/>
      <c r="P880" s="293"/>
      <c r="Q880" s="293"/>
      <c r="R880" s="293"/>
      <c r="S880" s="293"/>
      <c r="T880" s="293"/>
      <c r="U880" s="293"/>
      <c r="V880" s="293"/>
      <c r="W880" s="293"/>
      <c r="X880" s="293"/>
      <c r="Y880" s="293"/>
      <c r="Z880" s="293"/>
      <c r="AA880" s="293"/>
      <c r="AB880" s="293"/>
      <c r="AC880" s="293"/>
      <c r="AD880" s="293"/>
    </row>
    <row r="881">
      <c r="A881" s="293"/>
      <c r="B881" s="308"/>
      <c r="C881" s="293"/>
      <c r="D881" s="293"/>
      <c r="E881" s="293"/>
      <c r="F881" s="293"/>
      <c r="G881" s="293"/>
      <c r="H881" s="293"/>
      <c r="I881" s="293"/>
      <c r="J881" s="293"/>
      <c r="K881" s="293"/>
      <c r="L881" s="293"/>
      <c r="M881" s="293"/>
      <c r="N881" s="293"/>
      <c r="O881" s="293"/>
      <c r="P881" s="293"/>
      <c r="Q881" s="293"/>
      <c r="R881" s="293"/>
      <c r="S881" s="293"/>
      <c r="T881" s="293"/>
      <c r="U881" s="293"/>
      <c r="V881" s="293"/>
      <c r="W881" s="293"/>
      <c r="X881" s="293"/>
      <c r="Y881" s="293"/>
      <c r="Z881" s="293"/>
      <c r="AA881" s="293"/>
      <c r="AB881" s="293"/>
      <c r="AC881" s="293"/>
      <c r="AD881" s="293"/>
    </row>
    <row r="882">
      <c r="A882" s="293"/>
      <c r="B882" s="308"/>
      <c r="C882" s="293"/>
      <c r="D882" s="293"/>
      <c r="E882" s="293"/>
      <c r="F882" s="293"/>
      <c r="G882" s="293"/>
      <c r="H882" s="293"/>
      <c r="I882" s="293"/>
      <c r="J882" s="293"/>
      <c r="K882" s="293"/>
      <c r="L882" s="293"/>
      <c r="M882" s="293"/>
      <c r="N882" s="293"/>
      <c r="O882" s="293"/>
      <c r="P882" s="293"/>
      <c r="Q882" s="293"/>
      <c r="R882" s="293"/>
      <c r="S882" s="293"/>
      <c r="T882" s="293"/>
      <c r="U882" s="293"/>
      <c r="V882" s="293"/>
      <c r="W882" s="293"/>
      <c r="X882" s="293"/>
      <c r="Y882" s="293"/>
      <c r="Z882" s="293"/>
      <c r="AA882" s="293"/>
      <c r="AB882" s="293"/>
      <c r="AC882" s="293"/>
      <c r="AD882" s="293"/>
    </row>
    <row r="883">
      <c r="A883" s="293"/>
      <c r="B883" s="308"/>
      <c r="C883" s="293"/>
      <c r="D883" s="293"/>
      <c r="E883" s="293"/>
      <c r="F883" s="293"/>
      <c r="G883" s="293"/>
      <c r="H883" s="293"/>
      <c r="I883" s="293"/>
      <c r="J883" s="293"/>
      <c r="K883" s="293"/>
      <c r="L883" s="293"/>
      <c r="M883" s="293"/>
      <c r="N883" s="293"/>
      <c r="O883" s="293"/>
      <c r="P883" s="293"/>
      <c r="Q883" s="293"/>
      <c r="R883" s="293"/>
      <c r="S883" s="293"/>
      <c r="T883" s="293"/>
      <c r="U883" s="293"/>
      <c r="V883" s="293"/>
      <c r="W883" s="293"/>
      <c r="X883" s="293"/>
      <c r="Y883" s="293"/>
      <c r="Z883" s="293"/>
      <c r="AA883" s="293"/>
      <c r="AB883" s="293"/>
      <c r="AC883" s="293"/>
      <c r="AD883" s="293"/>
    </row>
    <row r="884">
      <c r="A884" s="293"/>
      <c r="B884" s="308"/>
      <c r="C884" s="293"/>
      <c r="D884" s="293"/>
      <c r="E884" s="293"/>
      <c r="F884" s="293"/>
      <c r="G884" s="293"/>
      <c r="H884" s="293"/>
      <c r="I884" s="293"/>
      <c r="J884" s="293"/>
      <c r="K884" s="293"/>
      <c r="L884" s="293"/>
      <c r="M884" s="293"/>
      <c r="N884" s="293"/>
      <c r="O884" s="293"/>
      <c r="P884" s="293"/>
      <c r="Q884" s="293"/>
      <c r="R884" s="293"/>
      <c r="S884" s="293"/>
      <c r="T884" s="293"/>
      <c r="U884" s="293"/>
      <c r="V884" s="293"/>
      <c r="W884" s="293"/>
      <c r="X884" s="293"/>
      <c r="Y884" s="293"/>
      <c r="Z884" s="293"/>
      <c r="AA884" s="293"/>
      <c r="AB884" s="293"/>
      <c r="AC884" s="293"/>
      <c r="AD884" s="293"/>
    </row>
    <row r="885">
      <c r="A885" s="293"/>
      <c r="B885" s="308"/>
      <c r="C885" s="293"/>
      <c r="D885" s="293"/>
      <c r="E885" s="293"/>
      <c r="F885" s="293"/>
      <c r="G885" s="293"/>
      <c r="H885" s="293"/>
      <c r="I885" s="293"/>
      <c r="J885" s="293"/>
      <c r="K885" s="293"/>
      <c r="L885" s="293"/>
      <c r="M885" s="293"/>
      <c r="N885" s="293"/>
      <c r="O885" s="293"/>
      <c r="P885" s="293"/>
      <c r="Q885" s="293"/>
      <c r="R885" s="293"/>
      <c r="S885" s="293"/>
      <c r="T885" s="293"/>
      <c r="U885" s="293"/>
      <c r="V885" s="293"/>
      <c r="W885" s="293"/>
      <c r="X885" s="293"/>
      <c r="Y885" s="293"/>
      <c r="Z885" s="293"/>
      <c r="AA885" s="293"/>
      <c r="AB885" s="293"/>
      <c r="AC885" s="293"/>
      <c r="AD885" s="293"/>
    </row>
    <row r="886">
      <c r="A886" s="293"/>
      <c r="B886" s="308"/>
      <c r="C886" s="293"/>
      <c r="D886" s="293"/>
      <c r="E886" s="293"/>
      <c r="F886" s="293"/>
      <c r="G886" s="293"/>
      <c r="H886" s="293"/>
      <c r="I886" s="293"/>
      <c r="J886" s="293"/>
      <c r="K886" s="293"/>
      <c r="L886" s="293"/>
      <c r="M886" s="293"/>
      <c r="N886" s="293"/>
      <c r="O886" s="293"/>
      <c r="P886" s="293"/>
      <c r="Q886" s="293"/>
      <c r="R886" s="293"/>
      <c r="S886" s="293"/>
      <c r="T886" s="293"/>
      <c r="U886" s="293"/>
      <c r="V886" s="293"/>
      <c r="W886" s="293"/>
      <c r="X886" s="293"/>
      <c r="Y886" s="293"/>
      <c r="Z886" s="293"/>
      <c r="AA886" s="293"/>
      <c r="AB886" s="293"/>
      <c r="AC886" s="293"/>
      <c r="AD886" s="293"/>
    </row>
    <row r="887">
      <c r="A887" s="293"/>
      <c r="B887" s="308"/>
      <c r="C887" s="293"/>
      <c r="D887" s="293"/>
      <c r="E887" s="293"/>
      <c r="F887" s="293"/>
      <c r="G887" s="293"/>
      <c r="H887" s="293"/>
      <c r="I887" s="293"/>
      <c r="J887" s="293"/>
      <c r="K887" s="293"/>
      <c r="L887" s="293"/>
      <c r="M887" s="293"/>
      <c r="N887" s="293"/>
      <c r="O887" s="293"/>
      <c r="P887" s="293"/>
      <c r="Q887" s="293"/>
      <c r="R887" s="293"/>
      <c r="S887" s="293"/>
      <c r="T887" s="293"/>
      <c r="U887" s="293"/>
      <c r="V887" s="293"/>
      <c r="W887" s="293"/>
      <c r="X887" s="293"/>
      <c r="Y887" s="293"/>
      <c r="Z887" s="293"/>
      <c r="AA887" s="293"/>
      <c r="AB887" s="293"/>
      <c r="AC887" s="293"/>
      <c r="AD887" s="293"/>
    </row>
    <row r="888">
      <c r="A888" s="293"/>
      <c r="B888" s="308"/>
      <c r="C888" s="293"/>
      <c r="D888" s="293"/>
      <c r="E888" s="293"/>
      <c r="F888" s="293"/>
      <c r="G888" s="293"/>
      <c r="H888" s="293"/>
      <c r="I888" s="293"/>
      <c r="J888" s="293"/>
      <c r="K888" s="293"/>
      <c r="L888" s="293"/>
      <c r="M888" s="293"/>
      <c r="N888" s="293"/>
      <c r="O888" s="293"/>
      <c r="P888" s="293"/>
      <c r="Q888" s="293"/>
      <c r="R888" s="293"/>
      <c r="S888" s="293"/>
      <c r="T888" s="293"/>
      <c r="U888" s="293"/>
      <c r="V888" s="293"/>
      <c r="W888" s="293"/>
      <c r="X888" s="293"/>
      <c r="Y888" s="293"/>
      <c r="Z888" s="293"/>
      <c r="AA888" s="293"/>
      <c r="AB888" s="293"/>
      <c r="AC888" s="293"/>
      <c r="AD888" s="293"/>
    </row>
    <row r="889">
      <c r="A889" s="293"/>
      <c r="B889" s="308"/>
      <c r="C889" s="293"/>
      <c r="D889" s="293"/>
      <c r="E889" s="293"/>
      <c r="F889" s="293"/>
      <c r="G889" s="293"/>
      <c r="H889" s="293"/>
      <c r="I889" s="293"/>
      <c r="J889" s="293"/>
      <c r="K889" s="293"/>
      <c r="L889" s="293"/>
      <c r="M889" s="293"/>
      <c r="N889" s="293"/>
      <c r="O889" s="293"/>
      <c r="P889" s="293"/>
      <c r="Q889" s="293"/>
      <c r="R889" s="293"/>
      <c r="S889" s="293"/>
      <c r="T889" s="293"/>
      <c r="U889" s="293"/>
      <c r="V889" s="293"/>
      <c r="W889" s="293"/>
      <c r="X889" s="293"/>
      <c r="Y889" s="293"/>
      <c r="Z889" s="293"/>
      <c r="AA889" s="293"/>
      <c r="AB889" s="293"/>
      <c r="AC889" s="293"/>
      <c r="AD889" s="293"/>
    </row>
    <row r="890">
      <c r="A890" s="293"/>
      <c r="B890" s="308"/>
      <c r="C890" s="293"/>
      <c r="D890" s="293"/>
      <c r="E890" s="293"/>
      <c r="F890" s="293"/>
      <c r="G890" s="293"/>
      <c r="H890" s="293"/>
      <c r="I890" s="293"/>
      <c r="J890" s="293"/>
      <c r="K890" s="293"/>
      <c r="L890" s="293"/>
      <c r="M890" s="293"/>
      <c r="N890" s="293"/>
      <c r="O890" s="293"/>
      <c r="P890" s="293"/>
      <c r="Q890" s="293"/>
      <c r="R890" s="293"/>
      <c r="S890" s="293"/>
      <c r="T890" s="293"/>
      <c r="U890" s="293"/>
      <c r="V890" s="293"/>
      <c r="W890" s="293"/>
      <c r="X890" s="293"/>
      <c r="Y890" s="293"/>
      <c r="Z890" s="293"/>
      <c r="AA890" s="293"/>
      <c r="AB890" s="293"/>
      <c r="AC890" s="293"/>
      <c r="AD890" s="293"/>
    </row>
    <row r="891">
      <c r="A891" s="293"/>
      <c r="B891" s="308"/>
      <c r="C891" s="293"/>
      <c r="D891" s="293"/>
      <c r="E891" s="293"/>
      <c r="F891" s="293"/>
      <c r="G891" s="293"/>
      <c r="H891" s="293"/>
      <c r="I891" s="293"/>
      <c r="J891" s="293"/>
      <c r="K891" s="293"/>
      <c r="L891" s="293"/>
      <c r="M891" s="293"/>
      <c r="N891" s="293"/>
      <c r="O891" s="293"/>
      <c r="P891" s="293"/>
      <c r="Q891" s="293"/>
      <c r="R891" s="293"/>
      <c r="S891" s="293"/>
      <c r="T891" s="293"/>
      <c r="U891" s="293"/>
      <c r="V891" s="293"/>
      <c r="W891" s="293"/>
      <c r="X891" s="293"/>
      <c r="Y891" s="293"/>
      <c r="Z891" s="293"/>
      <c r="AA891" s="293"/>
      <c r="AB891" s="293"/>
      <c r="AC891" s="293"/>
      <c r="AD891" s="293"/>
    </row>
    <row r="892">
      <c r="A892" s="293"/>
      <c r="B892" s="308"/>
      <c r="C892" s="293"/>
      <c r="D892" s="293"/>
      <c r="E892" s="293"/>
      <c r="F892" s="293"/>
      <c r="G892" s="293"/>
      <c r="H892" s="293"/>
      <c r="I892" s="293"/>
      <c r="J892" s="293"/>
      <c r="K892" s="293"/>
      <c r="L892" s="293"/>
      <c r="M892" s="293"/>
      <c r="N892" s="293"/>
      <c r="O892" s="293"/>
      <c r="P892" s="293"/>
      <c r="Q892" s="293"/>
      <c r="R892" s="293"/>
      <c r="S892" s="293"/>
      <c r="T892" s="293"/>
      <c r="U892" s="293"/>
      <c r="V892" s="293"/>
      <c r="W892" s="293"/>
      <c r="X892" s="293"/>
      <c r="Y892" s="293"/>
      <c r="Z892" s="293"/>
      <c r="AA892" s="293"/>
      <c r="AB892" s="293"/>
      <c r="AC892" s="293"/>
      <c r="AD892" s="293"/>
    </row>
    <row r="893">
      <c r="A893" s="293"/>
      <c r="B893" s="308"/>
      <c r="C893" s="293"/>
      <c r="D893" s="293"/>
      <c r="E893" s="293"/>
      <c r="F893" s="293"/>
      <c r="G893" s="293"/>
      <c r="H893" s="293"/>
      <c r="I893" s="293"/>
      <c r="J893" s="293"/>
      <c r="K893" s="293"/>
      <c r="L893" s="293"/>
      <c r="M893" s="293"/>
      <c r="N893" s="293"/>
      <c r="O893" s="293"/>
      <c r="P893" s="293"/>
      <c r="Q893" s="293"/>
      <c r="R893" s="293"/>
      <c r="S893" s="293"/>
      <c r="T893" s="293"/>
      <c r="U893" s="293"/>
      <c r="V893" s="293"/>
      <c r="W893" s="293"/>
      <c r="X893" s="293"/>
      <c r="Y893" s="293"/>
      <c r="Z893" s="293"/>
      <c r="AA893" s="293"/>
      <c r="AB893" s="293"/>
      <c r="AC893" s="293"/>
      <c r="AD893" s="293"/>
    </row>
    <row r="894">
      <c r="A894" s="293"/>
      <c r="B894" s="308"/>
      <c r="C894" s="293"/>
      <c r="D894" s="293"/>
      <c r="E894" s="293"/>
      <c r="F894" s="293"/>
      <c r="G894" s="293"/>
      <c r="H894" s="293"/>
      <c r="I894" s="293"/>
      <c r="J894" s="293"/>
      <c r="K894" s="293"/>
      <c r="L894" s="293"/>
      <c r="M894" s="293"/>
      <c r="N894" s="293"/>
      <c r="O894" s="293"/>
      <c r="P894" s="293"/>
      <c r="Q894" s="293"/>
      <c r="R894" s="293"/>
      <c r="S894" s="293"/>
      <c r="T894" s="293"/>
      <c r="U894" s="293"/>
      <c r="V894" s="293"/>
      <c r="W894" s="293"/>
      <c r="X894" s="293"/>
      <c r="Y894" s="293"/>
      <c r="Z894" s="293"/>
      <c r="AA894" s="293"/>
      <c r="AB894" s="293"/>
      <c r="AC894" s="293"/>
      <c r="AD894" s="293"/>
    </row>
    <row r="895">
      <c r="A895" s="293"/>
      <c r="B895" s="308"/>
      <c r="C895" s="293"/>
      <c r="D895" s="293"/>
      <c r="E895" s="293"/>
      <c r="F895" s="293"/>
      <c r="G895" s="293"/>
      <c r="H895" s="293"/>
      <c r="I895" s="293"/>
      <c r="J895" s="293"/>
      <c r="K895" s="293"/>
      <c r="L895" s="293"/>
      <c r="M895" s="293"/>
      <c r="N895" s="293"/>
      <c r="O895" s="293"/>
      <c r="P895" s="293"/>
      <c r="Q895" s="293"/>
      <c r="R895" s="293"/>
      <c r="S895" s="293"/>
      <c r="T895" s="293"/>
      <c r="U895" s="293"/>
      <c r="V895" s="293"/>
      <c r="W895" s="293"/>
      <c r="X895" s="293"/>
      <c r="Y895" s="293"/>
      <c r="Z895" s="293"/>
      <c r="AA895" s="293"/>
      <c r="AB895" s="293"/>
      <c r="AC895" s="293"/>
      <c r="AD895" s="293"/>
    </row>
    <row r="896">
      <c r="A896" s="293"/>
      <c r="B896" s="308"/>
      <c r="C896" s="293"/>
      <c r="D896" s="293"/>
      <c r="E896" s="293"/>
      <c r="F896" s="293"/>
      <c r="G896" s="293"/>
      <c r="H896" s="293"/>
      <c r="I896" s="293"/>
      <c r="J896" s="293"/>
      <c r="K896" s="293"/>
      <c r="L896" s="293"/>
      <c r="M896" s="293"/>
      <c r="N896" s="293"/>
      <c r="O896" s="293"/>
      <c r="P896" s="293"/>
      <c r="Q896" s="293"/>
      <c r="R896" s="293"/>
      <c r="S896" s="293"/>
      <c r="T896" s="293"/>
      <c r="U896" s="293"/>
      <c r="V896" s="293"/>
      <c r="W896" s="293"/>
      <c r="X896" s="293"/>
      <c r="Y896" s="293"/>
      <c r="Z896" s="293"/>
      <c r="AA896" s="293"/>
      <c r="AB896" s="293"/>
      <c r="AC896" s="293"/>
      <c r="AD896" s="293"/>
    </row>
    <row r="897">
      <c r="A897" s="293"/>
      <c r="B897" s="308"/>
      <c r="C897" s="293"/>
      <c r="D897" s="293"/>
      <c r="E897" s="293"/>
      <c r="F897" s="293"/>
      <c r="G897" s="293"/>
      <c r="H897" s="293"/>
      <c r="I897" s="293"/>
      <c r="J897" s="293"/>
      <c r="K897" s="293"/>
      <c r="L897" s="293"/>
      <c r="M897" s="293"/>
      <c r="N897" s="293"/>
      <c r="O897" s="293"/>
      <c r="P897" s="293"/>
      <c r="Q897" s="293"/>
      <c r="R897" s="293"/>
      <c r="S897" s="293"/>
      <c r="T897" s="293"/>
      <c r="U897" s="293"/>
      <c r="V897" s="293"/>
      <c r="W897" s="293"/>
      <c r="X897" s="293"/>
      <c r="Y897" s="293"/>
      <c r="Z897" s="293"/>
      <c r="AA897" s="293"/>
      <c r="AB897" s="293"/>
      <c r="AC897" s="293"/>
      <c r="AD897" s="293"/>
    </row>
    <row r="898">
      <c r="A898" s="293"/>
      <c r="B898" s="308"/>
      <c r="C898" s="293"/>
      <c r="D898" s="293"/>
      <c r="E898" s="293"/>
      <c r="F898" s="293"/>
      <c r="G898" s="293"/>
      <c r="H898" s="293"/>
      <c r="I898" s="293"/>
      <c r="J898" s="293"/>
      <c r="K898" s="293"/>
      <c r="L898" s="293"/>
      <c r="M898" s="293"/>
      <c r="N898" s="293"/>
      <c r="O898" s="293"/>
      <c r="P898" s="293"/>
      <c r="Q898" s="293"/>
      <c r="R898" s="293"/>
      <c r="S898" s="293"/>
      <c r="T898" s="293"/>
      <c r="U898" s="293"/>
      <c r="V898" s="293"/>
      <c r="W898" s="293"/>
      <c r="X898" s="293"/>
      <c r="Y898" s="293"/>
      <c r="Z898" s="293"/>
      <c r="AA898" s="293"/>
      <c r="AB898" s="293"/>
      <c r="AC898" s="293"/>
      <c r="AD898" s="293"/>
    </row>
    <row r="899">
      <c r="A899" s="293"/>
      <c r="B899" s="308"/>
      <c r="C899" s="293"/>
      <c r="D899" s="293"/>
      <c r="E899" s="293"/>
      <c r="F899" s="293"/>
      <c r="G899" s="293"/>
      <c r="H899" s="293"/>
      <c r="I899" s="293"/>
      <c r="J899" s="293"/>
      <c r="K899" s="293"/>
      <c r="L899" s="293"/>
      <c r="M899" s="293"/>
      <c r="N899" s="293"/>
      <c r="O899" s="293"/>
      <c r="P899" s="293"/>
      <c r="Q899" s="293"/>
      <c r="R899" s="293"/>
      <c r="S899" s="293"/>
      <c r="T899" s="293"/>
      <c r="U899" s="293"/>
      <c r="V899" s="293"/>
      <c r="W899" s="293"/>
      <c r="X899" s="293"/>
      <c r="Y899" s="293"/>
      <c r="Z899" s="293"/>
      <c r="AA899" s="293"/>
      <c r="AB899" s="293"/>
      <c r="AC899" s="293"/>
      <c r="AD899" s="293"/>
    </row>
    <row r="900">
      <c r="A900" s="293"/>
      <c r="B900" s="308"/>
      <c r="C900" s="293"/>
      <c r="D900" s="293"/>
      <c r="E900" s="293"/>
      <c r="F900" s="293"/>
      <c r="G900" s="293"/>
      <c r="H900" s="293"/>
      <c r="I900" s="293"/>
      <c r="J900" s="293"/>
      <c r="K900" s="293"/>
      <c r="L900" s="293"/>
      <c r="M900" s="293"/>
      <c r="N900" s="293"/>
      <c r="O900" s="293"/>
      <c r="P900" s="293"/>
      <c r="Q900" s="293"/>
      <c r="R900" s="293"/>
      <c r="S900" s="293"/>
      <c r="T900" s="293"/>
      <c r="U900" s="293"/>
      <c r="V900" s="293"/>
      <c r="W900" s="293"/>
      <c r="X900" s="293"/>
      <c r="Y900" s="293"/>
      <c r="Z900" s="293"/>
      <c r="AA900" s="293"/>
      <c r="AB900" s="293"/>
      <c r="AC900" s="293"/>
      <c r="AD900" s="293"/>
    </row>
    <row r="901">
      <c r="A901" s="293"/>
      <c r="B901" s="308"/>
      <c r="C901" s="293"/>
      <c r="D901" s="293"/>
      <c r="E901" s="293"/>
      <c r="F901" s="293"/>
      <c r="G901" s="293"/>
      <c r="H901" s="293"/>
      <c r="I901" s="293"/>
      <c r="J901" s="293"/>
      <c r="K901" s="293"/>
      <c r="L901" s="293"/>
      <c r="M901" s="293"/>
      <c r="N901" s="293"/>
      <c r="O901" s="293"/>
      <c r="P901" s="293"/>
      <c r="Q901" s="293"/>
      <c r="R901" s="293"/>
      <c r="S901" s="293"/>
      <c r="T901" s="293"/>
      <c r="U901" s="293"/>
      <c r="V901" s="293"/>
      <c r="W901" s="293"/>
      <c r="X901" s="293"/>
      <c r="Y901" s="293"/>
      <c r="Z901" s="293"/>
      <c r="AA901" s="293"/>
      <c r="AB901" s="293"/>
      <c r="AC901" s="293"/>
      <c r="AD901" s="293"/>
    </row>
    <row r="902">
      <c r="A902" s="293"/>
      <c r="B902" s="308"/>
      <c r="C902" s="293"/>
      <c r="D902" s="293"/>
      <c r="E902" s="293"/>
      <c r="F902" s="293"/>
      <c r="G902" s="293"/>
      <c r="H902" s="293"/>
      <c r="I902" s="293"/>
      <c r="J902" s="293"/>
      <c r="K902" s="293"/>
      <c r="L902" s="293"/>
      <c r="M902" s="293"/>
      <c r="N902" s="293"/>
      <c r="O902" s="293"/>
      <c r="P902" s="293"/>
      <c r="Q902" s="293"/>
      <c r="R902" s="293"/>
      <c r="S902" s="293"/>
      <c r="T902" s="293"/>
      <c r="U902" s="293"/>
      <c r="V902" s="293"/>
      <c r="W902" s="293"/>
      <c r="X902" s="293"/>
      <c r="Y902" s="293"/>
      <c r="Z902" s="293"/>
      <c r="AA902" s="293"/>
      <c r="AB902" s="293"/>
      <c r="AC902" s="293"/>
      <c r="AD902" s="293"/>
    </row>
    <row r="903">
      <c r="A903" s="293"/>
      <c r="B903" s="308"/>
      <c r="C903" s="293"/>
      <c r="D903" s="293"/>
      <c r="E903" s="293"/>
      <c r="F903" s="293"/>
      <c r="G903" s="293"/>
      <c r="H903" s="293"/>
      <c r="I903" s="293"/>
      <c r="J903" s="293"/>
      <c r="K903" s="293"/>
      <c r="L903" s="293"/>
      <c r="M903" s="293"/>
      <c r="N903" s="293"/>
      <c r="O903" s="293"/>
      <c r="P903" s="293"/>
      <c r="Q903" s="293"/>
      <c r="R903" s="293"/>
      <c r="S903" s="293"/>
      <c r="T903" s="293"/>
      <c r="U903" s="293"/>
      <c r="V903" s="293"/>
      <c r="W903" s="293"/>
      <c r="X903" s="293"/>
      <c r="Y903" s="293"/>
      <c r="Z903" s="293"/>
      <c r="AA903" s="293"/>
      <c r="AB903" s="293"/>
      <c r="AC903" s="293"/>
      <c r="AD903" s="293"/>
    </row>
    <row r="904">
      <c r="A904" s="293"/>
      <c r="B904" s="308"/>
      <c r="C904" s="293"/>
      <c r="D904" s="293"/>
      <c r="E904" s="293"/>
      <c r="F904" s="293"/>
      <c r="G904" s="293"/>
      <c r="H904" s="293"/>
      <c r="I904" s="293"/>
      <c r="J904" s="293"/>
      <c r="K904" s="293"/>
      <c r="L904" s="293"/>
      <c r="M904" s="293"/>
      <c r="N904" s="293"/>
      <c r="O904" s="293"/>
      <c r="P904" s="293"/>
      <c r="Q904" s="293"/>
      <c r="R904" s="293"/>
      <c r="S904" s="293"/>
      <c r="T904" s="293"/>
      <c r="U904" s="293"/>
      <c r="V904" s="293"/>
      <c r="W904" s="293"/>
      <c r="X904" s="293"/>
      <c r="Y904" s="293"/>
      <c r="Z904" s="293"/>
      <c r="AA904" s="293"/>
      <c r="AB904" s="293"/>
      <c r="AC904" s="293"/>
      <c r="AD904" s="293"/>
    </row>
    <row r="905">
      <c r="A905" s="293"/>
      <c r="B905" s="308"/>
      <c r="C905" s="293"/>
      <c r="D905" s="293"/>
      <c r="E905" s="293"/>
      <c r="F905" s="293"/>
      <c r="G905" s="293"/>
      <c r="H905" s="293"/>
      <c r="I905" s="293"/>
      <c r="J905" s="293"/>
      <c r="K905" s="293"/>
      <c r="L905" s="293"/>
      <c r="M905" s="293"/>
      <c r="N905" s="293"/>
      <c r="O905" s="293"/>
      <c r="P905" s="293"/>
      <c r="Q905" s="293"/>
      <c r="R905" s="293"/>
      <c r="S905" s="293"/>
      <c r="T905" s="293"/>
      <c r="U905" s="293"/>
      <c r="V905" s="293"/>
      <c r="W905" s="293"/>
      <c r="X905" s="293"/>
      <c r="Y905" s="293"/>
      <c r="Z905" s="293"/>
      <c r="AA905" s="293"/>
      <c r="AB905" s="293"/>
      <c r="AC905" s="293"/>
      <c r="AD905" s="293"/>
    </row>
    <row r="906">
      <c r="A906" s="293"/>
      <c r="B906" s="308"/>
      <c r="C906" s="293"/>
      <c r="D906" s="293"/>
      <c r="E906" s="293"/>
      <c r="F906" s="293"/>
      <c r="G906" s="293"/>
      <c r="H906" s="293"/>
      <c r="I906" s="293"/>
      <c r="J906" s="293"/>
      <c r="K906" s="293"/>
      <c r="L906" s="293"/>
      <c r="M906" s="293"/>
      <c r="N906" s="293"/>
      <c r="O906" s="293"/>
      <c r="P906" s="293"/>
      <c r="Q906" s="293"/>
      <c r="R906" s="293"/>
      <c r="S906" s="293"/>
      <c r="T906" s="293"/>
      <c r="U906" s="293"/>
      <c r="V906" s="293"/>
      <c r="W906" s="293"/>
      <c r="X906" s="293"/>
      <c r="Y906" s="293"/>
      <c r="Z906" s="293"/>
      <c r="AA906" s="293"/>
      <c r="AB906" s="293"/>
      <c r="AC906" s="293"/>
      <c r="AD906" s="293"/>
    </row>
    <row r="907">
      <c r="A907" s="293"/>
      <c r="B907" s="308"/>
      <c r="C907" s="293"/>
      <c r="D907" s="293"/>
      <c r="E907" s="293"/>
      <c r="F907" s="293"/>
      <c r="G907" s="293"/>
      <c r="H907" s="293"/>
      <c r="I907" s="293"/>
      <c r="J907" s="293"/>
      <c r="K907" s="293"/>
      <c r="L907" s="293"/>
      <c r="M907" s="293"/>
      <c r="N907" s="293"/>
      <c r="O907" s="293"/>
      <c r="P907" s="293"/>
      <c r="Q907" s="293"/>
      <c r="R907" s="293"/>
      <c r="S907" s="293"/>
      <c r="T907" s="293"/>
      <c r="U907" s="293"/>
      <c r="V907" s="293"/>
      <c r="W907" s="293"/>
      <c r="X907" s="293"/>
      <c r="Y907" s="293"/>
      <c r="Z907" s="293"/>
      <c r="AA907" s="293"/>
      <c r="AB907" s="293"/>
      <c r="AC907" s="293"/>
      <c r="AD907" s="293"/>
    </row>
    <row r="908">
      <c r="A908" s="293"/>
      <c r="B908" s="308"/>
      <c r="C908" s="293"/>
      <c r="D908" s="293"/>
      <c r="E908" s="293"/>
      <c r="F908" s="293"/>
      <c r="G908" s="293"/>
      <c r="H908" s="293"/>
      <c r="I908" s="293"/>
      <c r="J908" s="293"/>
      <c r="K908" s="293"/>
      <c r="L908" s="293"/>
      <c r="M908" s="293"/>
      <c r="N908" s="293"/>
      <c r="O908" s="293"/>
      <c r="P908" s="293"/>
      <c r="Q908" s="293"/>
      <c r="R908" s="293"/>
      <c r="S908" s="293"/>
      <c r="T908" s="293"/>
      <c r="U908" s="293"/>
      <c r="V908" s="293"/>
      <c r="W908" s="293"/>
      <c r="X908" s="293"/>
      <c r="Y908" s="293"/>
      <c r="Z908" s="293"/>
      <c r="AA908" s="293"/>
      <c r="AB908" s="293"/>
      <c r="AC908" s="293"/>
      <c r="AD908" s="293"/>
    </row>
    <row r="909">
      <c r="A909" s="293"/>
      <c r="B909" s="308"/>
      <c r="C909" s="293"/>
      <c r="D909" s="293"/>
      <c r="E909" s="293"/>
      <c r="F909" s="293"/>
      <c r="G909" s="293"/>
      <c r="H909" s="293"/>
      <c r="I909" s="293"/>
      <c r="J909" s="293"/>
      <c r="K909" s="293"/>
      <c r="L909" s="293"/>
      <c r="M909" s="293"/>
      <c r="N909" s="293"/>
      <c r="O909" s="293"/>
      <c r="P909" s="293"/>
      <c r="Q909" s="293"/>
      <c r="R909" s="293"/>
      <c r="S909" s="293"/>
      <c r="T909" s="293"/>
      <c r="U909" s="293"/>
      <c r="V909" s="293"/>
      <c r="W909" s="293"/>
      <c r="X909" s="293"/>
      <c r="Y909" s="293"/>
      <c r="Z909" s="293"/>
      <c r="AA909" s="293"/>
      <c r="AB909" s="293"/>
      <c r="AC909" s="293"/>
      <c r="AD909" s="293"/>
    </row>
    <row r="910">
      <c r="A910" s="293"/>
      <c r="B910" s="308"/>
      <c r="C910" s="293"/>
      <c r="D910" s="293"/>
      <c r="E910" s="293"/>
      <c r="F910" s="293"/>
      <c r="G910" s="293"/>
      <c r="H910" s="293"/>
      <c r="I910" s="293"/>
      <c r="J910" s="293"/>
      <c r="K910" s="293"/>
      <c r="L910" s="293"/>
      <c r="M910" s="293"/>
      <c r="N910" s="293"/>
      <c r="O910" s="293"/>
      <c r="P910" s="293"/>
      <c r="Q910" s="293"/>
      <c r="R910" s="293"/>
      <c r="S910" s="293"/>
      <c r="T910" s="293"/>
      <c r="U910" s="293"/>
      <c r="V910" s="293"/>
      <c r="W910" s="293"/>
      <c r="X910" s="293"/>
      <c r="Y910" s="293"/>
      <c r="Z910" s="293"/>
      <c r="AA910" s="293"/>
      <c r="AB910" s="293"/>
      <c r="AC910" s="293"/>
      <c r="AD910" s="293"/>
    </row>
    <row r="911">
      <c r="A911" s="293"/>
      <c r="B911" s="308"/>
      <c r="C911" s="293"/>
      <c r="D911" s="293"/>
      <c r="E911" s="293"/>
      <c r="F911" s="293"/>
      <c r="G911" s="293"/>
      <c r="H911" s="293"/>
      <c r="I911" s="293"/>
      <c r="J911" s="293"/>
      <c r="K911" s="293"/>
      <c r="L911" s="293"/>
      <c r="M911" s="293"/>
      <c r="N911" s="293"/>
      <c r="O911" s="293"/>
      <c r="P911" s="293"/>
      <c r="Q911" s="293"/>
      <c r="R911" s="293"/>
      <c r="S911" s="293"/>
      <c r="T911" s="293"/>
      <c r="U911" s="293"/>
      <c r="V911" s="293"/>
      <c r="W911" s="293"/>
      <c r="X911" s="293"/>
      <c r="Y911" s="293"/>
      <c r="Z911" s="293"/>
      <c r="AA911" s="293"/>
      <c r="AB911" s="293"/>
      <c r="AC911" s="293"/>
      <c r="AD911" s="293"/>
    </row>
    <row r="912">
      <c r="A912" s="293"/>
      <c r="B912" s="308"/>
      <c r="C912" s="293"/>
      <c r="D912" s="293"/>
      <c r="E912" s="293"/>
      <c r="F912" s="293"/>
      <c r="G912" s="293"/>
      <c r="H912" s="293"/>
      <c r="I912" s="293"/>
      <c r="J912" s="293"/>
      <c r="K912" s="293"/>
      <c r="L912" s="293"/>
      <c r="M912" s="293"/>
      <c r="N912" s="293"/>
      <c r="O912" s="293"/>
      <c r="P912" s="293"/>
      <c r="Q912" s="293"/>
      <c r="R912" s="293"/>
      <c r="S912" s="293"/>
      <c r="T912" s="293"/>
      <c r="U912" s="293"/>
      <c r="V912" s="293"/>
      <c r="W912" s="293"/>
      <c r="X912" s="293"/>
      <c r="Y912" s="293"/>
      <c r="Z912" s="293"/>
      <c r="AA912" s="293"/>
      <c r="AB912" s="293"/>
      <c r="AC912" s="293"/>
      <c r="AD912" s="293"/>
    </row>
    <row r="913">
      <c r="A913" s="293"/>
      <c r="B913" s="308"/>
      <c r="C913" s="293"/>
      <c r="D913" s="293"/>
      <c r="E913" s="293"/>
      <c r="F913" s="293"/>
      <c r="G913" s="293"/>
      <c r="H913" s="293"/>
      <c r="I913" s="293"/>
      <c r="J913" s="293"/>
      <c r="K913" s="293"/>
      <c r="L913" s="293"/>
      <c r="M913" s="293"/>
      <c r="N913" s="293"/>
      <c r="O913" s="293"/>
      <c r="P913" s="293"/>
      <c r="Q913" s="293"/>
      <c r="R913" s="293"/>
      <c r="S913" s="293"/>
      <c r="T913" s="293"/>
      <c r="U913" s="293"/>
      <c r="V913" s="293"/>
      <c r="W913" s="293"/>
      <c r="X913" s="293"/>
      <c r="Y913" s="293"/>
      <c r="Z913" s="293"/>
      <c r="AA913" s="293"/>
      <c r="AB913" s="293"/>
      <c r="AC913" s="293"/>
      <c r="AD913" s="293"/>
    </row>
    <row r="914">
      <c r="A914" s="293"/>
      <c r="B914" s="308"/>
      <c r="C914" s="293"/>
      <c r="D914" s="293"/>
      <c r="E914" s="293"/>
      <c r="F914" s="293"/>
      <c r="G914" s="293"/>
      <c r="H914" s="293"/>
      <c r="I914" s="293"/>
      <c r="J914" s="293"/>
      <c r="K914" s="293"/>
      <c r="L914" s="293"/>
      <c r="M914" s="293"/>
      <c r="N914" s="293"/>
      <c r="O914" s="293"/>
      <c r="P914" s="293"/>
      <c r="Q914" s="293"/>
      <c r="R914" s="293"/>
      <c r="S914" s="293"/>
      <c r="T914" s="293"/>
      <c r="U914" s="293"/>
      <c r="V914" s="293"/>
      <c r="W914" s="293"/>
      <c r="X914" s="293"/>
      <c r="Y914" s="293"/>
      <c r="Z914" s="293"/>
      <c r="AA914" s="293"/>
      <c r="AB914" s="293"/>
      <c r="AC914" s="293"/>
      <c r="AD914" s="293"/>
    </row>
    <row r="915">
      <c r="A915" s="293"/>
      <c r="B915" s="308"/>
      <c r="C915" s="293"/>
      <c r="D915" s="293"/>
      <c r="E915" s="293"/>
      <c r="F915" s="293"/>
      <c r="G915" s="293"/>
      <c r="H915" s="293"/>
      <c r="I915" s="293"/>
      <c r="J915" s="293"/>
      <c r="K915" s="293"/>
      <c r="L915" s="293"/>
      <c r="M915" s="293"/>
      <c r="N915" s="293"/>
      <c r="O915" s="293"/>
      <c r="P915" s="293"/>
      <c r="Q915" s="293"/>
      <c r="R915" s="293"/>
      <c r="S915" s="293"/>
      <c r="T915" s="293"/>
      <c r="U915" s="293"/>
      <c r="V915" s="293"/>
      <c r="W915" s="293"/>
      <c r="X915" s="293"/>
      <c r="Y915" s="293"/>
      <c r="Z915" s="293"/>
      <c r="AA915" s="293"/>
      <c r="AB915" s="293"/>
      <c r="AC915" s="293"/>
      <c r="AD915" s="293"/>
    </row>
    <row r="916">
      <c r="A916" s="293"/>
      <c r="B916" s="308"/>
      <c r="C916" s="293"/>
      <c r="D916" s="293"/>
      <c r="E916" s="293"/>
      <c r="F916" s="293"/>
      <c r="G916" s="293"/>
      <c r="H916" s="293"/>
      <c r="I916" s="293"/>
      <c r="J916" s="293"/>
      <c r="K916" s="293"/>
      <c r="L916" s="293"/>
      <c r="M916" s="293"/>
      <c r="N916" s="293"/>
      <c r="O916" s="293"/>
      <c r="P916" s="293"/>
      <c r="Q916" s="293"/>
      <c r="R916" s="293"/>
      <c r="S916" s="293"/>
      <c r="T916" s="293"/>
      <c r="U916" s="293"/>
      <c r="V916" s="293"/>
      <c r="W916" s="293"/>
      <c r="X916" s="293"/>
      <c r="Y916" s="293"/>
      <c r="Z916" s="293"/>
      <c r="AA916" s="293"/>
      <c r="AB916" s="293"/>
      <c r="AC916" s="293"/>
      <c r="AD916" s="293"/>
    </row>
    <row r="917">
      <c r="A917" s="293"/>
      <c r="B917" s="308"/>
      <c r="C917" s="293"/>
      <c r="D917" s="293"/>
      <c r="E917" s="293"/>
      <c r="F917" s="293"/>
      <c r="G917" s="293"/>
      <c r="H917" s="293"/>
      <c r="I917" s="293"/>
      <c r="J917" s="293"/>
      <c r="K917" s="293"/>
      <c r="L917" s="293"/>
      <c r="M917" s="293"/>
      <c r="N917" s="293"/>
      <c r="O917" s="293"/>
      <c r="P917" s="293"/>
      <c r="Q917" s="293"/>
      <c r="R917" s="293"/>
      <c r="S917" s="293"/>
      <c r="T917" s="293"/>
      <c r="U917" s="293"/>
      <c r="V917" s="293"/>
      <c r="W917" s="293"/>
      <c r="X917" s="293"/>
      <c r="Y917" s="293"/>
      <c r="Z917" s="293"/>
      <c r="AA917" s="293"/>
      <c r="AB917" s="293"/>
      <c r="AC917" s="293"/>
      <c r="AD917" s="293"/>
    </row>
    <row r="918">
      <c r="A918" s="293"/>
      <c r="B918" s="308"/>
      <c r="C918" s="293"/>
      <c r="D918" s="293"/>
      <c r="E918" s="293"/>
      <c r="F918" s="293"/>
      <c r="G918" s="293"/>
      <c r="H918" s="293"/>
      <c r="I918" s="293"/>
      <c r="J918" s="293"/>
      <c r="K918" s="293"/>
      <c r="L918" s="293"/>
      <c r="M918" s="293"/>
      <c r="N918" s="293"/>
      <c r="O918" s="293"/>
      <c r="P918" s="293"/>
      <c r="Q918" s="293"/>
      <c r="R918" s="293"/>
      <c r="S918" s="293"/>
      <c r="T918" s="293"/>
      <c r="U918" s="293"/>
      <c r="V918" s="293"/>
      <c r="W918" s="293"/>
      <c r="X918" s="293"/>
      <c r="Y918" s="293"/>
      <c r="Z918" s="293"/>
      <c r="AA918" s="293"/>
      <c r="AB918" s="293"/>
      <c r="AC918" s="293"/>
      <c r="AD918" s="293"/>
    </row>
    <row r="919">
      <c r="A919" s="293"/>
      <c r="B919" s="308"/>
      <c r="C919" s="293"/>
      <c r="D919" s="293"/>
      <c r="E919" s="293"/>
      <c r="F919" s="293"/>
      <c r="G919" s="293"/>
      <c r="H919" s="293"/>
      <c r="I919" s="293"/>
      <c r="J919" s="293"/>
      <c r="K919" s="293"/>
      <c r="L919" s="293"/>
      <c r="M919" s="293"/>
      <c r="N919" s="293"/>
      <c r="O919" s="293"/>
      <c r="P919" s="293"/>
      <c r="Q919" s="293"/>
      <c r="R919" s="293"/>
      <c r="S919" s="293"/>
      <c r="T919" s="293"/>
      <c r="U919" s="293"/>
      <c r="V919" s="293"/>
      <c r="W919" s="293"/>
      <c r="X919" s="293"/>
      <c r="Y919" s="293"/>
      <c r="Z919" s="293"/>
      <c r="AA919" s="293"/>
      <c r="AB919" s="293"/>
      <c r="AC919" s="293"/>
      <c r="AD919" s="293"/>
    </row>
    <row r="920">
      <c r="A920" s="293"/>
      <c r="B920" s="308"/>
      <c r="C920" s="293"/>
      <c r="D920" s="293"/>
      <c r="E920" s="293"/>
      <c r="F920" s="293"/>
      <c r="G920" s="293"/>
      <c r="H920" s="293"/>
      <c r="I920" s="293"/>
      <c r="J920" s="293"/>
      <c r="K920" s="293"/>
      <c r="L920" s="293"/>
      <c r="M920" s="293"/>
      <c r="N920" s="293"/>
      <c r="O920" s="293"/>
      <c r="P920" s="293"/>
      <c r="Q920" s="293"/>
      <c r="R920" s="293"/>
      <c r="S920" s="293"/>
      <c r="T920" s="293"/>
      <c r="U920" s="293"/>
      <c r="V920" s="293"/>
      <c r="W920" s="293"/>
      <c r="X920" s="293"/>
      <c r="Y920" s="293"/>
      <c r="Z920" s="293"/>
      <c r="AA920" s="293"/>
      <c r="AB920" s="293"/>
      <c r="AC920" s="293"/>
      <c r="AD920" s="293"/>
    </row>
    <row r="921">
      <c r="A921" s="293"/>
      <c r="B921" s="308"/>
      <c r="C921" s="293"/>
      <c r="D921" s="293"/>
      <c r="E921" s="293"/>
      <c r="F921" s="293"/>
      <c r="G921" s="293"/>
      <c r="H921" s="293"/>
      <c r="I921" s="293"/>
      <c r="J921" s="293"/>
      <c r="K921" s="293"/>
      <c r="L921" s="293"/>
      <c r="M921" s="293"/>
      <c r="N921" s="293"/>
      <c r="O921" s="293"/>
      <c r="P921" s="293"/>
      <c r="Q921" s="293"/>
      <c r="R921" s="293"/>
      <c r="S921" s="293"/>
      <c r="T921" s="293"/>
      <c r="U921" s="293"/>
      <c r="V921" s="293"/>
      <c r="W921" s="293"/>
      <c r="X921" s="293"/>
      <c r="Y921" s="293"/>
      <c r="Z921" s="293"/>
      <c r="AA921" s="293"/>
      <c r="AB921" s="293"/>
      <c r="AC921" s="293"/>
      <c r="AD921" s="293"/>
    </row>
    <row r="922">
      <c r="A922" s="293"/>
      <c r="B922" s="308"/>
      <c r="C922" s="293"/>
      <c r="D922" s="293"/>
      <c r="E922" s="293"/>
      <c r="F922" s="293"/>
      <c r="G922" s="293"/>
      <c r="H922" s="293"/>
      <c r="I922" s="293"/>
      <c r="J922" s="293"/>
      <c r="K922" s="293"/>
      <c r="L922" s="293"/>
      <c r="M922" s="293"/>
      <c r="N922" s="293"/>
      <c r="O922" s="293"/>
      <c r="P922" s="293"/>
      <c r="Q922" s="293"/>
      <c r="R922" s="293"/>
      <c r="S922" s="293"/>
      <c r="T922" s="293"/>
      <c r="U922" s="293"/>
      <c r="V922" s="293"/>
      <c r="W922" s="293"/>
      <c r="X922" s="293"/>
      <c r="Y922" s="293"/>
      <c r="Z922" s="293"/>
      <c r="AA922" s="293"/>
      <c r="AB922" s="293"/>
      <c r="AC922" s="293"/>
      <c r="AD922" s="293"/>
    </row>
    <row r="923">
      <c r="A923" s="293"/>
      <c r="B923" s="308"/>
      <c r="C923" s="293"/>
      <c r="D923" s="293"/>
      <c r="E923" s="293"/>
      <c r="F923" s="293"/>
      <c r="G923" s="293"/>
      <c r="H923" s="293"/>
      <c r="I923" s="293"/>
      <c r="J923" s="293"/>
      <c r="K923" s="293"/>
      <c r="L923" s="293"/>
      <c r="M923" s="293"/>
      <c r="N923" s="293"/>
      <c r="O923" s="293"/>
      <c r="P923" s="293"/>
      <c r="Q923" s="293"/>
      <c r="R923" s="293"/>
      <c r="S923" s="293"/>
      <c r="T923" s="293"/>
      <c r="U923" s="293"/>
      <c r="V923" s="293"/>
      <c r="W923" s="293"/>
      <c r="X923" s="293"/>
      <c r="Y923" s="293"/>
      <c r="Z923" s="293"/>
      <c r="AA923" s="293"/>
      <c r="AB923" s="293"/>
      <c r="AC923" s="293"/>
      <c r="AD923" s="293"/>
    </row>
    <row r="924">
      <c r="A924" s="293"/>
      <c r="B924" s="308"/>
      <c r="C924" s="293"/>
      <c r="D924" s="293"/>
      <c r="E924" s="293"/>
      <c r="F924" s="293"/>
      <c r="G924" s="293"/>
      <c r="H924" s="293"/>
      <c r="I924" s="293"/>
      <c r="J924" s="293"/>
      <c r="K924" s="293"/>
      <c r="L924" s="293"/>
      <c r="M924" s="293"/>
      <c r="N924" s="293"/>
      <c r="O924" s="293"/>
      <c r="P924" s="293"/>
      <c r="Q924" s="293"/>
      <c r="R924" s="293"/>
      <c r="S924" s="293"/>
      <c r="T924" s="293"/>
      <c r="U924" s="293"/>
      <c r="V924" s="293"/>
      <c r="W924" s="293"/>
      <c r="X924" s="293"/>
      <c r="Y924" s="293"/>
      <c r="Z924" s="293"/>
      <c r="AA924" s="293"/>
      <c r="AB924" s="293"/>
      <c r="AC924" s="293"/>
      <c r="AD924" s="293"/>
    </row>
    <row r="925">
      <c r="A925" s="293"/>
      <c r="B925" s="308"/>
      <c r="C925" s="293"/>
      <c r="D925" s="293"/>
      <c r="E925" s="293"/>
      <c r="F925" s="293"/>
      <c r="G925" s="293"/>
      <c r="H925" s="293"/>
      <c r="I925" s="293"/>
      <c r="J925" s="293"/>
      <c r="K925" s="293"/>
      <c r="L925" s="293"/>
      <c r="M925" s="293"/>
      <c r="N925" s="293"/>
      <c r="O925" s="293"/>
      <c r="P925" s="293"/>
      <c r="Q925" s="293"/>
      <c r="R925" s="293"/>
      <c r="S925" s="293"/>
      <c r="T925" s="293"/>
      <c r="U925" s="293"/>
      <c r="V925" s="293"/>
      <c r="W925" s="293"/>
      <c r="X925" s="293"/>
      <c r="Y925" s="293"/>
      <c r="Z925" s="293"/>
      <c r="AA925" s="293"/>
      <c r="AB925" s="293"/>
      <c r="AC925" s="293"/>
      <c r="AD925" s="293"/>
    </row>
    <row r="926">
      <c r="A926" s="293"/>
      <c r="B926" s="308"/>
      <c r="C926" s="293"/>
      <c r="D926" s="293"/>
      <c r="E926" s="293"/>
      <c r="F926" s="293"/>
      <c r="G926" s="293"/>
      <c r="H926" s="293"/>
      <c r="I926" s="293"/>
      <c r="J926" s="293"/>
      <c r="K926" s="293"/>
      <c r="L926" s="293"/>
      <c r="M926" s="293"/>
      <c r="N926" s="293"/>
      <c r="O926" s="293"/>
      <c r="P926" s="293"/>
      <c r="Q926" s="293"/>
      <c r="R926" s="293"/>
      <c r="S926" s="293"/>
      <c r="T926" s="293"/>
      <c r="U926" s="293"/>
      <c r="V926" s="293"/>
      <c r="W926" s="293"/>
      <c r="X926" s="293"/>
      <c r="Y926" s="293"/>
      <c r="Z926" s="293"/>
      <c r="AA926" s="293"/>
      <c r="AB926" s="293"/>
      <c r="AC926" s="293"/>
      <c r="AD926" s="293"/>
    </row>
    <row r="927">
      <c r="A927" s="293"/>
      <c r="B927" s="308"/>
      <c r="C927" s="293"/>
      <c r="D927" s="293"/>
      <c r="E927" s="293"/>
      <c r="F927" s="293"/>
      <c r="G927" s="293"/>
      <c r="H927" s="293"/>
      <c r="I927" s="293"/>
      <c r="J927" s="293"/>
      <c r="K927" s="293"/>
      <c r="L927" s="293"/>
      <c r="M927" s="293"/>
      <c r="N927" s="293"/>
      <c r="O927" s="293"/>
      <c r="P927" s="293"/>
      <c r="Q927" s="293"/>
      <c r="R927" s="293"/>
      <c r="S927" s="293"/>
      <c r="T927" s="293"/>
      <c r="U927" s="293"/>
      <c r="V927" s="293"/>
      <c r="W927" s="293"/>
      <c r="X927" s="293"/>
      <c r="Y927" s="293"/>
      <c r="Z927" s="293"/>
      <c r="AA927" s="293"/>
      <c r="AB927" s="293"/>
      <c r="AC927" s="293"/>
      <c r="AD927" s="293"/>
    </row>
    <row r="928">
      <c r="A928" s="293"/>
      <c r="B928" s="308"/>
      <c r="C928" s="293"/>
      <c r="D928" s="293"/>
      <c r="E928" s="293"/>
      <c r="F928" s="293"/>
      <c r="G928" s="293"/>
      <c r="H928" s="293"/>
      <c r="I928" s="293"/>
      <c r="J928" s="293"/>
      <c r="K928" s="293"/>
      <c r="L928" s="293"/>
      <c r="M928" s="293"/>
      <c r="N928" s="293"/>
      <c r="O928" s="293"/>
      <c r="P928" s="293"/>
      <c r="Q928" s="293"/>
      <c r="R928" s="293"/>
      <c r="S928" s="293"/>
      <c r="T928" s="293"/>
      <c r="U928" s="293"/>
      <c r="V928" s="293"/>
      <c r="W928" s="293"/>
      <c r="X928" s="293"/>
      <c r="Y928" s="293"/>
      <c r="Z928" s="293"/>
      <c r="AA928" s="293"/>
      <c r="AB928" s="293"/>
      <c r="AC928" s="293"/>
      <c r="AD928" s="293"/>
    </row>
    <row r="929">
      <c r="A929" s="293"/>
      <c r="B929" s="308"/>
      <c r="C929" s="293"/>
      <c r="D929" s="293"/>
      <c r="E929" s="293"/>
      <c r="F929" s="293"/>
      <c r="G929" s="293"/>
      <c r="H929" s="293"/>
      <c r="I929" s="293"/>
      <c r="J929" s="293"/>
      <c r="K929" s="293"/>
      <c r="L929" s="293"/>
      <c r="M929" s="293"/>
      <c r="N929" s="293"/>
      <c r="O929" s="293"/>
      <c r="P929" s="293"/>
      <c r="Q929" s="293"/>
      <c r="R929" s="293"/>
      <c r="S929" s="293"/>
      <c r="T929" s="293"/>
      <c r="U929" s="293"/>
      <c r="V929" s="293"/>
      <c r="W929" s="293"/>
      <c r="X929" s="293"/>
      <c r="Y929" s="293"/>
      <c r="Z929" s="293"/>
      <c r="AA929" s="293"/>
      <c r="AB929" s="293"/>
      <c r="AC929" s="293"/>
      <c r="AD929" s="293"/>
    </row>
    <row r="930">
      <c r="A930" s="293"/>
      <c r="B930" s="308"/>
      <c r="C930" s="293"/>
      <c r="D930" s="293"/>
      <c r="E930" s="293"/>
      <c r="F930" s="293"/>
      <c r="G930" s="293"/>
      <c r="H930" s="293"/>
      <c r="I930" s="293"/>
      <c r="J930" s="293"/>
      <c r="K930" s="293"/>
      <c r="L930" s="293"/>
      <c r="M930" s="293"/>
      <c r="N930" s="293"/>
      <c r="O930" s="293"/>
      <c r="P930" s="293"/>
      <c r="Q930" s="293"/>
      <c r="R930" s="293"/>
      <c r="S930" s="293"/>
      <c r="T930" s="293"/>
      <c r="U930" s="293"/>
      <c r="V930" s="293"/>
      <c r="W930" s="293"/>
      <c r="X930" s="293"/>
      <c r="Y930" s="293"/>
      <c r="Z930" s="293"/>
      <c r="AA930" s="293"/>
      <c r="AB930" s="293"/>
      <c r="AC930" s="293"/>
      <c r="AD930" s="293"/>
    </row>
    <row r="931">
      <c r="A931" s="293"/>
      <c r="B931" s="308"/>
      <c r="C931" s="293"/>
      <c r="D931" s="293"/>
      <c r="E931" s="293"/>
      <c r="F931" s="293"/>
      <c r="G931" s="293"/>
      <c r="H931" s="293"/>
      <c r="I931" s="293"/>
      <c r="J931" s="293"/>
      <c r="K931" s="293"/>
      <c r="L931" s="293"/>
      <c r="M931" s="293"/>
      <c r="N931" s="293"/>
      <c r="O931" s="293"/>
      <c r="P931" s="293"/>
      <c r="Q931" s="293"/>
      <c r="R931" s="293"/>
      <c r="S931" s="293"/>
      <c r="T931" s="293"/>
      <c r="U931" s="293"/>
      <c r="V931" s="293"/>
      <c r="W931" s="293"/>
      <c r="X931" s="293"/>
      <c r="Y931" s="293"/>
      <c r="Z931" s="293"/>
      <c r="AA931" s="293"/>
      <c r="AB931" s="293"/>
      <c r="AC931" s="293"/>
      <c r="AD931" s="293"/>
    </row>
    <row r="932">
      <c r="A932" s="293"/>
      <c r="B932" s="308"/>
      <c r="C932" s="293"/>
      <c r="D932" s="293"/>
      <c r="E932" s="293"/>
      <c r="F932" s="293"/>
      <c r="G932" s="293"/>
      <c r="H932" s="293"/>
      <c r="I932" s="293"/>
      <c r="J932" s="293"/>
      <c r="K932" s="293"/>
      <c r="L932" s="293"/>
      <c r="M932" s="293"/>
      <c r="N932" s="293"/>
      <c r="O932" s="293"/>
      <c r="P932" s="293"/>
      <c r="Q932" s="293"/>
      <c r="R932" s="293"/>
      <c r="S932" s="293"/>
      <c r="T932" s="293"/>
      <c r="U932" s="293"/>
      <c r="V932" s="293"/>
      <c r="W932" s="293"/>
      <c r="X932" s="293"/>
      <c r="Y932" s="293"/>
      <c r="Z932" s="293"/>
      <c r="AA932" s="293"/>
      <c r="AB932" s="293"/>
      <c r="AC932" s="293"/>
      <c r="AD932" s="293"/>
    </row>
    <row r="933">
      <c r="A933" s="293"/>
      <c r="B933" s="308"/>
      <c r="C933" s="293"/>
      <c r="D933" s="293"/>
      <c r="E933" s="293"/>
      <c r="F933" s="293"/>
      <c r="G933" s="293"/>
      <c r="H933" s="293"/>
      <c r="I933" s="293"/>
      <c r="J933" s="293"/>
      <c r="K933" s="293"/>
      <c r="L933" s="293"/>
      <c r="M933" s="293"/>
      <c r="N933" s="293"/>
      <c r="O933" s="293"/>
      <c r="P933" s="293"/>
      <c r="Q933" s="293"/>
      <c r="R933" s="293"/>
      <c r="S933" s="293"/>
      <c r="T933" s="293"/>
      <c r="U933" s="293"/>
      <c r="V933" s="293"/>
      <c r="W933" s="293"/>
      <c r="X933" s="293"/>
      <c r="Y933" s="293"/>
      <c r="Z933" s="293"/>
      <c r="AA933" s="293"/>
      <c r="AB933" s="293"/>
      <c r="AC933" s="293"/>
      <c r="AD933" s="293"/>
    </row>
    <row r="934">
      <c r="A934" s="293"/>
      <c r="B934" s="308"/>
      <c r="C934" s="293"/>
      <c r="D934" s="293"/>
      <c r="E934" s="293"/>
      <c r="F934" s="293"/>
      <c r="G934" s="293"/>
      <c r="H934" s="293"/>
      <c r="I934" s="293"/>
      <c r="J934" s="293"/>
      <c r="K934" s="293"/>
      <c r="L934" s="293"/>
      <c r="M934" s="293"/>
      <c r="N934" s="293"/>
      <c r="O934" s="293"/>
      <c r="P934" s="293"/>
      <c r="Q934" s="293"/>
      <c r="R934" s="293"/>
      <c r="S934" s="293"/>
      <c r="T934" s="293"/>
      <c r="U934" s="293"/>
      <c r="V934" s="293"/>
      <c r="W934" s="293"/>
      <c r="X934" s="293"/>
      <c r="Y934" s="293"/>
      <c r="Z934" s="293"/>
      <c r="AA934" s="293"/>
      <c r="AB934" s="293"/>
      <c r="AC934" s="293"/>
      <c r="AD934" s="293"/>
    </row>
    <row r="935">
      <c r="A935" s="293"/>
      <c r="B935" s="308"/>
      <c r="C935" s="293"/>
      <c r="D935" s="293"/>
      <c r="E935" s="293"/>
      <c r="F935" s="293"/>
      <c r="G935" s="293"/>
      <c r="H935" s="293"/>
      <c r="I935" s="293"/>
      <c r="J935" s="293"/>
      <c r="K935" s="293"/>
      <c r="L935" s="293"/>
      <c r="M935" s="293"/>
      <c r="N935" s="293"/>
      <c r="O935" s="293"/>
      <c r="P935" s="293"/>
      <c r="Q935" s="293"/>
      <c r="R935" s="293"/>
      <c r="S935" s="293"/>
      <c r="T935" s="293"/>
      <c r="U935" s="293"/>
      <c r="V935" s="293"/>
      <c r="W935" s="293"/>
      <c r="X935" s="293"/>
      <c r="Y935" s="293"/>
      <c r="Z935" s="293"/>
      <c r="AA935" s="293"/>
      <c r="AB935" s="293"/>
      <c r="AC935" s="293"/>
      <c r="AD935" s="293"/>
    </row>
    <row r="936">
      <c r="A936" s="293"/>
      <c r="B936" s="308"/>
      <c r="C936" s="293"/>
      <c r="D936" s="293"/>
      <c r="E936" s="293"/>
      <c r="F936" s="293"/>
      <c r="G936" s="293"/>
      <c r="H936" s="293"/>
      <c r="I936" s="293"/>
      <c r="J936" s="293"/>
      <c r="K936" s="293"/>
      <c r="L936" s="293"/>
      <c r="M936" s="293"/>
      <c r="N936" s="293"/>
      <c r="O936" s="293"/>
      <c r="P936" s="293"/>
      <c r="Q936" s="293"/>
      <c r="R936" s="293"/>
      <c r="S936" s="293"/>
      <c r="T936" s="293"/>
      <c r="U936" s="293"/>
      <c r="V936" s="293"/>
      <c r="W936" s="293"/>
      <c r="X936" s="293"/>
      <c r="Y936" s="293"/>
      <c r="Z936" s="293"/>
      <c r="AA936" s="293"/>
      <c r="AB936" s="293"/>
      <c r="AC936" s="293"/>
      <c r="AD936" s="293"/>
    </row>
    <row r="937">
      <c r="A937" s="293"/>
      <c r="B937" s="308"/>
      <c r="C937" s="293"/>
      <c r="D937" s="293"/>
      <c r="E937" s="293"/>
      <c r="F937" s="293"/>
      <c r="G937" s="293"/>
      <c r="H937" s="293"/>
      <c r="I937" s="293"/>
      <c r="J937" s="293"/>
      <c r="K937" s="293"/>
      <c r="L937" s="293"/>
      <c r="M937" s="293"/>
      <c r="N937" s="293"/>
      <c r="O937" s="293"/>
      <c r="P937" s="293"/>
      <c r="Q937" s="293"/>
      <c r="R937" s="293"/>
      <c r="S937" s="293"/>
      <c r="T937" s="293"/>
      <c r="U937" s="293"/>
      <c r="V937" s="293"/>
      <c r="W937" s="293"/>
      <c r="X937" s="293"/>
      <c r="Y937" s="293"/>
      <c r="Z937" s="293"/>
      <c r="AA937" s="293"/>
      <c r="AB937" s="293"/>
      <c r="AC937" s="293"/>
      <c r="AD937" s="293"/>
    </row>
    <row r="938">
      <c r="A938" s="293"/>
      <c r="B938" s="308"/>
      <c r="C938" s="293"/>
      <c r="D938" s="293"/>
      <c r="E938" s="293"/>
      <c r="F938" s="293"/>
      <c r="G938" s="293"/>
      <c r="H938" s="293"/>
      <c r="I938" s="293"/>
      <c r="J938" s="293"/>
      <c r="K938" s="293"/>
      <c r="L938" s="293"/>
      <c r="M938" s="293"/>
      <c r="N938" s="293"/>
      <c r="O938" s="293"/>
      <c r="P938" s="293"/>
      <c r="Q938" s="293"/>
      <c r="R938" s="293"/>
      <c r="S938" s="293"/>
      <c r="T938" s="293"/>
      <c r="U938" s="293"/>
      <c r="V938" s="293"/>
      <c r="W938" s="293"/>
      <c r="X938" s="293"/>
      <c r="Y938" s="293"/>
      <c r="Z938" s="293"/>
      <c r="AA938" s="293"/>
      <c r="AB938" s="293"/>
      <c r="AC938" s="293"/>
      <c r="AD938" s="293"/>
    </row>
    <row r="939">
      <c r="A939" s="293"/>
      <c r="B939" s="308"/>
      <c r="C939" s="293"/>
      <c r="D939" s="293"/>
      <c r="E939" s="293"/>
      <c r="F939" s="293"/>
      <c r="G939" s="293"/>
      <c r="H939" s="293"/>
      <c r="I939" s="293"/>
      <c r="J939" s="293"/>
      <c r="K939" s="293"/>
      <c r="L939" s="293"/>
      <c r="M939" s="293"/>
      <c r="N939" s="293"/>
      <c r="O939" s="293"/>
      <c r="P939" s="293"/>
      <c r="Q939" s="293"/>
      <c r="R939" s="293"/>
      <c r="S939" s="293"/>
      <c r="T939" s="293"/>
      <c r="U939" s="293"/>
      <c r="V939" s="293"/>
      <c r="W939" s="293"/>
      <c r="X939" s="293"/>
      <c r="Y939" s="293"/>
      <c r="Z939" s="293"/>
      <c r="AA939" s="293"/>
      <c r="AB939" s="293"/>
      <c r="AC939" s="293"/>
      <c r="AD939" s="293"/>
    </row>
    <row r="940">
      <c r="A940" s="293"/>
      <c r="B940" s="308"/>
      <c r="C940" s="293"/>
      <c r="D940" s="293"/>
      <c r="E940" s="293"/>
      <c r="F940" s="293"/>
      <c r="G940" s="293"/>
      <c r="H940" s="293"/>
      <c r="I940" s="293"/>
      <c r="J940" s="293"/>
      <c r="K940" s="293"/>
      <c r="L940" s="293"/>
      <c r="M940" s="293"/>
      <c r="N940" s="293"/>
      <c r="O940" s="293"/>
      <c r="P940" s="293"/>
      <c r="Q940" s="293"/>
      <c r="R940" s="293"/>
      <c r="S940" s="293"/>
      <c r="T940" s="293"/>
      <c r="U940" s="293"/>
      <c r="V940" s="293"/>
      <c r="W940" s="293"/>
      <c r="X940" s="293"/>
      <c r="Y940" s="293"/>
      <c r="Z940" s="293"/>
      <c r="AA940" s="293"/>
      <c r="AB940" s="293"/>
      <c r="AC940" s="293"/>
      <c r="AD940" s="293"/>
    </row>
    <row r="941">
      <c r="A941" s="293"/>
      <c r="B941" s="308"/>
      <c r="C941" s="293"/>
      <c r="D941" s="293"/>
      <c r="E941" s="293"/>
      <c r="F941" s="293"/>
      <c r="G941" s="293"/>
      <c r="H941" s="293"/>
      <c r="I941" s="293"/>
      <c r="J941" s="293"/>
      <c r="K941" s="293"/>
      <c r="L941" s="293"/>
      <c r="M941" s="293"/>
      <c r="N941" s="293"/>
      <c r="O941" s="293"/>
      <c r="P941" s="293"/>
      <c r="Q941" s="293"/>
      <c r="R941" s="293"/>
      <c r="S941" s="293"/>
      <c r="T941" s="293"/>
      <c r="U941" s="293"/>
      <c r="V941" s="293"/>
      <c r="W941" s="293"/>
      <c r="X941" s="293"/>
      <c r="Y941" s="293"/>
      <c r="Z941" s="293"/>
      <c r="AA941" s="293"/>
      <c r="AB941" s="293"/>
      <c r="AC941" s="293"/>
      <c r="AD941" s="293"/>
    </row>
    <row r="942">
      <c r="A942" s="293"/>
      <c r="B942" s="308"/>
      <c r="C942" s="293"/>
      <c r="D942" s="293"/>
      <c r="E942" s="293"/>
      <c r="F942" s="293"/>
      <c r="G942" s="293"/>
      <c r="H942" s="293"/>
      <c r="I942" s="293"/>
      <c r="J942" s="293"/>
      <c r="K942" s="293"/>
      <c r="L942" s="293"/>
      <c r="M942" s="293"/>
      <c r="N942" s="293"/>
      <c r="O942" s="293"/>
      <c r="P942" s="293"/>
      <c r="Q942" s="293"/>
      <c r="R942" s="293"/>
      <c r="S942" s="293"/>
      <c r="T942" s="293"/>
      <c r="U942" s="293"/>
      <c r="V942" s="293"/>
      <c r="W942" s="293"/>
      <c r="X942" s="293"/>
      <c r="Y942" s="293"/>
      <c r="Z942" s="293"/>
      <c r="AA942" s="293"/>
      <c r="AB942" s="293"/>
      <c r="AC942" s="293"/>
      <c r="AD942" s="293"/>
    </row>
    <row r="943">
      <c r="A943" s="293"/>
      <c r="B943" s="308"/>
      <c r="C943" s="293"/>
      <c r="D943" s="293"/>
      <c r="E943" s="293"/>
      <c r="F943" s="293"/>
      <c r="G943" s="293"/>
      <c r="H943" s="293"/>
      <c r="I943" s="293"/>
      <c r="J943" s="293"/>
      <c r="K943" s="293"/>
      <c r="L943" s="293"/>
      <c r="M943" s="293"/>
      <c r="N943" s="293"/>
      <c r="O943" s="293"/>
      <c r="P943" s="293"/>
      <c r="Q943" s="293"/>
      <c r="R943" s="293"/>
      <c r="S943" s="293"/>
      <c r="T943" s="293"/>
      <c r="U943" s="293"/>
      <c r="V943" s="293"/>
      <c r="W943" s="293"/>
      <c r="X943" s="293"/>
      <c r="Y943" s="293"/>
      <c r="Z943" s="293"/>
      <c r="AA943" s="293"/>
      <c r="AB943" s="293"/>
      <c r="AC943" s="293"/>
      <c r="AD943" s="293"/>
    </row>
    <row r="944">
      <c r="A944" s="293"/>
      <c r="B944" s="308"/>
      <c r="C944" s="293"/>
      <c r="D944" s="293"/>
      <c r="E944" s="293"/>
      <c r="F944" s="293"/>
      <c r="G944" s="293"/>
      <c r="H944" s="293"/>
      <c r="I944" s="293"/>
      <c r="J944" s="293"/>
      <c r="K944" s="293"/>
      <c r="L944" s="293"/>
      <c r="M944" s="293"/>
      <c r="N944" s="293"/>
      <c r="O944" s="293"/>
      <c r="P944" s="293"/>
      <c r="Q944" s="293"/>
      <c r="R944" s="293"/>
      <c r="S944" s="293"/>
      <c r="T944" s="293"/>
      <c r="U944" s="293"/>
      <c r="V944" s="293"/>
      <c r="W944" s="293"/>
      <c r="X944" s="293"/>
      <c r="Y944" s="293"/>
      <c r="Z944" s="293"/>
      <c r="AA944" s="293"/>
      <c r="AB944" s="293"/>
      <c r="AC944" s="293"/>
      <c r="AD944" s="293"/>
    </row>
    <row r="945">
      <c r="A945" s="293"/>
      <c r="B945" s="308"/>
      <c r="C945" s="293"/>
      <c r="D945" s="293"/>
      <c r="E945" s="293"/>
      <c r="F945" s="293"/>
      <c r="G945" s="293"/>
      <c r="H945" s="293"/>
      <c r="I945" s="293"/>
      <c r="J945" s="293"/>
      <c r="K945" s="293"/>
      <c r="L945" s="293"/>
      <c r="M945" s="293"/>
      <c r="N945" s="293"/>
      <c r="O945" s="293"/>
      <c r="P945" s="293"/>
      <c r="Q945" s="293"/>
      <c r="R945" s="293"/>
      <c r="S945" s="293"/>
      <c r="T945" s="293"/>
      <c r="U945" s="293"/>
      <c r="V945" s="293"/>
      <c r="W945" s="293"/>
      <c r="X945" s="293"/>
      <c r="Y945" s="293"/>
      <c r="Z945" s="293"/>
      <c r="AA945" s="293"/>
      <c r="AB945" s="293"/>
      <c r="AC945" s="293"/>
      <c r="AD945" s="293"/>
    </row>
    <row r="946">
      <c r="A946" s="293"/>
      <c r="B946" s="308"/>
      <c r="C946" s="293"/>
      <c r="D946" s="293"/>
      <c r="E946" s="293"/>
      <c r="F946" s="293"/>
      <c r="G946" s="293"/>
      <c r="H946" s="293"/>
      <c r="I946" s="293"/>
      <c r="J946" s="293"/>
      <c r="K946" s="293"/>
      <c r="L946" s="293"/>
      <c r="M946" s="293"/>
      <c r="N946" s="293"/>
      <c r="O946" s="293"/>
      <c r="P946" s="293"/>
      <c r="Q946" s="293"/>
      <c r="R946" s="293"/>
      <c r="S946" s="293"/>
      <c r="T946" s="293"/>
      <c r="U946" s="293"/>
      <c r="V946" s="293"/>
      <c r="W946" s="293"/>
      <c r="X946" s="293"/>
      <c r="Y946" s="293"/>
      <c r="Z946" s="293"/>
      <c r="AA946" s="293"/>
      <c r="AB946" s="293"/>
      <c r="AC946" s="293"/>
      <c r="AD946" s="293"/>
    </row>
    <row r="947">
      <c r="A947" s="293"/>
      <c r="B947" s="308"/>
      <c r="C947" s="293"/>
      <c r="D947" s="293"/>
      <c r="E947" s="293"/>
      <c r="F947" s="293"/>
      <c r="G947" s="293"/>
      <c r="H947" s="293"/>
      <c r="I947" s="293"/>
      <c r="J947" s="293"/>
      <c r="K947" s="293"/>
      <c r="L947" s="293"/>
      <c r="M947" s="293"/>
      <c r="N947" s="293"/>
      <c r="O947" s="293"/>
      <c r="P947" s="293"/>
      <c r="Q947" s="293"/>
      <c r="R947" s="293"/>
      <c r="S947" s="293"/>
      <c r="T947" s="293"/>
      <c r="U947" s="293"/>
      <c r="V947" s="293"/>
      <c r="W947" s="293"/>
      <c r="X947" s="293"/>
      <c r="Y947" s="293"/>
      <c r="Z947" s="293"/>
      <c r="AA947" s="293"/>
      <c r="AB947" s="293"/>
      <c r="AC947" s="293"/>
      <c r="AD947" s="293"/>
    </row>
    <row r="948">
      <c r="A948" s="293"/>
      <c r="B948" s="308"/>
      <c r="C948" s="293"/>
      <c r="D948" s="293"/>
      <c r="E948" s="293"/>
      <c r="F948" s="293"/>
      <c r="G948" s="293"/>
      <c r="H948" s="293"/>
      <c r="I948" s="293"/>
      <c r="J948" s="293"/>
      <c r="K948" s="293"/>
      <c r="L948" s="293"/>
      <c r="M948" s="293"/>
      <c r="N948" s="293"/>
      <c r="O948" s="293"/>
      <c r="P948" s="293"/>
      <c r="Q948" s="293"/>
      <c r="R948" s="293"/>
      <c r="S948" s="293"/>
      <c r="T948" s="293"/>
      <c r="U948" s="293"/>
      <c r="V948" s="293"/>
      <c r="W948" s="293"/>
      <c r="X948" s="293"/>
      <c r="Y948" s="293"/>
      <c r="Z948" s="293"/>
      <c r="AA948" s="293"/>
      <c r="AB948" s="293"/>
      <c r="AC948" s="293"/>
      <c r="AD948" s="293"/>
    </row>
    <row r="949">
      <c r="A949" s="293"/>
      <c r="B949" s="308"/>
      <c r="C949" s="293"/>
      <c r="D949" s="293"/>
      <c r="E949" s="293"/>
      <c r="F949" s="293"/>
      <c r="G949" s="293"/>
      <c r="H949" s="293"/>
      <c r="I949" s="293"/>
      <c r="J949" s="293"/>
      <c r="K949" s="293"/>
      <c r="L949" s="293"/>
      <c r="M949" s="293"/>
      <c r="N949" s="293"/>
      <c r="O949" s="293"/>
      <c r="P949" s="293"/>
      <c r="Q949" s="293"/>
      <c r="R949" s="293"/>
      <c r="S949" s="293"/>
      <c r="T949" s="293"/>
      <c r="U949" s="293"/>
      <c r="V949" s="293"/>
      <c r="W949" s="293"/>
      <c r="X949" s="293"/>
      <c r="Y949" s="293"/>
      <c r="Z949" s="293"/>
      <c r="AA949" s="293"/>
      <c r="AB949" s="293"/>
      <c r="AC949" s="293"/>
      <c r="AD949" s="293"/>
    </row>
    <row r="950">
      <c r="A950" s="293"/>
      <c r="B950" s="308"/>
      <c r="C950" s="293"/>
      <c r="D950" s="293"/>
      <c r="E950" s="293"/>
      <c r="F950" s="293"/>
      <c r="G950" s="293"/>
      <c r="H950" s="293"/>
      <c r="I950" s="293"/>
      <c r="J950" s="293"/>
      <c r="K950" s="293"/>
      <c r="L950" s="293"/>
      <c r="M950" s="293"/>
      <c r="N950" s="293"/>
      <c r="O950" s="293"/>
      <c r="P950" s="293"/>
      <c r="Q950" s="293"/>
      <c r="R950" s="293"/>
      <c r="S950" s="293"/>
      <c r="T950" s="293"/>
      <c r="U950" s="293"/>
      <c r="V950" s="293"/>
      <c r="W950" s="293"/>
      <c r="X950" s="293"/>
      <c r="Y950" s="293"/>
      <c r="Z950" s="293"/>
      <c r="AA950" s="293"/>
      <c r="AB950" s="293"/>
      <c r="AC950" s="293"/>
      <c r="AD950" s="293"/>
    </row>
    <row r="951">
      <c r="A951" s="293"/>
      <c r="B951" s="308"/>
      <c r="C951" s="293"/>
      <c r="D951" s="293"/>
      <c r="E951" s="293"/>
      <c r="F951" s="293"/>
      <c r="G951" s="293"/>
      <c r="H951" s="293"/>
      <c r="I951" s="293"/>
      <c r="J951" s="293"/>
      <c r="K951" s="293"/>
      <c r="L951" s="293"/>
      <c r="M951" s="293"/>
      <c r="N951" s="293"/>
      <c r="O951" s="293"/>
      <c r="P951" s="293"/>
      <c r="Q951" s="293"/>
      <c r="R951" s="293"/>
      <c r="S951" s="293"/>
      <c r="T951" s="293"/>
      <c r="U951" s="293"/>
      <c r="V951" s="293"/>
      <c r="W951" s="293"/>
      <c r="X951" s="293"/>
      <c r="Y951" s="293"/>
      <c r="Z951" s="293"/>
      <c r="AA951" s="293"/>
      <c r="AB951" s="293"/>
      <c r="AC951" s="293"/>
      <c r="AD951" s="293"/>
    </row>
    <row r="952">
      <c r="A952" s="293"/>
      <c r="B952" s="308"/>
      <c r="C952" s="293"/>
      <c r="D952" s="293"/>
      <c r="E952" s="293"/>
      <c r="F952" s="293"/>
      <c r="G952" s="293"/>
      <c r="H952" s="293"/>
      <c r="I952" s="293"/>
      <c r="J952" s="293"/>
      <c r="K952" s="293"/>
      <c r="L952" s="293"/>
      <c r="M952" s="293"/>
      <c r="N952" s="293"/>
      <c r="O952" s="293"/>
      <c r="P952" s="293"/>
      <c r="Q952" s="293"/>
      <c r="R952" s="293"/>
      <c r="S952" s="293"/>
      <c r="T952" s="293"/>
      <c r="U952" s="293"/>
      <c r="V952" s="293"/>
      <c r="W952" s="293"/>
      <c r="X952" s="293"/>
      <c r="Y952" s="293"/>
      <c r="Z952" s="293"/>
      <c r="AA952" s="293"/>
      <c r="AB952" s="293"/>
      <c r="AC952" s="293"/>
      <c r="AD952" s="293"/>
    </row>
    <row r="953">
      <c r="A953" s="293"/>
      <c r="B953" s="308"/>
      <c r="C953" s="293"/>
      <c r="D953" s="293"/>
      <c r="E953" s="293"/>
      <c r="F953" s="293"/>
      <c r="G953" s="293"/>
      <c r="H953" s="293"/>
      <c r="I953" s="293"/>
      <c r="J953" s="293"/>
      <c r="K953" s="293"/>
      <c r="L953" s="293"/>
      <c r="M953" s="293"/>
      <c r="N953" s="293"/>
      <c r="O953" s="293"/>
      <c r="P953" s="293"/>
      <c r="Q953" s="293"/>
      <c r="R953" s="293"/>
      <c r="S953" s="293"/>
      <c r="T953" s="293"/>
      <c r="U953" s="293"/>
      <c r="V953" s="293"/>
      <c r="W953" s="293"/>
      <c r="X953" s="293"/>
      <c r="Y953" s="293"/>
      <c r="Z953" s="293"/>
      <c r="AA953" s="293"/>
      <c r="AB953" s="293"/>
      <c r="AC953" s="293"/>
      <c r="AD953" s="293"/>
    </row>
    <row r="954">
      <c r="A954" s="293"/>
      <c r="B954" s="308"/>
      <c r="C954" s="293"/>
      <c r="D954" s="293"/>
      <c r="E954" s="293"/>
      <c r="F954" s="293"/>
      <c r="G954" s="293"/>
      <c r="H954" s="293"/>
      <c r="I954" s="293"/>
      <c r="J954" s="293"/>
      <c r="K954" s="293"/>
      <c r="L954" s="293"/>
      <c r="M954" s="293"/>
      <c r="N954" s="293"/>
      <c r="O954" s="293"/>
      <c r="P954" s="293"/>
      <c r="Q954" s="293"/>
      <c r="R954" s="293"/>
      <c r="S954" s="293"/>
      <c r="T954" s="293"/>
      <c r="U954" s="293"/>
      <c r="V954" s="293"/>
      <c r="W954" s="293"/>
      <c r="X954" s="293"/>
      <c r="Y954" s="293"/>
      <c r="Z954" s="293"/>
      <c r="AA954" s="293"/>
      <c r="AB954" s="293"/>
      <c r="AC954" s="293"/>
      <c r="AD954" s="293"/>
    </row>
    <row r="955">
      <c r="A955" s="293"/>
      <c r="B955" s="308"/>
      <c r="C955" s="293"/>
      <c r="D955" s="293"/>
      <c r="E955" s="293"/>
      <c r="F955" s="293"/>
      <c r="G955" s="293"/>
      <c r="H955" s="293"/>
      <c r="I955" s="293"/>
      <c r="J955" s="293"/>
      <c r="K955" s="293"/>
      <c r="L955" s="293"/>
      <c r="M955" s="293"/>
      <c r="N955" s="293"/>
      <c r="O955" s="293"/>
      <c r="P955" s="293"/>
      <c r="Q955" s="293"/>
      <c r="R955" s="293"/>
      <c r="S955" s="293"/>
      <c r="T955" s="293"/>
      <c r="U955" s="293"/>
      <c r="V955" s="293"/>
      <c r="W955" s="293"/>
      <c r="X955" s="293"/>
      <c r="Y955" s="293"/>
      <c r="Z955" s="293"/>
      <c r="AA955" s="293"/>
      <c r="AB955" s="293"/>
      <c r="AC955" s="293"/>
      <c r="AD955" s="293"/>
    </row>
    <row r="956">
      <c r="A956" s="293"/>
      <c r="B956" s="308"/>
      <c r="C956" s="293"/>
      <c r="D956" s="293"/>
      <c r="E956" s="293"/>
      <c r="F956" s="293"/>
      <c r="G956" s="293"/>
      <c r="H956" s="293"/>
      <c r="I956" s="293"/>
      <c r="J956" s="293"/>
      <c r="K956" s="293"/>
      <c r="L956" s="293"/>
      <c r="M956" s="293"/>
      <c r="N956" s="293"/>
      <c r="O956" s="293"/>
      <c r="P956" s="293"/>
      <c r="Q956" s="293"/>
      <c r="R956" s="293"/>
      <c r="S956" s="293"/>
      <c r="T956" s="293"/>
      <c r="U956" s="293"/>
      <c r="V956" s="293"/>
      <c r="W956" s="293"/>
      <c r="X956" s="293"/>
      <c r="Y956" s="293"/>
      <c r="Z956" s="293"/>
      <c r="AA956" s="293"/>
      <c r="AB956" s="293"/>
      <c r="AC956" s="293"/>
      <c r="AD956" s="293"/>
    </row>
    <row r="957">
      <c r="A957" s="293"/>
      <c r="B957" s="308"/>
      <c r="C957" s="293"/>
      <c r="D957" s="293"/>
      <c r="E957" s="293"/>
      <c r="F957" s="293"/>
      <c r="G957" s="293"/>
      <c r="H957" s="293"/>
      <c r="I957" s="293"/>
      <c r="J957" s="293"/>
      <c r="K957" s="293"/>
      <c r="L957" s="293"/>
      <c r="M957" s="293"/>
      <c r="N957" s="293"/>
      <c r="O957" s="293"/>
      <c r="P957" s="293"/>
      <c r="Q957" s="293"/>
      <c r="R957" s="293"/>
      <c r="S957" s="293"/>
      <c r="T957" s="293"/>
      <c r="U957" s="293"/>
      <c r="V957" s="293"/>
      <c r="W957" s="293"/>
      <c r="X957" s="293"/>
      <c r="Y957" s="293"/>
      <c r="Z957" s="293"/>
      <c r="AA957" s="293"/>
      <c r="AB957" s="293"/>
      <c r="AC957" s="293"/>
      <c r="AD957" s="293"/>
    </row>
    <row r="958">
      <c r="A958" s="293"/>
      <c r="B958" s="308"/>
      <c r="C958" s="293"/>
      <c r="D958" s="293"/>
      <c r="E958" s="293"/>
      <c r="F958" s="293"/>
      <c r="G958" s="293"/>
      <c r="H958" s="293"/>
      <c r="I958" s="293"/>
      <c r="J958" s="293"/>
      <c r="K958" s="293"/>
      <c r="L958" s="293"/>
      <c r="M958" s="293"/>
      <c r="N958" s="293"/>
      <c r="O958" s="293"/>
      <c r="P958" s="293"/>
      <c r="Q958" s="293"/>
      <c r="R958" s="293"/>
      <c r="S958" s="293"/>
      <c r="T958" s="293"/>
      <c r="U958" s="293"/>
      <c r="V958" s="293"/>
      <c r="W958" s="293"/>
      <c r="X958" s="293"/>
      <c r="Y958" s="293"/>
      <c r="Z958" s="293"/>
      <c r="AA958" s="293"/>
      <c r="AB958" s="293"/>
      <c r="AC958" s="293"/>
      <c r="AD958" s="293"/>
    </row>
    <row r="959">
      <c r="A959" s="293"/>
      <c r="B959" s="308"/>
      <c r="C959" s="293"/>
      <c r="D959" s="293"/>
      <c r="E959" s="293"/>
      <c r="F959" s="293"/>
      <c r="G959" s="293"/>
      <c r="H959" s="293"/>
      <c r="I959" s="293"/>
      <c r="J959" s="293"/>
      <c r="K959" s="293"/>
      <c r="L959" s="293"/>
      <c r="M959" s="293"/>
      <c r="N959" s="293"/>
      <c r="O959" s="293"/>
      <c r="P959" s="293"/>
      <c r="Q959" s="293"/>
      <c r="R959" s="293"/>
      <c r="S959" s="293"/>
      <c r="T959" s="293"/>
      <c r="U959" s="293"/>
      <c r="V959" s="293"/>
      <c r="W959" s="293"/>
      <c r="X959" s="293"/>
      <c r="Y959" s="293"/>
      <c r="Z959" s="293"/>
      <c r="AA959" s="293"/>
      <c r="AB959" s="293"/>
      <c r="AC959" s="293"/>
      <c r="AD959" s="293"/>
    </row>
    <row r="960">
      <c r="A960" s="293"/>
      <c r="B960" s="308"/>
      <c r="C960" s="293"/>
      <c r="D960" s="293"/>
      <c r="E960" s="293"/>
      <c r="F960" s="293"/>
      <c r="G960" s="293"/>
      <c r="H960" s="293"/>
      <c r="I960" s="293"/>
      <c r="J960" s="293"/>
      <c r="K960" s="293"/>
      <c r="L960" s="293"/>
      <c r="M960" s="293"/>
      <c r="N960" s="293"/>
      <c r="O960" s="293"/>
      <c r="P960" s="293"/>
      <c r="Q960" s="293"/>
      <c r="R960" s="293"/>
      <c r="S960" s="293"/>
      <c r="T960" s="293"/>
      <c r="U960" s="293"/>
      <c r="V960" s="293"/>
      <c r="W960" s="293"/>
      <c r="X960" s="293"/>
      <c r="Y960" s="293"/>
      <c r="Z960" s="293"/>
      <c r="AA960" s="293"/>
      <c r="AB960" s="293"/>
      <c r="AC960" s="293"/>
      <c r="AD960" s="293"/>
    </row>
    <row r="961">
      <c r="A961" s="293"/>
      <c r="B961" s="308"/>
      <c r="C961" s="293"/>
      <c r="D961" s="293"/>
      <c r="E961" s="293"/>
      <c r="F961" s="293"/>
      <c r="G961" s="293"/>
      <c r="H961" s="293"/>
      <c r="I961" s="293"/>
      <c r="J961" s="293"/>
      <c r="K961" s="293"/>
      <c r="L961" s="293"/>
      <c r="M961" s="293"/>
      <c r="N961" s="293"/>
      <c r="O961" s="293"/>
      <c r="P961" s="293"/>
      <c r="Q961" s="293"/>
      <c r="R961" s="293"/>
      <c r="S961" s="293"/>
      <c r="T961" s="293"/>
      <c r="U961" s="293"/>
      <c r="V961" s="293"/>
      <c r="W961" s="293"/>
      <c r="X961" s="293"/>
      <c r="Y961" s="293"/>
      <c r="Z961" s="293"/>
      <c r="AA961" s="293"/>
      <c r="AB961" s="293"/>
      <c r="AC961" s="293"/>
      <c r="AD961" s="293"/>
    </row>
    <row r="962">
      <c r="A962" s="293"/>
      <c r="B962" s="308"/>
      <c r="C962" s="293"/>
      <c r="D962" s="293"/>
      <c r="E962" s="293"/>
      <c r="F962" s="293"/>
      <c r="G962" s="293"/>
      <c r="H962" s="293"/>
      <c r="I962" s="293"/>
      <c r="J962" s="293"/>
      <c r="K962" s="293"/>
      <c r="L962" s="293"/>
      <c r="M962" s="293"/>
      <c r="N962" s="293"/>
      <c r="O962" s="293"/>
      <c r="P962" s="293"/>
      <c r="Q962" s="293"/>
      <c r="R962" s="293"/>
      <c r="S962" s="293"/>
      <c r="T962" s="293"/>
      <c r="U962" s="293"/>
      <c r="V962" s="293"/>
      <c r="W962" s="293"/>
      <c r="X962" s="293"/>
      <c r="Y962" s="293"/>
      <c r="Z962" s="293"/>
      <c r="AA962" s="293"/>
      <c r="AB962" s="293"/>
      <c r="AC962" s="293"/>
      <c r="AD962" s="293"/>
    </row>
    <row r="963">
      <c r="A963" s="293"/>
      <c r="B963" s="308"/>
      <c r="C963" s="293"/>
      <c r="D963" s="293"/>
      <c r="E963" s="293"/>
      <c r="F963" s="293"/>
      <c r="G963" s="293"/>
      <c r="H963" s="293"/>
      <c r="I963" s="293"/>
      <c r="J963" s="293"/>
      <c r="K963" s="293"/>
      <c r="L963" s="293"/>
      <c r="M963" s="293"/>
      <c r="N963" s="293"/>
      <c r="O963" s="293"/>
      <c r="P963" s="293"/>
      <c r="Q963" s="293"/>
      <c r="R963" s="293"/>
      <c r="S963" s="293"/>
      <c r="T963" s="293"/>
      <c r="U963" s="293"/>
      <c r="V963" s="293"/>
      <c r="W963" s="293"/>
      <c r="X963" s="293"/>
      <c r="Y963" s="293"/>
      <c r="Z963" s="293"/>
      <c r="AA963" s="293"/>
      <c r="AB963" s="293"/>
      <c r="AC963" s="293"/>
      <c r="AD963" s="293"/>
    </row>
    <row r="964">
      <c r="A964" s="293"/>
      <c r="B964" s="308"/>
      <c r="C964" s="293"/>
      <c r="D964" s="293"/>
      <c r="E964" s="293"/>
      <c r="F964" s="293"/>
      <c r="G964" s="293"/>
      <c r="H964" s="293"/>
      <c r="I964" s="293"/>
      <c r="J964" s="293"/>
      <c r="K964" s="293"/>
      <c r="L964" s="293"/>
      <c r="M964" s="293"/>
      <c r="N964" s="293"/>
      <c r="O964" s="293"/>
      <c r="P964" s="293"/>
      <c r="Q964" s="293"/>
      <c r="R964" s="293"/>
      <c r="S964" s="293"/>
      <c r="T964" s="293"/>
      <c r="U964" s="293"/>
      <c r="V964" s="293"/>
      <c r="W964" s="293"/>
      <c r="X964" s="293"/>
      <c r="Y964" s="293"/>
      <c r="Z964" s="293"/>
      <c r="AA964" s="293"/>
      <c r="AB964" s="293"/>
      <c r="AC964" s="293"/>
      <c r="AD964" s="293"/>
    </row>
    <row r="965">
      <c r="A965" s="293"/>
      <c r="B965" s="308"/>
      <c r="C965" s="293"/>
      <c r="D965" s="293"/>
      <c r="E965" s="293"/>
      <c r="F965" s="293"/>
      <c r="G965" s="293"/>
      <c r="H965" s="293"/>
      <c r="I965" s="293"/>
      <c r="J965" s="293"/>
      <c r="K965" s="293"/>
      <c r="L965" s="293"/>
      <c r="M965" s="293"/>
      <c r="N965" s="293"/>
      <c r="O965" s="293"/>
      <c r="P965" s="293"/>
      <c r="Q965" s="293"/>
      <c r="R965" s="293"/>
      <c r="S965" s="293"/>
      <c r="T965" s="293"/>
      <c r="U965" s="293"/>
      <c r="V965" s="293"/>
      <c r="W965" s="293"/>
      <c r="X965" s="293"/>
      <c r="Y965" s="293"/>
      <c r="Z965" s="293"/>
      <c r="AA965" s="293"/>
      <c r="AB965" s="293"/>
      <c r="AC965" s="293"/>
      <c r="AD965" s="293"/>
    </row>
    <row r="966">
      <c r="A966" s="293"/>
      <c r="B966" s="308"/>
      <c r="C966" s="293"/>
      <c r="D966" s="293"/>
      <c r="E966" s="293"/>
      <c r="F966" s="293"/>
      <c r="G966" s="293"/>
      <c r="H966" s="293"/>
      <c r="I966" s="293"/>
      <c r="J966" s="293"/>
      <c r="K966" s="293"/>
      <c r="L966" s="293"/>
      <c r="M966" s="293"/>
      <c r="N966" s="293"/>
      <c r="O966" s="293"/>
      <c r="P966" s="293"/>
      <c r="Q966" s="293"/>
      <c r="R966" s="293"/>
      <c r="S966" s="293"/>
      <c r="T966" s="293"/>
      <c r="U966" s="293"/>
      <c r="V966" s="293"/>
      <c r="W966" s="293"/>
      <c r="X966" s="293"/>
      <c r="Y966" s="293"/>
      <c r="Z966" s="293"/>
      <c r="AA966" s="293"/>
      <c r="AB966" s="293"/>
      <c r="AC966" s="293"/>
      <c r="AD966" s="293"/>
    </row>
    <row r="967">
      <c r="A967" s="293"/>
      <c r="B967" s="308"/>
      <c r="C967" s="293"/>
      <c r="D967" s="293"/>
      <c r="E967" s="293"/>
      <c r="F967" s="293"/>
      <c r="G967" s="293"/>
      <c r="H967" s="293"/>
      <c r="I967" s="293"/>
      <c r="J967" s="293"/>
      <c r="K967" s="293"/>
      <c r="L967" s="293"/>
      <c r="M967" s="293"/>
      <c r="N967" s="293"/>
      <c r="O967" s="293"/>
      <c r="P967" s="293"/>
      <c r="Q967" s="293"/>
      <c r="R967" s="293"/>
      <c r="S967" s="293"/>
      <c r="T967" s="293"/>
      <c r="U967" s="293"/>
      <c r="V967" s="293"/>
      <c r="W967" s="293"/>
      <c r="X967" s="293"/>
      <c r="Y967" s="293"/>
      <c r="Z967" s="293"/>
      <c r="AA967" s="293"/>
      <c r="AB967" s="293"/>
      <c r="AC967" s="293"/>
      <c r="AD967" s="293"/>
    </row>
    <row r="968">
      <c r="A968" s="293"/>
      <c r="B968" s="308"/>
      <c r="C968" s="293"/>
      <c r="D968" s="293"/>
      <c r="E968" s="293"/>
      <c r="F968" s="293"/>
      <c r="G968" s="293"/>
      <c r="H968" s="293"/>
      <c r="I968" s="293"/>
      <c r="J968" s="293"/>
      <c r="K968" s="293"/>
      <c r="L968" s="293"/>
      <c r="M968" s="293"/>
      <c r="N968" s="293"/>
      <c r="O968" s="293"/>
      <c r="P968" s="293"/>
      <c r="Q968" s="293"/>
      <c r="R968" s="293"/>
      <c r="S968" s="293"/>
      <c r="T968" s="293"/>
      <c r="U968" s="293"/>
      <c r="V968" s="293"/>
      <c r="W968" s="293"/>
      <c r="X968" s="293"/>
      <c r="Y968" s="293"/>
      <c r="Z968" s="293"/>
      <c r="AA968" s="293"/>
      <c r="AB968" s="293"/>
      <c r="AC968" s="293"/>
      <c r="AD968" s="293"/>
    </row>
    <row r="969">
      <c r="A969" s="293"/>
      <c r="B969" s="308"/>
      <c r="C969" s="293"/>
      <c r="D969" s="293"/>
      <c r="E969" s="293"/>
      <c r="F969" s="293"/>
      <c r="G969" s="293"/>
      <c r="H969" s="293"/>
      <c r="I969" s="293"/>
      <c r="J969" s="293"/>
      <c r="K969" s="293"/>
      <c r="L969" s="293"/>
      <c r="M969" s="293"/>
      <c r="N969" s="293"/>
      <c r="O969" s="293"/>
      <c r="P969" s="293"/>
      <c r="Q969" s="293"/>
      <c r="R969" s="293"/>
      <c r="S969" s="293"/>
      <c r="T969" s="293"/>
      <c r="U969" s="293"/>
      <c r="V969" s="293"/>
      <c r="W969" s="293"/>
      <c r="X969" s="293"/>
      <c r="Y969" s="293"/>
      <c r="Z969" s="293"/>
      <c r="AA969" s="293"/>
      <c r="AB969" s="293"/>
      <c r="AC969" s="293"/>
      <c r="AD969" s="293"/>
    </row>
    <row r="970">
      <c r="A970" s="293"/>
      <c r="B970" s="308"/>
      <c r="C970" s="293"/>
      <c r="D970" s="293"/>
      <c r="E970" s="293"/>
      <c r="F970" s="293"/>
      <c r="G970" s="293"/>
      <c r="H970" s="293"/>
      <c r="I970" s="293"/>
      <c r="J970" s="293"/>
      <c r="K970" s="293"/>
      <c r="L970" s="293"/>
      <c r="M970" s="293"/>
      <c r="N970" s="293"/>
      <c r="O970" s="293"/>
      <c r="P970" s="293"/>
      <c r="Q970" s="293"/>
      <c r="R970" s="293"/>
      <c r="S970" s="293"/>
      <c r="T970" s="293"/>
      <c r="U970" s="293"/>
      <c r="V970" s="293"/>
      <c r="W970" s="293"/>
      <c r="X970" s="293"/>
      <c r="Y970" s="293"/>
      <c r="Z970" s="293"/>
      <c r="AA970" s="293"/>
      <c r="AB970" s="293"/>
      <c r="AC970" s="293"/>
      <c r="AD970" s="293"/>
    </row>
    <row r="971">
      <c r="A971" s="293"/>
      <c r="B971" s="308"/>
      <c r="C971" s="293"/>
      <c r="D971" s="293"/>
      <c r="E971" s="293"/>
      <c r="F971" s="293"/>
      <c r="G971" s="293"/>
      <c r="H971" s="293"/>
      <c r="I971" s="293"/>
      <c r="J971" s="293"/>
      <c r="K971" s="293"/>
      <c r="L971" s="293"/>
      <c r="M971" s="293"/>
      <c r="N971" s="293"/>
      <c r="O971" s="293"/>
      <c r="P971" s="293"/>
      <c r="Q971" s="293"/>
      <c r="R971" s="293"/>
      <c r="S971" s="293"/>
      <c r="T971" s="293"/>
      <c r="U971" s="293"/>
      <c r="V971" s="293"/>
      <c r="W971" s="293"/>
      <c r="X971" s="293"/>
      <c r="Y971" s="293"/>
      <c r="Z971" s="293"/>
      <c r="AA971" s="293"/>
      <c r="AB971" s="293"/>
      <c r="AC971" s="293"/>
      <c r="AD971" s="293"/>
    </row>
    <row r="972">
      <c r="A972" s="293"/>
      <c r="B972" s="308"/>
      <c r="C972" s="293"/>
      <c r="D972" s="293"/>
      <c r="E972" s="293"/>
      <c r="F972" s="293"/>
      <c r="G972" s="293"/>
      <c r="H972" s="293"/>
      <c r="I972" s="293"/>
      <c r="J972" s="293"/>
      <c r="K972" s="293"/>
      <c r="L972" s="293"/>
      <c r="M972" s="293"/>
      <c r="N972" s="293"/>
      <c r="O972" s="293"/>
      <c r="P972" s="293"/>
      <c r="Q972" s="293"/>
      <c r="R972" s="293"/>
      <c r="S972" s="293"/>
      <c r="T972" s="293"/>
      <c r="U972" s="293"/>
      <c r="V972" s="293"/>
      <c r="W972" s="293"/>
      <c r="X972" s="293"/>
      <c r="Y972" s="293"/>
      <c r="Z972" s="293"/>
      <c r="AA972" s="293"/>
      <c r="AB972" s="293"/>
      <c r="AC972" s="293"/>
      <c r="AD972" s="293"/>
    </row>
    <row r="973">
      <c r="A973" s="293"/>
      <c r="B973" s="308"/>
      <c r="C973" s="293"/>
      <c r="D973" s="293"/>
      <c r="E973" s="293"/>
      <c r="F973" s="293"/>
      <c r="G973" s="293"/>
      <c r="H973" s="293"/>
      <c r="I973" s="293"/>
      <c r="J973" s="293"/>
      <c r="K973" s="293"/>
      <c r="L973" s="293"/>
      <c r="M973" s="293"/>
      <c r="N973" s="293"/>
      <c r="O973" s="293"/>
      <c r="P973" s="293"/>
      <c r="Q973" s="293"/>
      <c r="R973" s="293"/>
      <c r="S973" s="293"/>
      <c r="T973" s="293"/>
      <c r="U973" s="293"/>
      <c r="V973" s="293"/>
      <c r="W973" s="293"/>
      <c r="X973" s="293"/>
      <c r="Y973" s="293"/>
      <c r="Z973" s="293"/>
      <c r="AA973" s="293"/>
      <c r="AB973" s="293"/>
      <c r="AC973" s="293"/>
      <c r="AD973" s="293"/>
    </row>
    <row r="974">
      <c r="A974" s="293"/>
      <c r="B974" s="308"/>
      <c r="C974" s="293"/>
      <c r="D974" s="293"/>
      <c r="E974" s="293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3"/>
      <c r="V974" s="293"/>
      <c r="W974" s="293"/>
      <c r="X974" s="293"/>
      <c r="Y974" s="293"/>
      <c r="Z974" s="293"/>
      <c r="AA974" s="293"/>
      <c r="AB974" s="293"/>
      <c r="AC974" s="293"/>
      <c r="AD974" s="293"/>
    </row>
    <row r="975">
      <c r="A975" s="293"/>
      <c r="B975" s="308"/>
      <c r="C975" s="293"/>
      <c r="D975" s="293"/>
      <c r="E975" s="293"/>
      <c r="F975" s="293"/>
      <c r="G975" s="293"/>
      <c r="H975" s="293"/>
      <c r="I975" s="293"/>
      <c r="J975" s="293"/>
      <c r="K975" s="293"/>
      <c r="L975" s="293"/>
      <c r="M975" s="293"/>
      <c r="N975" s="293"/>
      <c r="O975" s="293"/>
      <c r="P975" s="293"/>
      <c r="Q975" s="293"/>
      <c r="R975" s="293"/>
      <c r="S975" s="293"/>
      <c r="T975" s="293"/>
      <c r="U975" s="293"/>
      <c r="V975" s="293"/>
      <c r="W975" s="293"/>
      <c r="X975" s="293"/>
      <c r="Y975" s="293"/>
      <c r="Z975" s="293"/>
      <c r="AA975" s="293"/>
      <c r="AB975" s="293"/>
      <c r="AC975" s="293"/>
      <c r="AD975" s="293"/>
    </row>
    <row r="976">
      <c r="A976" s="293"/>
      <c r="B976" s="308"/>
      <c r="C976" s="293"/>
      <c r="D976" s="293"/>
      <c r="E976" s="293"/>
      <c r="F976" s="293"/>
      <c r="G976" s="293"/>
      <c r="H976" s="293"/>
      <c r="I976" s="293"/>
      <c r="J976" s="293"/>
      <c r="K976" s="293"/>
      <c r="L976" s="293"/>
      <c r="M976" s="293"/>
      <c r="N976" s="293"/>
      <c r="O976" s="293"/>
      <c r="P976" s="293"/>
      <c r="Q976" s="293"/>
      <c r="R976" s="293"/>
      <c r="S976" s="293"/>
      <c r="T976" s="293"/>
      <c r="U976" s="293"/>
      <c r="V976" s="293"/>
      <c r="W976" s="293"/>
      <c r="X976" s="293"/>
      <c r="Y976" s="293"/>
      <c r="Z976" s="293"/>
      <c r="AA976" s="293"/>
      <c r="AB976" s="293"/>
      <c r="AC976" s="293"/>
      <c r="AD976" s="293"/>
    </row>
    <row r="977">
      <c r="A977" s="293"/>
      <c r="B977" s="308"/>
      <c r="C977" s="293"/>
      <c r="D977" s="293"/>
      <c r="E977" s="293"/>
      <c r="F977" s="293"/>
      <c r="G977" s="293"/>
      <c r="H977" s="293"/>
      <c r="I977" s="293"/>
      <c r="J977" s="293"/>
      <c r="K977" s="293"/>
      <c r="L977" s="293"/>
      <c r="M977" s="293"/>
      <c r="N977" s="293"/>
      <c r="O977" s="293"/>
      <c r="P977" s="293"/>
      <c r="Q977" s="293"/>
      <c r="R977" s="293"/>
      <c r="S977" s="293"/>
      <c r="T977" s="293"/>
      <c r="U977" s="293"/>
      <c r="V977" s="293"/>
      <c r="W977" s="293"/>
      <c r="X977" s="293"/>
      <c r="Y977" s="293"/>
      <c r="Z977" s="293"/>
      <c r="AA977" s="293"/>
      <c r="AB977" s="293"/>
      <c r="AC977" s="293"/>
      <c r="AD977" s="293"/>
    </row>
    <row r="978">
      <c r="A978" s="293"/>
      <c r="B978" s="308"/>
      <c r="C978" s="293"/>
      <c r="D978" s="293"/>
      <c r="E978" s="293"/>
      <c r="F978" s="293"/>
      <c r="G978" s="293"/>
      <c r="H978" s="293"/>
      <c r="I978" s="293"/>
      <c r="J978" s="293"/>
      <c r="K978" s="293"/>
      <c r="L978" s="293"/>
      <c r="M978" s="293"/>
      <c r="N978" s="293"/>
      <c r="O978" s="293"/>
      <c r="P978" s="293"/>
      <c r="Q978" s="293"/>
      <c r="R978" s="293"/>
      <c r="S978" s="293"/>
      <c r="T978" s="293"/>
      <c r="U978" s="293"/>
      <c r="V978" s="293"/>
      <c r="W978" s="293"/>
      <c r="X978" s="293"/>
      <c r="Y978" s="293"/>
      <c r="Z978" s="293"/>
      <c r="AA978" s="293"/>
      <c r="AB978" s="293"/>
      <c r="AC978" s="293"/>
      <c r="AD978" s="293"/>
    </row>
    <row r="979">
      <c r="A979" s="293"/>
      <c r="B979" s="308"/>
      <c r="C979" s="293"/>
      <c r="D979" s="293"/>
      <c r="E979" s="293"/>
      <c r="F979" s="293"/>
      <c r="G979" s="293"/>
      <c r="H979" s="293"/>
      <c r="I979" s="293"/>
      <c r="J979" s="293"/>
      <c r="K979" s="293"/>
      <c r="L979" s="293"/>
      <c r="M979" s="293"/>
      <c r="N979" s="293"/>
      <c r="O979" s="293"/>
      <c r="P979" s="293"/>
      <c r="Q979" s="293"/>
      <c r="R979" s="293"/>
      <c r="S979" s="293"/>
      <c r="T979" s="293"/>
      <c r="U979" s="293"/>
      <c r="V979" s="293"/>
      <c r="W979" s="293"/>
      <c r="X979" s="293"/>
      <c r="Y979" s="293"/>
      <c r="Z979" s="293"/>
      <c r="AA979" s="293"/>
      <c r="AB979" s="293"/>
      <c r="AC979" s="293"/>
      <c r="AD979" s="293"/>
    </row>
    <row r="980">
      <c r="A980" s="293"/>
      <c r="B980" s="308"/>
      <c r="C980" s="293"/>
      <c r="D980" s="293"/>
      <c r="E980" s="293"/>
      <c r="F980" s="293"/>
      <c r="G980" s="293"/>
      <c r="H980" s="293"/>
      <c r="I980" s="293"/>
      <c r="J980" s="293"/>
      <c r="K980" s="293"/>
      <c r="L980" s="293"/>
      <c r="M980" s="293"/>
      <c r="N980" s="293"/>
      <c r="O980" s="293"/>
      <c r="P980" s="293"/>
      <c r="Q980" s="293"/>
      <c r="R980" s="293"/>
      <c r="S980" s="293"/>
      <c r="T980" s="293"/>
      <c r="U980" s="293"/>
      <c r="V980" s="293"/>
      <c r="W980" s="293"/>
      <c r="X980" s="293"/>
      <c r="Y980" s="293"/>
      <c r="Z980" s="293"/>
      <c r="AA980" s="293"/>
      <c r="AB980" s="293"/>
      <c r="AC980" s="293"/>
      <c r="AD980" s="293"/>
    </row>
    <row r="981">
      <c r="A981" s="293"/>
      <c r="B981" s="308"/>
      <c r="C981" s="293"/>
      <c r="D981" s="293"/>
      <c r="E981" s="293"/>
      <c r="F981" s="293"/>
      <c r="G981" s="293"/>
      <c r="H981" s="293"/>
      <c r="I981" s="293"/>
      <c r="J981" s="293"/>
      <c r="K981" s="293"/>
      <c r="L981" s="293"/>
      <c r="M981" s="293"/>
      <c r="N981" s="293"/>
      <c r="O981" s="293"/>
      <c r="P981" s="293"/>
      <c r="Q981" s="293"/>
      <c r="R981" s="293"/>
      <c r="S981" s="293"/>
      <c r="T981" s="293"/>
      <c r="U981" s="293"/>
      <c r="V981" s="293"/>
      <c r="W981" s="293"/>
      <c r="X981" s="293"/>
      <c r="Y981" s="293"/>
      <c r="Z981" s="293"/>
      <c r="AA981" s="293"/>
      <c r="AB981" s="293"/>
      <c r="AC981" s="293"/>
      <c r="AD981" s="293"/>
    </row>
    <row r="982">
      <c r="A982" s="293"/>
      <c r="B982" s="308"/>
      <c r="C982" s="293"/>
      <c r="D982" s="293"/>
      <c r="E982" s="293"/>
      <c r="F982" s="293"/>
      <c r="G982" s="293"/>
      <c r="H982" s="293"/>
      <c r="I982" s="293"/>
      <c r="J982" s="293"/>
      <c r="K982" s="293"/>
      <c r="L982" s="293"/>
      <c r="M982" s="293"/>
      <c r="N982" s="293"/>
      <c r="O982" s="293"/>
      <c r="P982" s="293"/>
      <c r="Q982" s="293"/>
      <c r="R982" s="293"/>
      <c r="S982" s="293"/>
      <c r="T982" s="293"/>
      <c r="U982" s="293"/>
      <c r="V982" s="293"/>
      <c r="W982" s="293"/>
      <c r="X982" s="293"/>
      <c r="Y982" s="293"/>
      <c r="Z982" s="293"/>
      <c r="AA982" s="293"/>
      <c r="AB982" s="293"/>
      <c r="AC982" s="293"/>
      <c r="AD982" s="293"/>
    </row>
    <row r="983">
      <c r="A983" s="293"/>
      <c r="B983" s="308"/>
      <c r="C983" s="293"/>
      <c r="D983" s="293"/>
      <c r="E983" s="293"/>
      <c r="F983" s="293"/>
      <c r="G983" s="293"/>
      <c r="H983" s="293"/>
      <c r="I983" s="293"/>
      <c r="J983" s="293"/>
      <c r="K983" s="293"/>
      <c r="L983" s="293"/>
      <c r="M983" s="293"/>
      <c r="N983" s="293"/>
      <c r="O983" s="293"/>
      <c r="P983" s="293"/>
      <c r="Q983" s="293"/>
      <c r="R983" s="293"/>
      <c r="S983" s="293"/>
      <c r="T983" s="293"/>
      <c r="U983" s="293"/>
      <c r="V983" s="293"/>
      <c r="W983" s="293"/>
      <c r="X983" s="293"/>
      <c r="Y983" s="293"/>
      <c r="Z983" s="293"/>
      <c r="AA983" s="293"/>
      <c r="AB983" s="293"/>
      <c r="AC983" s="293"/>
      <c r="AD983" s="293"/>
    </row>
    <row r="984">
      <c r="A984" s="293"/>
      <c r="B984" s="308"/>
      <c r="C984" s="293"/>
      <c r="D984" s="293"/>
      <c r="E984" s="293"/>
      <c r="F984" s="293"/>
      <c r="G984" s="293"/>
      <c r="H984" s="293"/>
      <c r="I984" s="293"/>
      <c r="J984" s="293"/>
      <c r="K984" s="293"/>
      <c r="L984" s="293"/>
      <c r="M984" s="293"/>
      <c r="N984" s="293"/>
      <c r="O984" s="293"/>
      <c r="P984" s="293"/>
      <c r="Q984" s="293"/>
      <c r="R984" s="293"/>
      <c r="S984" s="293"/>
      <c r="T984" s="293"/>
      <c r="U984" s="293"/>
      <c r="V984" s="293"/>
      <c r="W984" s="293"/>
      <c r="X984" s="293"/>
      <c r="Y984" s="293"/>
      <c r="Z984" s="293"/>
      <c r="AA984" s="293"/>
      <c r="AB984" s="293"/>
      <c r="AC984" s="293"/>
      <c r="AD984" s="293"/>
    </row>
    <row r="985">
      <c r="A985" s="293"/>
      <c r="B985" s="308"/>
      <c r="C985" s="293"/>
      <c r="D985" s="293"/>
      <c r="E985" s="293"/>
      <c r="F985" s="293"/>
      <c r="G985" s="293"/>
      <c r="H985" s="293"/>
      <c r="I985" s="293"/>
      <c r="J985" s="293"/>
      <c r="K985" s="293"/>
      <c r="L985" s="293"/>
      <c r="M985" s="293"/>
      <c r="N985" s="293"/>
      <c r="O985" s="293"/>
      <c r="P985" s="293"/>
      <c r="Q985" s="293"/>
      <c r="R985" s="293"/>
      <c r="S985" s="293"/>
      <c r="T985" s="293"/>
      <c r="U985" s="293"/>
      <c r="V985" s="293"/>
      <c r="W985" s="293"/>
      <c r="X985" s="293"/>
      <c r="Y985" s="293"/>
      <c r="Z985" s="293"/>
      <c r="AA985" s="293"/>
      <c r="AB985" s="293"/>
      <c r="AC985" s="293"/>
      <c r="AD985" s="293"/>
    </row>
    <row r="986">
      <c r="A986" s="293"/>
      <c r="B986" s="308"/>
      <c r="C986" s="293"/>
      <c r="D986" s="293"/>
      <c r="E986" s="293"/>
      <c r="F986" s="293"/>
      <c r="G986" s="293"/>
      <c r="H986" s="293"/>
      <c r="I986" s="293"/>
      <c r="J986" s="293"/>
      <c r="K986" s="293"/>
      <c r="L986" s="293"/>
      <c r="M986" s="293"/>
      <c r="N986" s="293"/>
      <c r="O986" s="293"/>
      <c r="P986" s="293"/>
      <c r="Q986" s="293"/>
      <c r="R986" s="293"/>
      <c r="S986" s="293"/>
      <c r="T986" s="293"/>
      <c r="U986" s="293"/>
      <c r="V986" s="293"/>
      <c r="W986" s="293"/>
      <c r="X986" s="293"/>
      <c r="Y986" s="293"/>
      <c r="Z986" s="293"/>
      <c r="AA986" s="293"/>
      <c r="AB986" s="293"/>
      <c r="AC986" s="293"/>
      <c r="AD986" s="293"/>
    </row>
    <row r="987">
      <c r="A987" s="293"/>
      <c r="B987" s="308"/>
      <c r="C987" s="293"/>
      <c r="D987" s="293"/>
      <c r="E987" s="293"/>
      <c r="F987" s="293"/>
      <c r="G987" s="293"/>
      <c r="H987" s="293"/>
      <c r="I987" s="293"/>
      <c r="J987" s="293"/>
      <c r="K987" s="293"/>
      <c r="L987" s="293"/>
      <c r="M987" s="293"/>
      <c r="N987" s="293"/>
      <c r="O987" s="293"/>
      <c r="P987" s="293"/>
      <c r="Q987" s="293"/>
      <c r="R987" s="293"/>
      <c r="S987" s="293"/>
      <c r="T987" s="293"/>
      <c r="U987" s="293"/>
      <c r="V987" s="293"/>
      <c r="W987" s="293"/>
      <c r="X987" s="293"/>
      <c r="Y987" s="293"/>
      <c r="Z987" s="293"/>
      <c r="AA987" s="293"/>
      <c r="AB987" s="293"/>
      <c r="AC987" s="293"/>
      <c r="AD987" s="293"/>
    </row>
    <row r="988">
      <c r="A988" s="293"/>
      <c r="B988" s="308"/>
      <c r="C988" s="293"/>
      <c r="D988" s="293"/>
      <c r="E988" s="293"/>
      <c r="F988" s="293"/>
      <c r="G988" s="293"/>
      <c r="H988" s="293"/>
      <c r="I988" s="293"/>
      <c r="J988" s="293"/>
      <c r="K988" s="293"/>
      <c r="L988" s="293"/>
      <c r="M988" s="293"/>
      <c r="N988" s="293"/>
      <c r="O988" s="293"/>
      <c r="P988" s="293"/>
      <c r="Q988" s="293"/>
      <c r="R988" s="293"/>
      <c r="S988" s="293"/>
      <c r="T988" s="293"/>
      <c r="U988" s="293"/>
      <c r="V988" s="293"/>
      <c r="W988" s="293"/>
      <c r="X988" s="293"/>
      <c r="Y988" s="293"/>
      <c r="Z988" s="293"/>
      <c r="AA988" s="293"/>
      <c r="AB988" s="293"/>
      <c r="AC988" s="293"/>
      <c r="AD988" s="293"/>
    </row>
    <row r="989">
      <c r="A989" s="293"/>
      <c r="B989" s="308"/>
      <c r="C989" s="293"/>
      <c r="D989" s="293"/>
      <c r="E989" s="293"/>
      <c r="F989" s="293"/>
      <c r="G989" s="293"/>
      <c r="H989" s="293"/>
      <c r="I989" s="293"/>
      <c r="J989" s="293"/>
      <c r="K989" s="293"/>
      <c r="L989" s="293"/>
      <c r="M989" s="293"/>
      <c r="N989" s="293"/>
      <c r="O989" s="293"/>
      <c r="P989" s="293"/>
      <c r="Q989" s="293"/>
      <c r="R989" s="293"/>
      <c r="S989" s="293"/>
      <c r="T989" s="293"/>
      <c r="U989" s="293"/>
      <c r="V989" s="293"/>
      <c r="W989" s="293"/>
      <c r="X989" s="293"/>
      <c r="Y989" s="293"/>
      <c r="Z989" s="293"/>
      <c r="AA989" s="293"/>
      <c r="AB989" s="293"/>
      <c r="AC989" s="293"/>
      <c r="AD989" s="293"/>
    </row>
    <row r="990">
      <c r="A990" s="293"/>
      <c r="B990" s="308"/>
      <c r="C990" s="293"/>
      <c r="D990" s="293"/>
      <c r="E990" s="293"/>
      <c r="F990" s="293"/>
      <c r="G990" s="293"/>
      <c r="H990" s="293"/>
      <c r="I990" s="293"/>
      <c r="J990" s="293"/>
      <c r="K990" s="293"/>
      <c r="L990" s="293"/>
      <c r="M990" s="293"/>
      <c r="N990" s="293"/>
      <c r="O990" s="293"/>
      <c r="P990" s="293"/>
      <c r="Q990" s="293"/>
      <c r="R990" s="293"/>
      <c r="S990" s="293"/>
      <c r="T990" s="293"/>
      <c r="U990" s="293"/>
      <c r="V990" s="293"/>
      <c r="W990" s="293"/>
      <c r="X990" s="293"/>
      <c r="Y990" s="293"/>
      <c r="Z990" s="293"/>
      <c r="AA990" s="293"/>
      <c r="AB990" s="293"/>
      <c r="AC990" s="293"/>
      <c r="AD990" s="293"/>
    </row>
    <row r="991">
      <c r="A991" s="293"/>
      <c r="B991" s="308"/>
      <c r="C991" s="293"/>
      <c r="D991" s="293"/>
      <c r="E991" s="293"/>
      <c r="F991" s="293"/>
      <c r="G991" s="293"/>
      <c r="H991" s="293"/>
      <c r="I991" s="293"/>
      <c r="J991" s="293"/>
      <c r="K991" s="293"/>
      <c r="L991" s="293"/>
      <c r="M991" s="293"/>
      <c r="N991" s="293"/>
      <c r="O991" s="293"/>
      <c r="P991" s="293"/>
      <c r="Q991" s="293"/>
      <c r="R991" s="293"/>
      <c r="S991" s="293"/>
      <c r="T991" s="293"/>
      <c r="U991" s="293"/>
      <c r="V991" s="293"/>
      <c r="W991" s="293"/>
      <c r="X991" s="293"/>
      <c r="Y991" s="293"/>
      <c r="Z991" s="293"/>
      <c r="AA991" s="293"/>
      <c r="AB991" s="293"/>
      <c r="AC991" s="293"/>
      <c r="AD991" s="293"/>
    </row>
    <row r="992">
      <c r="A992" s="293"/>
      <c r="B992" s="308"/>
      <c r="C992" s="293"/>
      <c r="D992" s="293"/>
      <c r="E992" s="293"/>
      <c r="F992" s="293"/>
      <c r="G992" s="293"/>
      <c r="H992" s="293"/>
      <c r="I992" s="293"/>
      <c r="J992" s="293"/>
      <c r="K992" s="293"/>
      <c r="L992" s="293"/>
      <c r="M992" s="293"/>
      <c r="N992" s="293"/>
      <c r="O992" s="293"/>
      <c r="P992" s="293"/>
      <c r="Q992" s="293"/>
      <c r="R992" s="293"/>
      <c r="S992" s="293"/>
      <c r="T992" s="293"/>
      <c r="U992" s="293"/>
      <c r="V992" s="293"/>
      <c r="W992" s="293"/>
      <c r="X992" s="293"/>
      <c r="Y992" s="293"/>
      <c r="Z992" s="293"/>
      <c r="AA992" s="293"/>
      <c r="AB992" s="293"/>
      <c r="AC992" s="293"/>
      <c r="AD992" s="293"/>
    </row>
    <row r="993">
      <c r="A993" s="293"/>
      <c r="B993" s="308"/>
      <c r="C993" s="293"/>
      <c r="D993" s="293"/>
      <c r="E993" s="293"/>
      <c r="F993" s="293"/>
      <c r="G993" s="293"/>
      <c r="H993" s="293"/>
      <c r="I993" s="293"/>
      <c r="J993" s="293"/>
      <c r="K993" s="293"/>
      <c r="L993" s="293"/>
      <c r="M993" s="293"/>
      <c r="N993" s="293"/>
      <c r="O993" s="293"/>
      <c r="P993" s="293"/>
      <c r="Q993" s="293"/>
      <c r="R993" s="293"/>
      <c r="S993" s="293"/>
      <c r="T993" s="293"/>
      <c r="U993" s="293"/>
      <c r="V993" s="293"/>
      <c r="W993" s="293"/>
      <c r="X993" s="293"/>
      <c r="Y993" s="293"/>
      <c r="Z993" s="293"/>
      <c r="AA993" s="293"/>
      <c r="AB993" s="293"/>
      <c r="AC993" s="293"/>
      <c r="AD993" s="293"/>
    </row>
    <row r="994">
      <c r="A994" s="293"/>
      <c r="B994" s="308"/>
      <c r="C994" s="293"/>
      <c r="D994" s="293"/>
      <c r="E994" s="293"/>
      <c r="F994" s="293"/>
      <c r="G994" s="293"/>
      <c r="H994" s="293"/>
      <c r="I994" s="293"/>
      <c r="J994" s="293"/>
      <c r="K994" s="293"/>
      <c r="L994" s="293"/>
      <c r="M994" s="293"/>
      <c r="N994" s="293"/>
      <c r="O994" s="293"/>
      <c r="P994" s="293"/>
      <c r="Q994" s="293"/>
      <c r="R994" s="293"/>
      <c r="S994" s="293"/>
      <c r="T994" s="293"/>
      <c r="U994" s="293"/>
      <c r="V994" s="293"/>
      <c r="W994" s="293"/>
      <c r="X994" s="293"/>
      <c r="Y994" s="293"/>
      <c r="Z994" s="293"/>
      <c r="AA994" s="293"/>
      <c r="AB994" s="293"/>
      <c r="AC994" s="293"/>
      <c r="AD994" s="293"/>
    </row>
    <row r="995">
      <c r="A995" s="293"/>
      <c r="B995" s="308"/>
      <c r="C995" s="293"/>
      <c r="D995" s="293"/>
      <c r="E995" s="293"/>
      <c r="F995" s="293"/>
      <c r="G995" s="293"/>
      <c r="H995" s="293"/>
      <c r="I995" s="293"/>
      <c r="J995" s="293"/>
      <c r="K995" s="293"/>
      <c r="L995" s="293"/>
      <c r="M995" s="293"/>
      <c r="N995" s="293"/>
      <c r="O995" s="293"/>
      <c r="P995" s="293"/>
      <c r="Q995" s="293"/>
      <c r="R995" s="293"/>
      <c r="S995" s="293"/>
      <c r="T995" s="293"/>
      <c r="U995" s="293"/>
      <c r="V995" s="293"/>
      <c r="W995" s="293"/>
      <c r="X995" s="293"/>
      <c r="Y995" s="293"/>
      <c r="Z995" s="293"/>
      <c r="AA995" s="293"/>
      <c r="AB995" s="293"/>
      <c r="AC995" s="293"/>
      <c r="AD995" s="293"/>
    </row>
    <row r="996">
      <c r="A996" s="293"/>
      <c r="B996" s="308"/>
      <c r="C996" s="293"/>
      <c r="D996" s="293"/>
      <c r="E996" s="293"/>
      <c r="F996" s="293"/>
      <c r="G996" s="293"/>
      <c r="H996" s="293"/>
      <c r="I996" s="293"/>
      <c r="J996" s="293"/>
      <c r="K996" s="293"/>
      <c r="L996" s="293"/>
      <c r="M996" s="293"/>
      <c r="N996" s="293"/>
      <c r="O996" s="293"/>
      <c r="P996" s="293"/>
      <c r="Q996" s="293"/>
      <c r="R996" s="293"/>
      <c r="S996" s="293"/>
      <c r="T996" s="293"/>
      <c r="U996" s="293"/>
      <c r="V996" s="293"/>
      <c r="W996" s="293"/>
      <c r="X996" s="293"/>
      <c r="Y996" s="293"/>
      <c r="Z996" s="293"/>
      <c r="AA996" s="293"/>
      <c r="AB996" s="293"/>
      <c r="AC996" s="293"/>
      <c r="AD996" s="293"/>
    </row>
    <row r="997">
      <c r="A997" s="293"/>
      <c r="B997" s="308"/>
      <c r="C997" s="293"/>
      <c r="D997" s="293"/>
      <c r="E997" s="293"/>
      <c r="F997" s="293"/>
      <c r="G997" s="293"/>
      <c r="H997" s="293"/>
      <c r="I997" s="293"/>
      <c r="J997" s="293"/>
      <c r="K997" s="293"/>
      <c r="L997" s="293"/>
      <c r="M997" s="293"/>
      <c r="N997" s="293"/>
      <c r="O997" s="293"/>
      <c r="P997" s="293"/>
      <c r="Q997" s="293"/>
      <c r="R997" s="293"/>
      <c r="S997" s="293"/>
      <c r="T997" s="293"/>
      <c r="U997" s="293"/>
      <c r="V997" s="293"/>
      <c r="W997" s="293"/>
      <c r="X997" s="293"/>
      <c r="Y997" s="293"/>
      <c r="Z997" s="293"/>
      <c r="AA997" s="293"/>
      <c r="AB997" s="293"/>
      <c r="AC997" s="293"/>
      <c r="AD997" s="293"/>
    </row>
    <row r="998">
      <c r="A998" s="293"/>
      <c r="B998" s="308"/>
      <c r="C998" s="293"/>
      <c r="D998" s="293"/>
      <c r="E998" s="293"/>
      <c r="F998" s="293"/>
      <c r="G998" s="293"/>
      <c r="H998" s="293"/>
      <c r="I998" s="293"/>
      <c r="J998" s="293"/>
      <c r="K998" s="293"/>
      <c r="L998" s="293"/>
      <c r="M998" s="293"/>
      <c r="N998" s="293"/>
      <c r="O998" s="293"/>
      <c r="P998" s="293"/>
      <c r="Q998" s="293"/>
      <c r="R998" s="293"/>
      <c r="S998" s="293"/>
      <c r="T998" s="293"/>
      <c r="U998" s="293"/>
      <c r="V998" s="293"/>
      <c r="W998" s="293"/>
      <c r="X998" s="293"/>
      <c r="Y998" s="293"/>
      <c r="Z998" s="293"/>
      <c r="AA998" s="293"/>
      <c r="AB998" s="293"/>
      <c r="AC998" s="293"/>
      <c r="AD998" s="293"/>
    </row>
  </sheetData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63"/>
    <col customWidth="1" min="2" max="2" width="26.75"/>
    <col customWidth="1" min="3" max="3" width="14.63"/>
    <col customWidth="1" min="4" max="4" width="21.25"/>
    <col customWidth="1" min="5" max="5" width="17.75"/>
    <col customWidth="1" min="6" max="6" width="19.38"/>
    <col customWidth="1" min="7" max="7" width="26.38"/>
    <col customWidth="1" min="8" max="8" width="12.5"/>
    <col customWidth="1" min="9" max="9" width="16.0"/>
    <col customWidth="1" min="10" max="10" width="14.88"/>
    <col customWidth="1" min="11" max="11" width="16.38"/>
    <col customWidth="1" min="12" max="12" width="14.13"/>
    <col customWidth="1" min="13" max="13" width="15.0"/>
    <col customWidth="1" min="14" max="14" width="14.13"/>
    <col customWidth="1" min="18" max="18" width="14.13"/>
    <col customWidth="1" min="20" max="20" width="15.13"/>
    <col customWidth="1" min="21" max="21" width="15.63"/>
    <col customWidth="1" min="22" max="22" width="15.38"/>
    <col customWidth="1" min="23" max="23" width="15.5"/>
  </cols>
  <sheetData>
    <row r="1" hidden="1">
      <c r="A1" s="309" t="s">
        <v>322</v>
      </c>
      <c r="B1" s="194" t="s">
        <v>1</v>
      </c>
      <c r="C1" s="309"/>
      <c r="D1" s="309" t="s">
        <v>953</v>
      </c>
      <c r="E1" s="309" t="s">
        <v>18</v>
      </c>
      <c r="F1" s="309" t="s">
        <v>7</v>
      </c>
      <c r="G1" s="309" t="s">
        <v>8</v>
      </c>
      <c r="H1" s="309" t="s">
        <v>9</v>
      </c>
      <c r="I1" s="309" t="s">
        <v>10</v>
      </c>
      <c r="J1" s="309" t="s">
        <v>11</v>
      </c>
      <c r="K1" s="309" t="s">
        <v>12</v>
      </c>
      <c r="L1" s="310" t="s">
        <v>634</v>
      </c>
      <c r="M1" s="310" t="s">
        <v>14</v>
      </c>
      <c r="N1" s="310" t="s">
        <v>15</v>
      </c>
      <c r="O1" s="310" t="s">
        <v>16</v>
      </c>
      <c r="P1" s="310" t="s">
        <v>17</v>
      </c>
      <c r="Q1" s="310" t="s">
        <v>18</v>
      </c>
      <c r="R1" s="310" t="s">
        <v>7</v>
      </c>
      <c r="S1" s="310" t="s">
        <v>954</v>
      </c>
      <c r="T1" s="310" t="s">
        <v>9</v>
      </c>
      <c r="U1" s="310" t="s">
        <v>10</v>
      </c>
      <c r="V1" s="310" t="s">
        <v>11</v>
      </c>
      <c r="W1" s="310" t="s">
        <v>12</v>
      </c>
      <c r="X1" s="310" t="s">
        <v>634</v>
      </c>
      <c r="Y1" s="310" t="s">
        <v>955</v>
      </c>
      <c r="Z1" s="311"/>
    </row>
    <row r="2" hidden="1">
      <c r="A2" s="312"/>
      <c r="B2" s="313"/>
      <c r="C2" s="314"/>
      <c r="D2" s="314" t="s">
        <v>956</v>
      </c>
      <c r="E2" s="315"/>
      <c r="F2" s="315"/>
      <c r="G2" s="315"/>
      <c r="H2" s="313"/>
      <c r="I2" s="313"/>
      <c r="J2" s="313"/>
      <c r="K2" s="316"/>
      <c r="L2" s="317"/>
      <c r="M2" s="317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</row>
    <row r="3" hidden="1">
      <c r="A3" s="319"/>
      <c r="B3" s="320"/>
      <c r="C3" s="321"/>
      <c r="H3" s="320"/>
      <c r="I3" s="320"/>
      <c r="J3" s="320"/>
      <c r="K3" s="322"/>
      <c r="L3" s="317"/>
      <c r="M3" s="317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</row>
    <row r="4" hidden="1">
      <c r="A4" s="323"/>
      <c r="B4" s="324"/>
      <c r="C4" s="325"/>
      <c r="D4" s="326"/>
      <c r="E4" s="326"/>
      <c r="F4" s="326"/>
      <c r="G4" s="326"/>
      <c r="H4" s="324"/>
      <c r="I4" s="324"/>
      <c r="J4" s="324"/>
      <c r="K4" s="327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</row>
    <row r="5" ht="51.75" customHeight="1">
      <c r="A5" s="328" t="s">
        <v>721</v>
      </c>
      <c r="B5" s="328" t="s">
        <v>722</v>
      </c>
      <c r="C5" s="328" t="s">
        <v>957</v>
      </c>
      <c r="D5" s="328" t="s">
        <v>958</v>
      </c>
      <c r="E5" s="329" t="s">
        <v>959</v>
      </c>
      <c r="F5" s="329" t="s">
        <v>960</v>
      </c>
      <c r="G5" s="328" t="s">
        <v>742</v>
      </c>
      <c r="H5" s="328" t="s">
        <v>961</v>
      </c>
      <c r="I5" s="330" t="s">
        <v>962</v>
      </c>
      <c r="J5" s="331" t="s">
        <v>963</v>
      </c>
      <c r="K5" s="332" t="s">
        <v>964</v>
      </c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</row>
    <row r="6">
      <c r="A6" s="332">
        <v>1.0</v>
      </c>
      <c r="B6" s="334" t="s">
        <v>147</v>
      </c>
      <c r="C6" s="335"/>
      <c r="D6" s="335">
        <v>1.814141429E9</v>
      </c>
      <c r="E6" s="336">
        <v>1.918199144E9</v>
      </c>
      <c r="F6" s="337"/>
      <c r="G6" s="338" t="s">
        <v>965</v>
      </c>
      <c r="H6" s="339" t="s">
        <v>966</v>
      </c>
      <c r="I6" s="332" t="s">
        <v>967</v>
      </c>
      <c r="J6" s="332">
        <v>42.0</v>
      </c>
      <c r="K6" s="340">
        <v>44702.0</v>
      </c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</row>
    <row r="7">
      <c r="A7" s="332">
        <v>2.0</v>
      </c>
      <c r="B7" s="342" t="s">
        <v>108</v>
      </c>
      <c r="C7" s="338"/>
      <c r="D7" s="338">
        <v>1.833106263E9</v>
      </c>
      <c r="E7" s="338">
        <v>1.833106263E9</v>
      </c>
      <c r="F7" s="338" t="s">
        <v>968</v>
      </c>
      <c r="G7" s="336" t="s">
        <v>969</v>
      </c>
      <c r="H7" s="336" t="s">
        <v>970</v>
      </c>
      <c r="I7" s="332" t="s">
        <v>971</v>
      </c>
      <c r="J7" s="332" t="s">
        <v>972</v>
      </c>
      <c r="K7" s="340">
        <v>44702.0</v>
      </c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</row>
    <row r="8">
      <c r="A8" s="332">
        <v>3.0</v>
      </c>
      <c r="B8" s="343" t="s">
        <v>113</v>
      </c>
      <c r="C8" s="332"/>
      <c r="D8" s="332">
        <v>1.971073923E9</v>
      </c>
      <c r="E8" s="332">
        <v>1.671073923E9</v>
      </c>
      <c r="F8" s="332" t="s">
        <v>973</v>
      </c>
      <c r="G8" s="332" t="s">
        <v>974</v>
      </c>
      <c r="H8" s="332" t="s">
        <v>975</v>
      </c>
      <c r="I8" s="332" t="s">
        <v>976</v>
      </c>
      <c r="J8" s="332">
        <v>31.0</v>
      </c>
      <c r="K8" s="340">
        <v>44734.0</v>
      </c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</row>
    <row r="9">
      <c r="A9" s="332">
        <v>4.0</v>
      </c>
      <c r="B9" s="343" t="s">
        <v>136</v>
      </c>
      <c r="C9" s="332"/>
      <c r="D9" s="332">
        <v>1.706970801E9</v>
      </c>
      <c r="E9" s="332">
        <v>1.932766062E9</v>
      </c>
      <c r="F9" s="344"/>
      <c r="G9" s="344"/>
      <c r="H9" s="344"/>
      <c r="I9" s="344"/>
      <c r="J9" s="332">
        <v>43.0</v>
      </c>
      <c r="K9" s="340">
        <v>44729.0</v>
      </c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</row>
    <row r="10">
      <c r="A10" s="332">
        <v>5.0</v>
      </c>
      <c r="B10" s="345" t="s">
        <v>977</v>
      </c>
      <c r="C10" s="332"/>
      <c r="D10" s="332">
        <v>1.768622044E9</v>
      </c>
      <c r="E10" s="332">
        <v>1.746058328E9</v>
      </c>
      <c r="F10" s="332" t="s">
        <v>978</v>
      </c>
      <c r="G10" s="332" t="s">
        <v>979</v>
      </c>
      <c r="H10" s="344"/>
      <c r="I10" s="332" t="s">
        <v>980</v>
      </c>
      <c r="J10" s="332" t="s">
        <v>981</v>
      </c>
      <c r="K10" s="340">
        <v>44747.0</v>
      </c>
      <c r="L10" s="184" t="s">
        <v>982</v>
      </c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</row>
    <row r="11">
      <c r="A11" s="332">
        <v>6.0</v>
      </c>
      <c r="B11" s="345" t="s">
        <v>78</v>
      </c>
      <c r="C11" s="332"/>
      <c r="D11" s="332">
        <v>1.768622044E9</v>
      </c>
      <c r="E11" s="332">
        <v>1.746058328E9</v>
      </c>
      <c r="F11" s="332" t="s">
        <v>978</v>
      </c>
      <c r="G11" s="332" t="s">
        <v>979</v>
      </c>
      <c r="H11" s="344"/>
      <c r="I11" s="332" t="s">
        <v>980</v>
      </c>
      <c r="J11" s="332" t="s">
        <v>983</v>
      </c>
      <c r="K11" s="340">
        <v>44747.0</v>
      </c>
      <c r="L11" s="184" t="s">
        <v>982</v>
      </c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</row>
    <row r="12">
      <c r="A12" s="332">
        <v>7.0</v>
      </c>
      <c r="B12" s="346" t="s">
        <v>984</v>
      </c>
      <c r="C12" s="333"/>
      <c r="D12" s="333"/>
      <c r="E12" s="333"/>
      <c r="F12" s="333"/>
      <c r="G12" s="333"/>
      <c r="H12" s="333"/>
      <c r="I12" s="333"/>
      <c r="J12" s="333"/>
      <c r="K12" s="347">
        <v>44801.0</v>
      </c>
      <c r="L12" s="184" t="s">
        <v>982</v>
      </c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</row>
    <row r="13">
      <c r="A13" s="332">
        <v>8.0</v>
      </c>
      <c r="B13" s="346" t="s">
        <v>985</v>
      </c>
      <c r="C13" s="348"/>
      <c r="D13" s="348">
        <v>1.971234789E9</v>
      </c>
      <c r="E13" s="333"/>
      <c r="F13" s="348" t="s">
        <v>986</v>
      </c>
      <c r="G13" s="348" t="s">
        <v>987</v>
      </c>
      <c r="H13" s="333"/>
      <c r="I13" s="348" t="s">
        <v>967</v>
      </c>
      <c r="J13" s="348">
        <v>40.0</v>
      </c>
      <c r="K13" s="347">
        <v>44803.0</v>
      </c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</row>
    <row r="14">
      <c r="A14" s="332">
        <v>9.0</v>
      </c>
      <c r="B14" s="252" t="s">
        <v>36</v>
      </c>
      <c r="C14" s="349"/>
      <c r="D14" s="349">
        <v>1.971434344E9</v>
      </c>
      <c r="E14" s="333"/>
      <c r="F14" s="348" t="s">
        <v>988</v>
      </c>
      <c r="G14" s="348" t="s">
        <v>989</v>
      </c>
      <c r="H14" s="333"/>
      <c r="I14" s="348" t="s">
        <v>980</v>
      </c>
      <c r="J14" s="348">
        <v>32.0</v>
      </c>
      <c r="K14" s="347">
        <v>44803.0</v>
      </c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</row>
    <row r="15">
      <c r="A15" s="332">
        <v>10.0</v>
      </c>
      <c r="B15" s="252" t="s">
        <v>120</v>
      </c>
      <c r="C15" s="349"/>
      <c r="D15" s="349">
        <v>1.74324697E9</v>
      </c>
      <c r="E15" s="333"/>
      <c r="F15" s="348" t="s">
        <v>990</v>
      </c>
      <c r="G15" s="348" t="s">
        <v>991</v>
      </c>
      <c r="H15" s="333"/>
      <c r="I15" s="348" t="s">
        <v>976</v>
      </c>
      <c r="J15" s="348">
        <v>39.0</v>
      </c>
      <c r="K15" s="347">
        <v>44805.0</v>
      </c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</row>
    <row r="16">
      <c r="A16" s="332">
        <v>11.0</v>
      </c>
      <c r="B16" s="350" t="s">
        <v>122</v>
      </c>
      <c r="C16" s="351"/>
      <c r="D16" s="351">
        <v>1.675600915E9</v>
      </c>
      <c r="E16" s="333"/>
      <c r="F16" s="348" t="s">
        <v>992</v>
      </c>
      <c r="G16" s="348" t="s">
        <v>993</v>
      </c>
      <c r="H16" s="333"/>
      <c r="I16" s="348" t="s">
        <v>980</v>
      </c>
      <c r="J16" s="348">
        <v>38.0</v>
      </c>
      <c r="K16" s="352">
        <v>44852.0</v>
      </c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</row>
    <row r="17">
      <c r="A17" s="332">
        <v>12.0</v>
      </c>
      <c r="B17" s="353" t="s">
        <v>994</v>
      </c>
      <c r="C17" s="348"/>
      <c r="D17" s="348">
        <v>1.911502141E9</v>
      </c>
      <c r="E17" s="333"/>
      <c r="F17" s="348" t="s">
        <v>995</v>
      </c>
      <c r="G17" s="348" t="s">
        <v>996</v>
      </c>
      <c r="H17" s="333"/>
      <c r="I17" s="348" t="s">
        <v>967</v>
      </c>
      <c r="J17" s="348">
        <v>39.0</v>
      </c>
      <c r="K17" s="352" t="s">
        <v>997</v>
      </c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</row>
    <row r="18">
      <c r="A18" s="332">
        <v>13.0</v>
      </c>
      <c r="B18" s="183" t="s">
        <v>140</v>
      </c>
      <c r="C18" s="348"/>
      <c r="D18" s="348">
        <v>1.711312174E9</v>
      </c>
      <c r="E18" s="333"/>
      <c r="F18" s="348" t="s">
        <v>998</v>
      </c>
      <c r="G18" s="348" t="s">
        <v>999</v>
      </c>
      <c r="H18" s="333"/>
      <c r="I18" s="333"/>
      <c r="J18" s="348" t="s">
        <v>322</v>
      </c>
      <c r="K18" s="354">
        <v>44931.0</v>
      </c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</row>
    <row r="19">
      <c r="A19" s="332">
        <v>14.0</v>
      </c>
      <c r="B19" s="353" t="s">
        <v>1000</v>
      </c>
      <c r="C19" s="348"/>
      <c r="D19" s="348">
        <v>1.768137138E9</v>
      </c>
      <c r="E19" s="333"/>
      <c r="F19" s="333"/>
      <c r="G19" s="333"/>
      <c r="H19" s="333"/>
      <c r="I19" s="333"/>
      <c r="J19" s="333"/>
      <c r="K19" s="355">
        <v>44955.0</v>
      </c>
      <c r="L19" s="341"/>
      <c r="M19" s="341"/>
      <c r="N19" s="356" t="s">
        <v>1001</v>
      </c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</row>
    <row r="20">
      <c r="A20" s="332">
        <v>15.0</v>
      </c>
      <c r="B20" s="183" t="s">
        <v>40</v>
      </c>
      <c r="C20" s="348"/>
      <c r="D20" s="348">
        <v>1.979282683E9</v>
      </c>
      <c r="E20" s="333"/>
      <c r="F20" s="333"/>
      <c r="G20" s="348" t="s">
        <v>1002</v>
      </c>
      <c r="H20" s="333"/>
      <c r="I20" s="333"/>
      <c r="J20" s="333"/>
      <c r="K20" s="355">
        <v>44992.0</v>
      </c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</row>
    <row r="21">
      <c r="A21" s="332">
        <v>16.0</v>
      </c>
      <c r="B21" s="183" t="s">
        <v>41</v>
      </c>
      <c r="C21" s="348"/>
      <c r="D21" s="348">
        <v>1.84533908E9</v>
      </c>
      <c r="E21" s="333"/>
      <c r="F21" s="348" t="s">
        <v>1003</v>
      </c>
      <c r="G21" s="348" t="s">
        <v>1004</v>
      </c>
      <c r="H21" s="333"/>
      <c r="I21" s="348">
        <v>8.0</v>
      </c>
      <c r="J21" s="333"/>
      <c r="K21" s="355">
        <v>45050.0</v>
      </c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</row>
    <row r="22">
      <c r="A22" s="332">
        <v>17.0</v>
      </c>
      <c r="B22" s="183" t="s">
        <v>42</v>
      </c>
      <c r="C22" s="349"/>
      <c r="D22" s="349">
        <v>1.717977511E9</v>
      </c>
      <c r="E22" s="333"/>
      <c r="F22" s="348" t="s">
        <v>1005</v>
      </c>
      <c r="G22" s="348" t="s">
        <v>1006</v>
      </c>
      <c r="H22" s="333"/>
      <c r="I22" s="348" t="s">
        <v>1007</v>
      </c>
      <c r="J22" s="333"/>
      <c r="K22" s="355">
        <v>45050.0</v>
      </c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</row>
    <row r="23">
      <c r="A23" s="332">
        <v>18.0</v>
      </c>
      <c r="B23" s="184" t="s">
        <v>95</v>
      </c>
      <c r="C23" s="348"/>
      <c r="D23" s="348">
        <v>1.919825252E9</v>
      </c>
      <c r="E23" s="333"/>
      <c r="F23" s="333"/>
      <c r="G23" s="348" t="s">
        <v>1008</v>
      </c>
      <c r="H23" s="333"/>
      <c r="I23" s="333"/>
      <c r="J23" s="333"/>
      <c r="K23" s="355">
        <v>45062.0</v>
      </c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</row>
    <row r="24">
      <c r="A24" s="332">
        <v>19.0</v>
      </c>
      <c r="B24" s="184" t="s">
        <v>1009</v>
      </c>
      <c r="C24" s="349"/>
      <c r="D24" s="349">
        <v>1.68430693E9</v>
      </c>
      <c r="E24" s="333"/>
      <c r="F24" s="348" t="s">
        <v>1010</v>
      </c>
      <c r="G24" s="348" t="s">
        <v>1011</v>
      </c>
      <c r="H24" s="333"/>
      <c r="I24" s="333"/>
      <c r="J24" s="333"/>
      <c r="K24" s="355">
        <v>45069.0</v>
      </c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</row>
    <row r="25">
      <c r="A25" s="332">
        <v>20.0</v>
      </c>
      <c r="B25" s="184" t="s">
        <v>124</v>
      </c>
      <c r="C25" s="309"/>
      <c r="D25" s="309">
        <v>1.977090909E9</v>
      </c>
      <c r="E25" s="333"/>
      <c r="F25" s="348" t="s">
        <v>1012</v>
      </c>
      <c r="G25" s="348" t="s">
        <v>1013</v>
      </c>
      <c r="H25" s="333"/>
      <c r="I25" s="333"/>
      <c r="J25" s="333"/>
      <c r="K25" s="354">
        <v>45083.0</v>
      </c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</row>
    <row r="26">
      <c r="A26" s="332">
        <v>21.0</v>
      </c>
      <c r="B26" s="184" t="s">
        <v>1014</v>
      </c>
      <c r="C26" s="348"/>
      <c r="D26" s="348">
        <v>1.713007811E9</v>
      </c>
      <c r="E26" s="333"/>
      <c r="F26" s="333"/>
      <c r="G26" s="333"/>
      <c r="H26" s="333"/>
      <c r="I26" s="333"/>
      <c r="J26" s="333"/>
      <c r="K26" s="354">
        <v>45084.0</v>
      </c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</row>
    <row r="27">
      <c r="A27" s="332">
        <v>22.0</v>
      </c>
      <c r="B27" s="184" t="s">
        <v>111</v>
      </c>
      <c r="C27" s="349"/>
      <c r="D27" s="349">
        <v>1.787165874E9</v>
      </c>
      <c r="E27" s="333"/>
      <c r="F27" s="348" t="s">
        <v>1015</v>
      </c>
      <c r="G27" s="348" t="s">
        <v>1016</v>
      </c>
      <c r="H27" s="333"/>
      <c r="I27" s="333"/>
      <c r="J27" s="333"/>
      <c r="K27" s="355">
        <v>45087.0</v>
      </c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</row>
    <row r="28">
      <c r="A28" s="332">
        <v>23.0</v>
      </c>
      <c r="B28" s="184" t="s">
        <v>102</v>
      </c>
      <c r="C28" s="348"/>
      <c r="D28" s="348">
        <v>1.817576331E9</v>
      </c>
      <c r="E28" s="333"/>
      <c r="F28" s="348" t="s">
        <v>1017</v>
      </c>
      <c r="G28" s="348" t="s">
        <v>1018</v>
      </c>
      <c r="H28" s="333"/>
      <c r="I28" s="333"/>
      <c r="J28" s="333"/>
      <c r="K28" s="354">
        <v>45093.0</v>
      </c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</row>
    <row r="29">
      <c r="A29" s="332">
        <v>24.0</v>
      </c>
      <c r="B29" s="184" t="s">
        <v>99</v>
      </c>
      <c r="C29" s="349"/>
      <c r="D29" s="349">
        <v>1.727618159E9</v>
      </c>
      <c r="E29" s="333"/>
      <c r="F29" s="348" t="s">
        <v>1019</v>
      </c>
      <c r="G29" s="348" t="s">
        <v>1020</v>
      </c>
      <c r="H29" s="333"/>
      <c r="I29" s="333"/>
      <c r="J29" s="333"/>
      <c r="K29" s="355">
        <v>45097.0</v>
      </c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</row>
    <row r="30">
      <c r="A30" s="332">
        <v>25.0</v>
      </c>
      <c r="B30" s="184" t="s">
        <v>43</v>
      </c>
      <c r="C30" s="348"/>
      <c r="D30" s="348">
        <v>1.917010073E9</v>
      </c>
      <c r="E30" s="333"/>
      <c r="F30" s="348" t="s">
        <v>1021</v>
      </c>
      <c r="G30" s="348" t="s">
        <v>1022</v>
      </c>
      <c r="H30" s="333"/>
      <c r="I30" s="333"/>
      <c r="J30" s="333"/>
      <c r="K30" s="355">
        <v>45100.0</v>
      </c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</row>
    <row r="31">
      <c r="A31" s="332">
        <v>26.0</v>
      </c>
      <c r="B31" s="184" t="s">
        <v>190</v>
      </c>
      <c r="C31" s="348"/>
      <c r="D31" s="348">
        <v>1.731955301E9</v>
      </c>
      <c r="E31" s="333"/>
      <c r="F31" s="348" t="s">
        <v>1023</v>
      </c>
      <c r="G31" s="348" t="s">
        <v>1024</v>
      </c>
      <c r="H31" s="333"/>
      <c r="I31" s="333"/>
      <c r="J31" s="333"/>
      <c r="K31" s="355">
        <v>45103.0</v>
      </c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184"/>
      <c r="X31" s="341"/>
      <c r="Y31" s="341"/>
      <c r="Z31" s="341"/>
    </row>
    <row r="32">
      <c r="A32" s="332">
        <v>27.0</v>
      </c>
      <c r="B32" s="184" t="s">
        <v>45</v>
      </c>
      <c r="C32" s="309"/>
      <c r="D32" s="309">
        <v>1.84162507E8</v>
      </c>
      <c r="E32" s="348"/>
      <c r="F32" s="348" t="s">
        <v>1025</v>
      </c>
      <c r="G32" s="348" t="s">
        <v>1026</v>
      </c>
      <c r="H32" s="348"/>
      <c r="I32" s="333"/>
      <c r="J32" s="333"/>
      <c r="K32" s="355">
        <v>45115.0</v>
      </c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</row>
    <row r="33">
      <c r="A33" s="332">
        <v>28.0</v>
      </c>
      <c r="B33" s="184" t="s">
        <v>106</v>
      </c>
      <c r="C33" s="348"/>
      <c r="D33" s="348">
        <v>1.712534421E9</v>
      </c>
      <c r="E33" s="348"/>
      <c r="F33" s="348" t="s">
        <v>1027</v>
      </c>
      <c r="G33" s="348" t="s">
        <v>1028</v>
      </c>
      <c r="H33" s="348"/>
      <c r="I33" s="333"/>
      <c r="J33" s="333"/>
      <c r="K33" s="355">
        <v>45124.0</v>
      </c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184"/>
      <c r="X33" s="341"/>
      <c r="Y33" s="341"/>
      <c r="Z33" s="341"/>
    </row>
    <row r="34">
      <c r="A34" s="357">
        <v>29.0</v>
      </c>
      <c r="B34" s="353" t="s">
        <v>115</v>
      </c>
      <c r="C34" s="358"/>
      <c r="D34" s="358">
        <v>1.911558726E9</v>
      </c>
      <c r="E34" s="358"/>
      <c r="F34" s="358" t="s">
        <v>817</v>
      </c>
      <c r="G34" s="358" t="s">
        <v>1029</v>
      </c>
      <c r="H34" s="358"/>
      <c r="I34" s="359"/>
      <c r="J34" s="359"/>
      <c r="K34" s="360">
        <v>45136.0</v>
      </c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</row>
    <row r="35">
      <c r="A35" s="332">
        <v>30.0</v>
      </c>
      <c r="B35" s="184" t="s">
        <v>46</v>
      </c>
      <c r="C35" s="348"/>
      <c r="D35" s="348">
        <v>1.745774799E9</v>
      </c>
      <c r="E35" s="348"/>
      <c r="F35" s="348" t="s">
        <v>1030</v>
      </c>
      <c r="G35" s="348" t="s">
        <v>1031</v>
      </c>
      <c r="H35" s="348"/>
      <c r="I35" s="333"/>
      <c r="J35" s="333"/>
      <c r="K35" s="355">
        <v>45136.0</v>
      </c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</row>
    <row r="36">
      <c r="A36" s="332">
        <v>31.0</v>
      </c>
      <c r="B36" s="184" t="s">
        <v>116</v>
      </c>
      <c r="C36" s="348"/>
      <c r="D36" s="348">
        <v>1.71573118E9</v>
      </c>
      <c r="E36" s="348"/>
      <c r="F36" s="348" t="s">
        <v>1032</v>
      </c>
      <c r="G36" s="348" t="s">
        <v>1033</v>
      </c>
      <c r="H36" s="348"/>
      <c r="I36" s="333"/>
      <c r="J36" s="333"/>
      <c r="K36" s="355">
        <v>45136.0</v>
      </c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</row>
    <row r="37">
      <c r="A37" s="332">
        <v>32.0</v>
      </c>
      <c r="B37" s="184" t="s">
        <v>117</v>
      </c>
      <c r="C37" s="348"/>
      <c r="D37" s="348">
        <v>1.71573118E9</v>
      </c>
      <c r="E37" s="348"/>
      <c r="F37" s="348" t="s">
        <v>1032</v>
      </c>
      <c r="G37" s="348" t="s">
        <v>1033</v>
      </c>
      <c r="H37" s="348"/>
      <c r="I37" s="333"/>
      <c r="J37" s="333"/>
      <c r="K37" s="355">
        <v>45136.0</v>
      </c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</row>
    <row r="38">
      <c r="A38" s="348">
        <v>33.0</v>
      </c>
      <c r="B38" s="184" t="s">
        <v>118</v>
      </c>
      <c r="C38" s="348"/>
      <c r="D38" s="348">
        <v>1.715193011E9</v>
      </c>
      <c r="E38" s="348"/>
      <c r="F38" s="348" t="s">
        <v>1034</v>
      </c>
      <c r="G38" s="348" t="s">
        <v>1035</v>
      </c>
      <c r="H38" s="348"/>
      <c r="I38" s="333"/>
      <c r="J38" s="333"/>
      <c r="K38" s="355">
        <v>45139.0</v>
      </c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</row>
    <row r="39">
      <c r="A39" s="348">
        <v>34.0</v>
      </c>
      <c r="B39" s="184" t="s">
        <v>119</v>
      </c>
      <c r="C39" s="348"/>
      <c r="D39" s="348">
        <v>1.716631056E9</v>
      </c>
      <c r="E39" s="348"/>
      <c r="F39" s="348" t="s">
        <v>1036</v>
      </c>
      <c r="G39" s="348" t="s">
        <v>1037</v>
      </c>
      <c r="H39" s="348"/>
      <c r="I39" s="333"/>
      <c r="J39" s="333"/>
      <c r="K39" s="355">
        <v>45139.0</v>
      </c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</row>
    <row r="40">
      <c r="A40" s="348">
        <v>35.0</v>
      </c>
      <c r="B40" s="184" t="s">
        <v>126</v>
      </c>
      <c r="C40" s="348"/>
      <c r="D40" s="348">
        <v>1.711351746E9</v>
      </c>
      <c r="E40" s="348"/>
      <c r="F40" s="348" t="s">
        <v>1038</v>
      </c>
      <c r="G40" s="348" t="s">
        <v>1039</v>
      </c>
      <c r="H40" s="348"/>
      <c r="I40" s="333"/>
      <c r="J40" s="333"/>
      <c r="K40" s="355">
        <v>45146.0</v>
      </c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</row>
    <row r="41">
      <c r="A41" s="348">
        <v>36.0</v>
      </c>
      <c r="B41" s="184" t="s">
        <v>129</v>
      </c>
      <c r="C41" s="348"/>
      <c r="D41" s="348">
        <v>1.737266488E9</v>
      </c>
      <c r="E41" s="348"/>
      <c r="F41" s="348"/>
      <c r="G41" s="348"/>
      <c r="H41" s="348"/>
      <c r="I41" s="333"/>
      <c r="J41" s="333"/>
      <c r="K41" s="355">
        <v>45149.0</v>
      </c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</row>
    <row r="42">
      <c r="A42" s="348">
        <v>37.0</v>
      </c>
      <c r="B42" s="184" t="s">
        <v>131</v>
      </c>
      <c r="C42" s="348"/>
      <c r="D42" s="348">
        <v>1.919538788E9</v>
      </c>
      <c r="E42" s="348"/>
      <c r="F42" s="348" t="s">
        <v>1040</v>
      </c>
      <c r="G42" s="348" t="s">
        <v>1041</v>
      </c>
      <c r="H42" s="348"/>
      <c r="I42" s="333"/>
      <c r="J42" s="333"/>
      <c r="K42" s="355">
        <v>45153.0</v>
      </c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</row>
    <row r="43">
      <c r="A43" s="348">
        <v>38.0</v>
      </c>
      <c r="B43" s="184" t="s">
        <v>133</v>
      </c>
      <c r="C43" s="348"/>
      <c r="D43" s="348">
        <v>1.794126485E9</v>
      </c>
      <c r="E43" s="348"/>
      <c r="F43" s="348" t="s">
        <v>1042</v>
      </c>
      <c r="G43" s="348" t="s">
        <v>1043</v>
      </c>
      <c r="H43" s="348"/>
      <c r="I43" s="333"/>
      <c r="J43" s="333"/>
      <c r="K43" s="355">
        <v>45156.0</v>
      </c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</row>
    <row r="44">
      <c r="A44" s="348">
        <v>39.0</v>
      </c>
      <c r="B44" s="184" t="s">
        <v>134</v>
      </c>
      <c r="C44" s="348"/>
      <c r="D44" s="348">
        <v>1.674070238E9</v>
      </c>
      <c r="E44" s="348"/>
      <c r="F44" s="348" t="s">
        <v>1044</v>
      </c>
      <c r="G44" s="348" t="s">
        <v>1045</v>
      </c>
      <c r="H44" s="348"/>
      <c r="I44" s="333"/>
      <c r="J44" s="333"/>
      <c r="K44" s="355">
        <v>45156.0</v>
      </c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</row>
    <row r="45">
      <c r="A45" s="348">
        <v>40.0</v>
      </c>
      <c r="B45" s="184" t="s">
        <v>48</v>
      </c>
      <c r="C45" s="348"/>
      <c r="D45" s="348">
        <v>1.787651301E9</v>
      </c>
      <c r="E45" s="348"/>
      <c r="F45" s="348" t="s">
        <v>1046</v>
      </c>
      <c r="G45" s="348" t="s">
        <v>1047</v>
      </c>
      <c r="H45" s="348"/>
      <c r="I45" s="333"/>
      <c r="J45" s="333"/>
      <c r="K45" s="355">
        <v>45163.0</v>
      </c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</row>
    <row r="46">
      <c r="A46" s="348">
        <v>41.0</v>
      </c>
      <c r="B46" s="184" t="s">
        <v>138</v>
      </c>
      <c r="C46" s="348"/>
      <c r="D46" s="348">
        <v>1.727230314E9</v>
      </c>
      <c r="E46" s="348"/>
      <c r="F46" s="348" t="s">
        <v>1048</v>
      </c>
      <c r="G46" s="348" t="s">
        <v>1049</v>
      </c>
      <c r="H46" s="348"/>
      <c r="I46" s="333"/>
      <c r="J46" s="333"/>
      <c r="K46" s="355">
        <v>45171.0</v>
      </c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</row>
    <row r="47">
      <c r="A47" s="348">
        <v>42.0</v>
      </c>
      <c r="B47" s="184" t="s">
        <v>141</v>
      </c>
      <c r="C47" s="348"/>
      <c r="D47" s="348">
        <v>1.772333191E9</v>
      </c>
      <c r="E47" s="348"/>
      <c r="F47" s="348" t="s">
        <v>1050</v>
      </c>
      <c r="G47" s="348" t="s">
        <v>1051</v>
      </c>
      <c r="H47" s="348"/>
      <c r="I47" s="333"/>
      <c r="J47" s="333"/>
      <c r="K47" s="333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</row>
    <row r="48">
      <c r="A48" s="348">
        <v>43.0</v>
      </c>
      <c r="B48" s="184" t="s">
        <v>148</v>
      </c>
      <c r="C48" s="348"/>
      <c r="D48" s="348">
        <v>1.915972868E9</v>
      </c>
      <c r="E48" s="348"/>
      <c r="F48" s="348" t="s">
        <v>1052</v>
      </c>
      <c r="G48" s="348" t="s">
        <v>1053</v>
      </c>
      <c r="H48" s="348"/>
      <c r="I48" s="333"/>
      <c r="J48" s="333"/>
      <c r="K48" s="355">
        <v>45177.0</v>
      </c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</row>
    <row r="49">
      <c r="A49" s="348">
        <v>44.0</v>
      </c>
      <c r="B49" s="184" t="s">
        <v>49</v>
      </c>
      <c r="C49" s="348"/>
      <c r="D49" s="348">
        <v>1.727777771E9</v>
      </c>
      <c r="E49" s="348"/>
      <c r="F49" s="348" t="s">
        <v>1054</v>
      </c>
      <c r="G49" s="348" t="s">
        <v>1055</v>
      </c>
      <c r="H49" s="348"/>
      <c r="I49" s="333"/>
      <c r="J49" s="355"/>
      <c r="K49" s="355">
        <v>45185.0</v>
      </c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</row>
    <row r="50">
      <c r="A50" s="348">
        <v>45.0</v>
      </c>
      <c r="B50" s="184" t="s">
        <v>1056</v>
      </c>
      <c r="C50" s="348"/>
      <c r="D50" s="348">
        <v>1.715251985E9</v>
      </c>
      <c r="E50" s="348"/>
      <c r="F50" s="348"/>
      <c r="G50" s="348"/>
      <c r="H50" s="348"/>
      <c r="I50" s="333"/>
      <c r="J50" s="333"/>
      <c r="K50" s="333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</row>
    <row r="51">
      <c r="A51" s="348">
        <v>46.0</v>
      </c>
      <c r="B51" s="184" t="s">
        <v>164</v>
      </c>
      <c r="C51" s="362"/>
      <c r="D51" s="362" t="s">
        <v>1057</v>
      </c>
      <c r="E51" s="348"/>
      <c r="F51" s="348"/>
      <c r="G51" s="348"/>
      <c r="H51" s="348"/>
      <c r="I51" s="333"/>
      <c r="J51" s="333"/>
      <c r="K51" s="333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</row>
    <row r="52">
      <c r="A52" s="348">
        <v>47.0</v>
      </c>
      <c r="B52" s="184" t="s">
        <v>168</v>
      </c>
      <c r="C52" s="363"/>
      <c r="D52" s="363">
        <v>1.720822183E9</v>
      </c>
      <c r="E52" s="348"/>
      <c r="F52" s="348" t="s">
        <v>1058</v>
      </c>
      <c r="G52" s="348" t="s">
        <v>1059</v>
      </c>
      <c r="H52" s="348"/>
      <c r="I52" s="333"/>
      <c r="J52" s="333"/>
      <c r="K52" s="333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</row>
    <row r="53">
      <c r="A53" s="348">
        <v>48.0</v>
      </c>
      <c r="B53" s="184" t="s">
        <v>174</v>
      </c>
      <c r="C53" s="348"/>
      <c r="D53" s="348">
        <v>1.819223522E9</v>
      </c>
      <c r="E53" s="348"/>
      <c r="F53" s="348"/>
      <c r="G53" s="348"/>
      <c r="H53" s="348"/>
      <c r="I53" s="333"/>
      <c r="J53" s="333"/>
      <c r="K53" s="333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</row>
    <row r="54">
      <c r="A54" s="348">
        <v>49.0</v>
      </c>
      <c r="B54" s="184" t="s">
        <v>176</v>
      </c>
      <c r="C54" s="348"/>
      <c r="D54" s="348">
        <v>1.713039135E9</v>
      </c>
      <c r="E54" s="348"/>
      <c r="F54" s="348"/>
      <c r="G54" s="348"/>
      <c r="H54" s="348"/>
      <c r="I54" s="333"/>
      <c r="J54" s="333"/>
      <c r="K54" s="333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</row>
    <row r="55">
      <c r="A55" s="358">
        <v>50.0</v>
      </c>
      <c r="B55" s="353" t="s">
        <v>183</v>
      </c>
      <c r="C55" s="358"/>
      <c r="D55" s="358">
        <v>1.715788904E9</v>
      </c>
      <c r="E55" s="358"/>
      <c r="F55" s="358" t="s">
        <v>1060</v>
      </c>
      <c r="G55" s="358"/>
      <c r="H55" s="358"/>
      <c r="I55" s="359"/>
      <c r="J55" s="359"/>
      <c r="K55" s="359"/>
      <c r="L55" s="361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</row>
    <row r="56">
      <c r="A56" s="348">
        <v>51.0</v>
      </c>
      <c r="B56" s="184" t="s">
        <v>189</v>
      </c>
      <c r="C56" s="348"/>
      <c r="D56" s="348">
        <v>1.757692978E9</v>
      </c>
      <c r="E56" s="348"/>
      <c r="F56" s="348" t="s">
        <v>1061</v>
      </c>
      <c r="G56" s="348"/>
      <c r="H56" s="348"/>
      <c r="I56" s="333"/>
      <c r="J56" s="333"/>
      <c r="K56" s="333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</row>
    <row r="57">
      <c r="A57" s="348">
        <v>52.0</v>
      </c>
      <c r="B57" s="184" t="s">
        <v>200</v>
      </c>
      <c r="C57" s="348"/>
      <c r="D57" s="348" t="s">
        <v>1062</v>
      </c>
      <c r="E57" s="348"/>
      <c r="F57" s="348" t="s">
        <v>1063</v>
      </c>
      <c r="G57" s="348" t="s">
        <v>1064</v>
      </c>
      <c r="H57" s="348"/>
      <c r="I57" s="333"/>
      <c r="J57" s="333"/>
      <c r="K57" s="333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</row>
    <row r="58">
      <c r="A58" s="348">
        <v>53.0</v>
      </c>
      <c r="B58" s="184" t="s">
        <v>215</v>
      </c>
      <c r="C58" s="348"/>
      <c r="D58" s="348" t="s">
        <v>1065</v>
      </c>
      <c r="E58" s="348"/>
      <c r="F58" s="348" t="s">
        <v>1066</v>
      </c>
      <c r="G58" s="348" t="s">
        <v>1067</v>
      </c>
      <c r="H58" s="348"/>
      <c r="I58" s="333"/>
      <c r="J58" s="333"/>
      <c r="K58" s="333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</row>
    <row r="59">
      <c r="A59" s="348">
        <v>54.0</v>
      </c>
      <c r="B59" s="184" t="s">
        <v>222</v>
      </c>
      <c r="C59" s="348"/>
      <c r="D59" s="348">
        <v>1.920853108E9</v>
      </c>
      <c r="E59" s="348"/>
      <c r="F59" s="348" t="s">
        <v>1068</v>
      </c>
      <c r="G59" s="364" t="s">
        <v>1069</v>
      </c>
      <c r="H59" s="348"/>
      <c r="I59" s="333"/>
      <c r="J59" s="333"/>
      <c r="K59" s="333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</row>
    <row r="60">
      <c r="A60" s="348">
        <v>55.0</v>
      </c>
      <c r="B60" s="184" t="s">
        <v>51</v>
      </c>
      <c r="C60" s="309"/>
      <c r="D60" s="309">
        <v>1.790121166E9</v>
      </c>
      <c r="E60" s="348"/>
      <c r="F60" s="348" t="s">
        <v>1070</v>
      </c>
      <c r="G60" s="348" t="s">
        <v>1071</v>
      </c>
      <c r="H60" s="348"/>
      <c r="I60" s="333"/>
      <c r="J60" s="333"/>
      <c r="K60" s="333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</row>
    <row r="61">
      <c r="A61" s="358">
        <v>56.0</v>
      </c>
      <c r="B61" s="353" t="s">
        <v>297</v>
      </c>
      <c r="C61" s="358"/>
      <c r="D61" s="358" t="s">
        <v>1072</v>
      </c>
      <c r="E61" s="358"/>
      <c r="F61" s="358" t="s">
        <v>1073</v>
      </c>
      <c r="G61" s="358" t="s">
        <v>1074</v>
      </c>
      <c r="H61" s="358"/>
      <c r="I61" s="359"/>
      <c r="J61" s="359"/>
      <c r="K61" s="359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</row>
    <row r="62">
      <c r="A62" s="348">
        <v>57.0</v>
      </c>
      <c r="B62" s="184" t="s">
        <v>300</v>
      </c>
      <c r="C62" s="309"/>
      <c r="D62" s="309">
        <v>1.715035465E9</v>
      </c>
      <c r="E62" s="348"/>
      <c r="F62" s="348" t="s">
        <v>1075</v>
      </c>
      <c r="G62" s="348" t="s">
        <v>1076</v>
      </c>
      <c r="H62" s="348"/>
      <c r="I62" s="333"/>
      <c r="J62" s="333"/>
      <c r="K62" s="333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</row>
    <row r="63">
      <c r="A63" s="348">
        <v>58.0</v>
      </c>
      <c r="B63" s="184" t="s">
        <v>318</v>
      </c>
      <c r="C63" s="309"/>
      <c r="D63" s="309">
        <v>1.60659042E9</v>
      </c>
      <c r="E63" s="348"/>
      <c r="F63" s="348" t="s">
        <v>1077</v>
      </c>
      <c r="G63" s="348" t="s">
        <v>1078</v>
      </c>
      <c r="H63" s="348"/>
      <c r="I63" s="333"/>
      <c r="J63" s="333"/>
      <c r="K63" s="333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</row>
    <row r="64">
      <c r="A64" s="348">
        <v>59.0</v>
      </c>
      <c r="B64" s="184" t="s">
        <v>346</v>
      </c>
      <c r="C64" s="309"/>
      <c r="D64" s="309">
        <v>1.987794101E9</v>
      </c>
      <c r="E64" s="348"/>
      <c r="F64" s="348" t="s">
        <v>1079</v>
      </c>
      <c r="G64" s="348" t="s">
        <v>1080</v>
      </c>
      <c r="H64" s="348"/>
      <c r="I64" s="333"/>
      <c r="J64" s="333"/>
      <c r="K64" s="333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</row>
    <row r="65">
      <c r="A65" s="348">
        <v>60.0</v>
      </c>
      <c r="B65" s="184" t="s">
        <v>354</v>
      </c>
      <c r="C65" s="309"/>
      <c r="D65" s="309">
        <v>1.799256544E9</v>
      </c>
      <c r="E65" s="348"/>
      <c r="F65" s="348" t="s">
        <v>1081</v>
      </c>
      <c r="G65" s="348" t="s">
        <v>1082</v>
      </c>
      <c r="H65" s="348"/>
      <c r="I65" s="333"/>
      <c r="J65" s="333"/>
      <c r="K65" s="333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</row>
    <row r="66">
      <c r="A66" s="365">
        <v>61.0</v>
      </c>
      <c r="B66" s="366" t="s">
        <v>357</v>
      </c>
      <c r="C66" s="365"/>
      <c r="D66" s="365">
        <v>1.960600153E9</v>
      </c>
      <c r="E66" s="365"/>
      <c r="F66" s="365" t="s">
        <v>1083</v>
      </c>
      <c r="G66" s="365" t="s">
        <v>1084</v>
      </c>
      <c r="H66" s="365"/>
      <c r="I66" s="367"/>
      <c r="J66" s="367"/>
      <c r="K66" s="367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</row>
    <row r="67">
      <c r="A67" s="348">
        <v>62.0</v>
      </c>
      <c r="B67" s="184" t="s">
        <v>361</v>
      </c>
      <c r="C67" s="309"/>
      <c r="D67" s="309">
        <v>1.40895032E9</v>
      </c>
      <c r="E67" s="348"/>
      <c r="F67" s="348" t="s">
        <v>1085</v>
      </c>
      <c r="G67" s="348" t="s">
        <v>1086</v>
      </c>
      <c r="H67" s="348"/>
      <c r="I67" s="333"/>
      <c r="J67" s="333"/>
      <c r="K67" s="333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</row>
    <row r="68">
      <c r="A68" s="348">
        <v>63.0</v>
      </c>
      <c r="B68" s="184" t="s">
        <v>52</v>
      </c>
      <c r="C68" s="309"/>
      <c r="D68" s="309">
        <v>1.786266113E9</v>
      </c>
      <c r="E68" s="348"/>
      <c r="F68" s="348" t="s">
        <v>1087</v>
      </c>
      <c r="G68" s="348" t="s">
        <v>1088</v>
      </c>
      <c r="H68" s="348"/>
      <c r="I68" s="333"/>
      <c r="J68" s="333"/>
      <c r="K68" s="333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</row>
    <row r="69">
      <c r="A69" s="348">
        <v>64.0</v>
      </c>
      <c r="B69" s="184" t="s">
        <v>368</v>
      </c>
      <c r="C69" s="309"/>
      <c r="D69" s="309">
        <v>1.761798619E9</v>
      </c>
      <c r="E69" s="348"/>
      <c r="F69" s="348" t="s">
        <v>1089</v>
      </c>
      <c r="G69" s="348" t="s">
        <v>1090</v>
      </c>
      <c r="H69" s="348"/>
      <c r="I69" s="333"/>
      <c r="J69" s="333"/>
      <c r="K69" s="333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</row>
    <row r="70">
      <c r="A70" s="348">
        <v>65.0</v>
      </c>
      <c r="B70" s="184" t="s">
        <v>375</v>
      </c>
      <c r="C70" s="309"/>
      <c r="D70" s="309">
        <v>1.883887777E9</v>
      </c>
      <c r="E70" s="348"/>
      <c r="F70" s="348" t="s">
        <v>1091</v>
      </c>
      <c r="G70" s="348" t="s">
        <v>1092</v>
      </c>
      <c r="H70" s="348"/>
      <c r="I70" s="333"/>
      <c r="J70" s="333"/>
      <c r="K70" s="333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</row>
    <row r="71">
      <c r="A71" s="348">
        <v>66.0</v>
      </c>
      <c r="B71" s="184" t="s">
        <v>380</v>
      </c>
      <c r="C71" s="369"/>
      <c r="D71" s="369" t="s">
        <v>1093</v>
      </c>
      <c r="E71" s="348"/>
      <c r="F71" s="363" t="s">
        <v>1094</v>
      </c>
      <c r="G71" s="348" t="s">
        <v>1095</v>
      </c>
      <c r="H71" s="348"/>
      <c r="I71" s="333"/>
      <c r="J71" s="333"/>
      <c r="K71" s="348" t="s">
        <v>378</v>
      </c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</row>
    <row r="72">
      <c r="A72" s="348">
        <v>67.0</v>
      </c>
      <c r="B72" s="184" t="s">
        <v>53</v>
      </c>
      <c r="C72" s="309"/>
      <c r="D72" s="309">
        <v>1.843744478E9</v>
      </c>
      <c r="E72" s="348"/>
      <c r="F72" s="348" t="s">
        <v>1096</v>
      </c>
      <c r="G72" s="348" t="s">
        <v>1097</v>
      </c>
      <c r="H72" s="348"/>
      <c r="I72" s="333"/>
      <c r="J72" s="333"/>
      <c r="K72" s="333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</row>
    <row r="73">
      <c r="A73" s="348">
        <v>68.0</v>
      </c>
      <c r="B73" s="184" t="s">
        <v>395</v>
      </c>
      <c r="C73" s="309"/>
      <c r="D73" s="309">
        <v>1.931794887E9</v>
      </c>
      <c r="E73" s="348"/>
      <c r="F73" s="348" t="s">
        <v>1098</v>
      </c>
      <c r="G73" s="348" t="s">
        <v>1099</v>
      </c>
      <c r="H73" s="348"/>
      <c r="I73" s="333"/>
      <c r="J73" s="333"/>
      <c r="K73" s="333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</row>
    <row r="74">
      <c r="A74" s="348">
        <v>69.0</v>
      </c>
      <c r="B74" s="184" t="s">
        <v>397</v>
      </c>
      <c r="C74" s="309"/>
      <c r="D74" s="309">
        <v>1.711316849E9</v>
      </c>
      <c r="E74" s="348"/>
      <c r="F74" s="348" t="s">
        <v>1100</v>
      </c>
      <c r="G74" s="348" t="s">
        <v>1101</v>
      </c>
      <c r="H74" s="348"/>
      <c r="I74" s="333"/>
      <c r="J74" s="333"/>
      <c r="K74" s="333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</row>
    <row r="75">
      <c r="A75" s="348">
        <v>70.0</v>
      </c>
      <c r="B75" s="184" t="s">
        <v>398</v>
      </c>
      <c r="C75" s="309"/>
      <c r="D75" s="309">
        <v>1.717008611E9</v>
      </c>
      <c r="E75" s="348"/>
      <c r="F75" s="348" t="s">
        <v>1102</v>
      </c>
      <c r="G75" s="348" t="s">
        <v>1103</v>
      </c>
      <c r="H75" s="348"/>
      <c r="I75" s="333"/>
      <c r="J75" s="333"/>
      <c r="K75" s="333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</row>
    <row r="76">
      <c r="A76" s="348">
        <v>71.0</v>
      </c>
      <c r="B76" s="184" t="s">
        <v>406</v>
      </c>
      <c r="C76" s="309"/>
      <c r="D76" s="309">
        <v>1.730068304E9</v>
      </c>
      <c r="E76" s="348"/>
      <c r="F76" s="370" t="s">
        <v>1104</v>
      </c>
      <c r="G76" s="348" t="s">
        <v>1105</v>
      </c>
      <c r="H76" s="348"/>
      <c r="I76" s="333"/>
      <c r="J76" s="333"/>
      <c r="K76" s="333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</row>
    <row r="77">
      <c r="A77" s="348">
        <v>72.0</v>
      </c>
      <c r="B77" s="184" t="s">
        <v>411</v>
      </c>
      <c r="C77" s="309"/>
      <c r="D77" s="309">
        <v>1.835802448E9</v>
      </c>
      <c r="E77" s="348"/>
      <c r="F77" s="348" t="s">
        <v>1106</v>
      </c>
      <c r="G77" s="348" t="s">
        <v>1107</v>
      </c>
      <c r="H77" s="348"/>
      <c r="I77" s="333"/>
      <c r="J77" s="333"/>
      <c r="K77" s="333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</row>
    <row r="78">
      <c r="A78" s="348">
        <v>73.0</v>
      </c>
      <c r="B78" s="184" t="s">
        <v>422</v>
      </c>
      <c r="C78" s="309"/>
      <c r="D78" s="309">
        <v>1.973213369E9</v>
      </c>
      <c r="E78" s="348"/>
      <c r="F78" s="348" t="s">
        <v>1108</v>
      </c>
      <c r="G78" s="348" t="s">
        <v>1109</v>
      </c>
      <c r="H78" s="348"/>
      <c r="I78" s="333"/>
      <c r="J78" s="333"/>
      <c r="K78" s="333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</row>
    <row r="79">
      <c r="A79" s="348">
        <v>74.0</v>
      </c>
      <c r="B79" s="184" t="s">
        <v>420</v>
      </c>
      <c r="C79" s="309"/>
      <c r="D79" s="309">
        <v>1.70999209E9</v>
      </c>
      <c r="E79" s="348"/>
      <c r="F79" s="348" t="s">
        <v>1110</v>
      </c>
      <c r="G79" s="348" t="s">
        <v>1111</v>
      </c>
      <c r="H79" s="348"/>
      <c r="I79" s="333"/>
      <c r="J79" s="333"/>
      <c r="K79" s="333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</row>
    <row r="80">
      <c r="A80" s="348">
        <v>75.0</v>
      </c>
      <c r="B80" s="184" t="s">
        <v>419</v>
      </c>
      <c r="C80" s="309"/>
      <c r="D80" s="309">
        <v>1.708516477E9</v>
      </c>
      <c r="E80" s="348"/>
      <c r="F80" s="348" t="s">
        <v>1112</v>
      </c>
      <c r="G80" s="348" t="s">
        <v>1113</v>
      </c>
      <c r="H80" s="348"/>
      <c r="I80" s="333"/>
      <c r="J80" s="333"/>
      <c r="K80" s="333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</row>
    <row r="81">
      <c r="A81" s="348">
        <v>76.0</v>
      </c>
      <c r="B81" s="184" t="s">
        <v>424</v>
      </c>
      <c r="C81" s="309"/>
      <c r="D81" s="309">
        <v>1.713076799E9</v>
      </c>
      <c r="E81" s="348"/>
      <c r="F81" s="348" t="s">
        <v>1114</v>
      </c>
      <c r="G81" s="348" t="s">
        <v>1115</v>
      </c>
      <c r="H81" s="348"/>
      <c r="I81" s="333"/>
      <c r="J81" s="333"/>
      <c r="K81" s="333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</row>
    <row r="82">
      <c r="A82" s="348">
        <v>77.0</v>
      </c>
      <c r="B82" s="184" t="s">
        <v>425</v>
      </c>
      <c r="C82" s="309"/>
      <c r="D82" s="309">
        <v>1.886260866E9</v>
      </c>
      <c r="E82" s="348"/>
      <c r="F82" s="348" t="s">
        <v>1116</v>
      </c>
      <c r="G82" s="348" t="s">
        <v>1117</v>
      </c>
      <c r="H82" s="348"/>
      <c r="I82" s="333"/>
      <c r="J82" s="333"/>
      <c r="K82" s="333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</row>
    <row r="83">
      <c r="A83" s="348"/>
      <c r="B83" s="341"/>
      <c r="C83" s="371"/>
      <c r="D83" s="371" t="s">
        <v>1118</v>
      </c>
      <c r="E83" s="348"/>
      <c r="F83" s="348"/>
      <c r="G83" s="348"/>
      <c r="H83" s="348"/>
      <c r="I83" s="333"/>
      <c r="J83" s="333"/>
      <c r="K83" s="333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</row>
    <row r="84">
      <c r="A84" s="333"/>
      <c r="C84" s="370"/>
      <c r="D84" s="348"/>
      <c r="E84" s="348"/>
      <c r="F84" s="348"/>
      <c r="G84" s="348"/>
      <c r="H84" s="348"/>
      <c r="I84" s="333"/>
      <c r="J84" s="333"/>
      <c r="K84" s="333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</row>
    <row r="85">
      <c r="A85" s="333"/>
      <c r="B85" s="372" t="s">
        <v>1</v>
      </c>
      <c r="C85" s="373" t="s">
        <v>957</v>
      </c>
      <c r="D85" s="374" t="s">
        <v>953</v>
      </c>
      <c r="E85" s="374" t="s">
        <v>18</v>
      </c>
      <c r="F85" s="374" t="s">
        <v>7</v>
      </c>
      <c r="G85" s="374" t="s">
        <v>8</v>
      </c>
      <c r="H85" s="374" t="s">
        <v>9</v>
      </c>
      <c r="I85" s="374" t="s">
        <v>10</v>
      </c>
      <c r="J85" s="374" t="s">
        <v>11</v>
      </c>
      <c r="K85" s="374" t="s">
        <v>12</v>
      </c>
      <c r="L85" s="374" t="s">
        <v>634</v>
      </c>
      <c r="M85" s="372" t="s">
        <v>14</v>
      </c>
      <c r="N85" s="372" t="s">
        <v>15</v>
      </c>
      <c r="O85" s="375"/>
      <c r="P85" s="375"/>
      <c r="Q85" s="375"/>
      <c r="R85" s="375"/>
      <c r="S85" s="375"/>
      <c r="T85" s="372" t="s">
        <v>322</v>
      </c>
      <c r="U85" s="375"/>
      <c r="V85" s="375"/>
      <c r="W85" s="375"/>
      <c r="X85" s="375"/>
      <c r="Y85" s="375"/>
      <c r="Z85" s="375"/>
    </row>
    <row r="86">
      <c r="A86" s="341"/>
      <c r="B86" s="341"/>
      <c r="C86" s="333"/>
      <c r="D86" s="333"/>
      <c r="E86" s="333"/>
      <c r="F86" s="333"/>
      <c r="G86" s="333"/>
      <c r="H86" s="333"/>
      <c r="I86" s="333"/>
      <c r="J86" s="333"/>
      <c r="K86" s="333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</row>
    <row r="87">
      <c r="A87" s="376">
        <v>1.0</v>
      </c>
      <c r="B87" s="377" t="s">
        <v>147</v>
      </c>
      <c r="C87" s="358" t="s">
        <v>736</v>
      </c>
      <c r="D87" s="358" t="s">
        <v>37</v>
      </c>
      <c r="E87" s="358">
        <v>3000.0</v>
      </c>
      <c r="F87" s="358">
        <v>3000.0</v>
      </c>
      <c r="G87" s="358">
        <v>3000.0</v>
      </c>
      <c r="H87" s="358">
        <v>3000.0</v>
      </c>
      <c r="I87" s="358">
        <v>3000.0</v>
      </c>
      <c r="J87" s="358" t="s">
        <v>37</v>
      </c>
      <c r="K87" s="358">
        <v>3000.0</v>
      </c>
      <c r="L87" s="353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</row>
    <row r="88">
      <c r="A88" s="376">
        <v>2.0</v>
      </c>
      <c r="B88" s="378" t="s">
        <v>108</v>
      </c>
      <c r="C88" s="358"/>
      <c r="D88" s="358" t="s">
        <v>38</v>
      </c>
      <c r="E88" s="358">
        <v>3000.0</v>
      </c>
      <c r="F88" s="358">
        <v>3000.0</v>
      </c>
      <c r="G88" s="358">
        <v>3000.0</v>
      </c>
      <c r="H88" s="358">
        <v>3000.0</v>
      </c>
      <c r="I88" s="358">
        <v>3000.0</v>
      </c>
      <c r="J88" s="358">
        <v>3000.0</v>
      </c>
      <c r="K88" s="358" t="s">
        <v>37</v>
      </c>
      <c r="L88" s="358">
        <v>3000.0</v>
      </c>
      <c r="M88" s="353">
        <v>3000.0</v>
      </c>
      <c r="N88" s="353" t="s">
        <v>38</v>
      </c>
      <c r="O88" s="353" t="s">
        <v>38</v>
      </c>
      <c r="P88" s="361"/>
      <c r="Q88" s="361"/>
      <c r="R88" s="361"/>
      <c r="S88" s="361"/>
      <c r="T88" s="361"/>
      <c r="U88" s="361"/>
      <c r="V88" s="361"/>
      <c r="W88" s="361"/>
      <c r="X88" s="361"/>
      <c r="Y88" s="361"/>
      <c r="Z88" s="361"/>
    </row>
    <row r="89">
      <c r="A89" s="376">
        <v>3.0</v>
      </c>
      <c r="B89" s="379" t="s">
        <v>113</v>
      </c>
      <c r="C89" s="309"/>
      <c r="D89" s="309" t="s">
        <v>38</v>
      </c>
      <c r="E89" s="309">
        <v>3000.0</v>
      </c>
      <c r="F89" s="309">
        <v>3000.0</v>
      </c>
      <c r="G89" s="309">
        <v>3000.0</v>
      </c>
      <c r="H89" s="309">
        <v>3000.0</v>
      </c>
      <c r="I89" s="309">
        <v>3000.0</v>
      </c>
      <c r="J89" s="309">
        <v>3000.0</v>
      </c>
      <c r="K89" s="309">
        <v>3000.0</v>
      </c>
      <c r="L89" s="309" t="s">
        <v>37</v>
      </c>
      <c r="M89" s="380"/>
      <c r="N89" s="380"/>
      <c r="O89" s="380"/>
      <c r="P89" s="194">
        <v>3000.0</v>
      </c>
      <c r="Q89" s="194">
        <v>3000.0</v>
      </c>
      <c r="R89" s="194">
        <v>3000.0</v>
      </c>
      <c r="S89" s="194">
        <v>3000.0</v>
      </c>
      <c r="T89" s="194">
        <v>3000.0</v>
      </c>
      <c r="U89" s="194">
        <v>3000.0</v>
      </c>
      <c r="V89" s="194">
        <v>3000.0</v>
      </c>
      <c r="W89" s="194">
        <v>3000.0</v>
      </c>
      <c r="X89" s="194">
        <v>3000.0</v>
      </c>
      <c r="Y89" s="380"/>
      <c r="Z89" s="380"/>
    </row>
    <row r="90">
      <c r="A90" s="376">
        <v>4.0</v>
      </c>
      <c r="B90" s="345" t="s">
        <v>136</v>
      </c>
      <c r="C90" s="365"/>
      <c r="D90" s="365">
        <v>3000.0</v>
      </c>
      <c r="E90" s="365">
        <v>3000.0</v>
      </c>
      <c r="F90" s="365">
        <v>3000.0</v>
      </c>
      <c r="G90" s="365">
        <v>3000.0</v>
      </c>
      <c r="H90" s="367"/>
      <c r="I90" s="367"/>
      <c r="J90" s="367"/>
      <c r="K90" s="367"/>
      <c r="L90" s="365" t="s">
        <v>37</v>
      </c>
      <c r="M90" s="366" t="s">
        <v>37</v>
      </c>
      <c r="N90" s="366" t="s">
        <v>37</v>
      </c>
      <c r="O90" s="366" t="s">
        <v>38</v>
      </c>
      <c r="P90" s="366" t="s">
        <v>38</v>
      </c>
      <c r="Q90" s="366" t="s">
        <v>38</v>
      </c>
      <c r="R90" s="368"/>
      <c r="S90" s="368"/>
      <c r="T90" s="368"/>
      <c r="U90" s="368"/>
      <c r="V90" s="368"/>
      <c r="W90" s="368"/>
      <c r="X90" s="368"/>
      <c r="Y90" s="368"/>
      <c r="Z90" s="368"/>
    </row>
    <row r="91" ht="17.25" customHeight="1">
      <c r="A91" s="376">
        <v>5.0</v>
      </c>
      <c r="B91" s="381" t="s">
        <v>36</v>
      </c>
      <c r="C91" s="309"/>
      <c r="D91" s="309">
        <v>3000.0</v>
      </c>
      <c r="E91" s="309">
        <v>3000.0</v>
      </c>
      <c r="F91" s="309">
        <v>3000.0</v>
      </c>
      <c r="G91" s="309">
        <v>3000.0</v>
      </c>
      <c r="H91" s="309">
        <v>3000.0</v>
      </c>
      <c r="I91" s="309">
        <v>3000.0</v>
      </c>
      <c r="J91" s="309">
        <v>3000.0</v>
      </c>
      <c r="K91" s="309" t="s">
        <v>37</v>
      </c>
      <c r="L91" s="309" t="s">
        <v>38</v>
      </c>
      <c r="M91" s="194">
        <v>3000.0</v>
      </c>
      <c r="N91" s="194" t="s">
        <v>38</v>
      </c>
      <c r="O91" s="194" t="s">
        <v>38</v>
      </c>
      <c r="P91" s="194">
        <v>3000.0</v>
      </c>
      <c r="Q91" s="194">
        <v>3000.0</v>
      </c>
      <c r="R91" s="194">
        <v>3000.0</v>
      </c>
      <c r="S91" s="194">
        <v>3000.0</v>
      </c>
      <c r="T91" s="194">
        <v>3000.0</v>
      </c>
      <c r="U91" s="194">
        <v>3000.0</v>
      </c>
      <c r="V91" s="194">
        <v>3000.0</v>
      </c>
      <c r="W91" s="194">
        <v>3000.0</v>
      </c>
      <c r="X91" s="194">
        <v>3000.0</v>
      </c>
      <c r="Y91" s="380"/>
      <c r="Z91" s="380"/>
    </row>
    <row r="92">
      <c r="A92" s="376">
        <v>6.0</v>
      </c>
      <c r="B92" s="346" t="s">
        <v>120</v>
      </c>
      <c r="C92" s="358"/>
      <c r="D92" s="358">
        <v>3000.0</v>
      </c>
      <c r="E92" s="358">
        <v>3000.0</v>
      </c>
      <c r="F92" s="358">
        <v>3000.0</v>
      </c>
      <c r="G92" s="359"/>
      <c r="H92" s="359"/>
      <c r="I92" s="359"/>
      <c r="J92" s="358" t="s">
        <v>37</v>
      </c>
      <c r="K92" s="358" t="s">
        <v>37</v>
      </c>
      <c r="L92" s="358" t="s">
        <v>1119</v>
      </c>
      <c r="M92" s="361"/>
      <c r="N92" s="361"/>
      <c r="O92" s="361"/>
      <c r="P92" s="361"/>
      <c r="Q92" s="361"/>
      <c r="R92" s="361"/>
      <c r="S92" s="361"/>
      <c r="T92" s="361"/>
      <c r="U92" s="361"/>
      <c r="V92" s="353" t="s">
        <v>1120</v>
      </c>
      <c r="W92" s="361"/>
      <c r="X92" s="361"/>
      <c r="Y92" s="361"/>
      <c r="Z92" s="361"/>
    </row>
    <row r="93">
      <c r="A93" s="376">
        <v>7.0</v>
      </c>
      <c r="B93" s="382" t="s">
        <v>1121</v>
      </c>
      <c r="C93" s="358"/>
      <c r="D93" s="358" t="s">
        <v>37</v>
      </c>
      <c r="E93" s="358">
        <v>3000.0</v>
      </c>
      <c r="F93" s="358">
        <v>3000.0</v>
      </c>
      <c r="G93" s="358">
        <v>3000.0</v>
      </c>
      <c r="H93" s="358" t="s">
        <v>1122</v>
      </c>
      <c r="I93" s="358" t="s">
        <v>1122</v>
      </c>
      <c r="J93" s="358" t="s">
        <v>1122</v>
      </c>
      <c r="K93" s="358" t="s">
        <v>1122</v>
      </c>
      <c r="L93" s="358" t="s">
        <v>1119</v>
      </c>
      <c r="M93" s="361"/>
      <c r="N93" s="361"/>
      <c r="O93" s="361"/>
      <c r="P93" s="361"/>
      <c r="Q93" s="361"/>
      <c r="R93" s="361"/>
      <c r="S93" s="361"/>
      <c r="T93" s="353" t="s">
        <v>1123</v>
      </c>
      <c r="U93" s="361"/>
      <c r="V93" s="361"/>
      <c r="W93" s="361"/>
      <c r="X93" s="361"/>
      <c r="Y93" s="361"/>
      <c r="Z93" s="361"/>
    </row>
    <row r="94">
      <c r="A94" s="376">
        <v>8.0</v>
      </c>
      <c r="B94" s="353" t="s">
        <v>140</v>
      </c>
      <c r="C94" s="358"/>
      <c r="D94" s="358">
        <v>3000.0</v>
      </c>
      <c r="E94" s="358">
        <v>3000.0</v>
      </c>
      <c r="F94" s="358">
        <v>3000.0</v>
      </c>
      <c r="G94" s="358">
        <v>3000.0</v>
      </c>
      <c r="H94" s="358">
        <v>3000.0</v>
      </c>
      <c r="I94" s="358">
        <v>3000.0</v>
      </c>
      <c r="J94" s="358">
        <v>3000.0</v>
      </c>
      <c r="K94" s="358" t="s">
        <v>37</v>
      </c>
      <c r="L94" s="358">
        <v>3000.0</v>
      </c>
      <c r="M94" s="353" t="s">
        <v>37</v>
      </c>
      <c r="N94" s="361"/>
      <c r="O94" s="361"/>
      <c r="P94" s="361"/>
      <c r="Q94" s="361"/>
      <c r="R94" s="361"/>
      <c r="S94" s="361"/>
      <c r="T94" s="361"/>
      <c r="U94" s="361"/>
      <c r="V94" s="361"/>
      <c r="W94" s="361"/>
      <c r="X94" s="361"/>
      <c r="Y94" s="361"/>
      <c r="Z94" s="361"/>
    </row>
    <row r="95">
      <c r="A95" s="376">
        <v>9.0</v>
      </c>
      <c r="B95" s="194" t="s">
        <v>40</v>
      </c>
      <c r="C95" s="348"/>
      <c r="D95" s="348">
        <v>3000.0</v>
      </c>
      <c r="E95" s="348">
        <v>3000.0</v>
      </c>
      <c r="F95" s="348">
        <v>3000.0</v>
      </c>
      <c r="G95" s="348">
        <v>3000.0</v>
      </c>
      <c r="H95" s="348">
        <v>3000.0</v>
      </c>
      <c r="I95" s="348">
        <v>3000.0</v>
      </c>
      <c r="J95" s="348">
        <v>3000.0</v>
      </c>
      <c r="K95" s="348">
        <v>3000.0</v>
      </c>
      <c r="L95" s="348">
        <v>3000.0</v>
      </c>
      <c r="M95" s="184">
        <v>3000.0</v>
      </c>
      <c r="N95" s="184">
        <v>3000.0</v>
      </c>
      <c r="O95" s="184">
        <v>3000.0</v>
      </c>
      <c r="P95" s="184">
        <v>3000.0</v>
      </c>
      <c r="Q95" s="184">
        <v>3000.0</v>
      </c>
      <c r="R95" s="184">
        <v>3000.0</v>
      </c>
      <c r="S95" s="184">
        <v>3000.0</v>
      </c>
      <c r="T95" s="184">
        <v>3000.0</v>
      </c>
      <c r="U95" s="184">
        <v>3000.0</v>
      </c>
      <c r="V95" s="184">
        <v>3000.0</v>
      </c>
      <c r="W95" s="184">
        <v>3000.0</v>
      </c>
      <c r="X95" s="184">
        <v>3000.0</v>
      </c>
      <c r="Y95" s="341"/>
      <c r="Z95" s="341"/>
    </row>
    <row r="96">
      <c r="A96" s="376">
        <v>10.0</v>
      </c>
      <c r="B96" s="194" t="s">
        <v>41</v>
      </c>
      <c r="C96" s="348"/>
      <c r="D96" s="348" t="s">
        <v>47</v>
      </c>
      <c r="E96" s="348">
        <v>3000.0</v>
      </c>
      <c r="F96" s="348">
        <v>3000.0</v>
      </c>
      <c r="G96" s="348">
        <v>3000.0</v>
      </c>
      <c r="H96" s="348">
        <v>3000.0</v>
      </c>
      <c r="I96" s="348">
        <v>3000.0</v>
      </c>
      <c r="J96" s="348">
        <v>3000.0</v>
      </c>
      <c r="K96" s="348">
        <v>3000.0</v>
      </c>
      <c r="L96" s="348">
        <v>3000.0</v>
      </c>
      <c r="M96" s="184">
        <v>3000.0</v>
      </c>
      <c r="N96" s="184">
        <v>3000.0</v>
      </c>
      <c r="O96" s="184">
        <v>3000.0</v>
      </c>
      <c r="P96" s="184">
        <v>3000.0</v>
      </c>
      <c r="Q96" s="184">
        <v>3000.0</v>
      </c>
      <c r="R96" s="184">
        <v>3000.0</v>
      </c>
      <c r="S96" s="184">
        <v>3000.0</v>
      </c>
      <c r="T96" s="184">
        <v>3000.0</v>
      </c>
      <c r="U96" s="184">
        <v>3000.0</v>
      </c>
      <c r="V96" s="184">
        <v>3000.0</v>
      </c>
      <c r="W96" s="184">
        <v>3000.0</v>
      </c>
      <c r="X96" s="184">
        <v>3000.0</v>
      </c>
      <c r="Y96" s="341"/>
      <c r="Z96" s="341"/>
    </row>
    <row r="97">
      <c r="A97" s="376">
        <v>11.0</v>
      </c>
      <c r="B97" s="353" t="s">
        <v>42</v>
      </c>
      <c r="C97" s="358"/>
      <c r="D97" s="358" t="s">
        <v>47</v>
      </c>
      <c r="E97" s="358">
        <v>3000.0</v>
      </c>
      <c r="F97" s="358">
        <v>3000.0</v>
      </c>
      <c r="G97" s="358">
        <v>3000.0</v>
      </c>
      <c r="H97" s="358">
        <v>3000.0</v>
      </c>
      <c r="I97" s="358">
        <v>3000.0</v>
      </c>
      <c r="J97" s="358">
        <v>3000.0</v>
      </c>
      <c r="K97" s="358" t="s">
        <v>37</v>
      </c>
      <c r="L97" s="358" t="s">
        <v>38</v>
      </c>
      <c r="M97" s="361"/>
      <c r="N97" s="361"/>
      <c r="O97" s="361"/>
      <c r="P97" s="361"/>
      <c r="Q97" s="361"/>
      <c r="R97" s="361"/>
      <c r="S97" s="361"/>
      <c r="T97" s="361"/>
      <c r="U97" s="361"/>
      <c r="V97" s="361"/>
      <c r="W97" s="361"/>
      <c r="X97" s="361"/>
      <c r="Y97" s="361"/>
      <c r="Z97" s="361"/>
    </row>
    <row r="98">
      <c r="A98" s="376">
        <v>12.0</v>
      </c>
      <c r="B98" s="353" t="s">
        <v>95</v>
      </c>
      <c r="C98" s="358"/>
      <c r="D98" s="358" t="s">
        <v>47</v>
      </c>
      <c r="E98" s="358" t="s">
        <v>1124</v>
      </c>
      <c r="F98" s="358">
        <v>3000.0</v>
      </c>
      <c r="G98" s="358">
        <v>3000.0</v>
      </c>
      <c r="H98" s="358">
        <v>3000.0</v>
      </c>
      <c r="I98" s="358">
        <v>3000.0</v>
      </c>
      <c r="J98" s="359"/>
      <c r="K98" s="358" t="s">
        <v>37</v>
      </c>
      <c r="L98" s="358" t="s">
        <v>37</v>
      </c>
      <c r="M98" s="353">
        <v>3000.0</v>
      </c>
      <c r="N98" s="353" t="s">
        <v>37</v>
      </c>
      <c r="O98" s="353" t="s">
        <v>37</v>
      </c>
      <c r="P98" s="353" t="s">
        <v>37</v>
      </c>
      <c r="Q98" s="353" t="s">
        <v>37</v>
      </c>
      <c r="R98" s="353">
        <v>3000.0</v>
      </c>
      <c r="S98" s="361"/>
      <c r="T98" s="361"/>
      <c r="U98" s="361"/>
      <c r="V98" s="361"/>
      <c r="W98" s="361"/>
      <c r="X98" s="361"/>
      <c r="Y98" s="361"/>
      <c r="Z98" s="361"/>
    </row>
    <row r="99">
      <c r="A99" s="376">
        <v>13.0</v>
      </c>
      <c r="B99" s="353" t="s">
        <v>1009</v>
      </c>
      <c r="C99" s="358"/>
      <c r="D99" s="358" t="s">
        <v>47</v>
      </c>
      <c r="E99" s="358" t="s">
        <v>1124</v>
      </c>
      <c r="F99" s="358" t="s">
        <v>35</v>
      </c>
      <c r="G99" s="359"/>
      <c r="H99" s="358" t="s">
        <v>1122</v>
      </c>
      <c r="I99" s="358" t="s">
        <v>1122</v>
      </c>
      <c r="J99" s="358" t="s">
        <v>1122</v>
      </c>
      <c r="K99" s="358" t="s">
        <v>1122</v>
      </c>
      <c r="L99" s="358" t="s">
        <v>37</v>
      </c>
      <c r="M99" s="361"/>
      <c r="N99" s="361"/>
      <c r="O99" s="361"/>
      <c r="P99" s="361"/>
      <c r="Q99" s="361"/>
      <c r="R99" s="361"/>
      <c r="S99" s="361"/>
      <c r="T99" s="361"/>
      <c r="U99" s="361"/>
      <c r="V99" s="361"/>
      <c r="W99" s="361"/>
      <c r="X99" s="361"/>
      <c r="Y99" s="361"/>
      <c r="Z99" s="361"/>
    </row>
    <row r="100">
      <c r="A100" s="376">
        <v>14.0</v>
      </c>
      <c r="B100" s="194" t="s">
        <v>181</v>
      </c>
      <c r="C100" s="309"/>
      <c r="D100" s="309" t="s">
        <v>47</v>
      </c>
      <c r="E100" s="309" t="s">
        <v>1125</v>
      </c>
      <c r="F100" s="309">
        <v>3000.0</v>
      </c>
      <c r="G100" s="309" t="s">
        <v>37</v>
      </c>
      <c r="H100" s="309">
        <v>3000.0</v>
      </c>
      <c r="I100" s="383"/>
      <c r="J100" s="309" t="s">
        <v>37</v>
      </c>
      <c r="K100" s="309" t="s">
        <v>37</v>
      </c>
      <c r="L100" s="309">
        <v>3000.0</v>
      </c>
      <c r="M100" s="380"/>
      <c r="N100" s="194" t="s">
        <v>38</v>
      </c>
      <c r="O100" s="380"/>
      <c r="P100" s="380"/>
      <c r="Q100" s="380"/>
      <c r="R100" s="380"/>
      <c r="S100" s="380"/>
      <c r="T100" s="380"/>
      <c r="U100" s="194">
        <v>3000.0</v>
      </c>
      <c r="V100" s="194">
        <v>3000.0</v>
      </c>
      <c r="W100" s="194">
        <v>3000.0</v>
      </c>
      <c r="X100" s="380"/>
      <c r="Y100" s="380"/>
      <c r="Z100" s="380"/>
    </row>
    <row r="101">
      <c r="A101" s="376">
        <v>15.0</v>
      </c>
      <c r="B101" s="353" t="s">
        <v>142</v>
      </c>
      <c r="C101" s="358"/>
      <c r="D101" s="358" t="s">
        <v>47</v>
      </c>
      <c r="E101" s="358" t="s">
        <v>1125</v>
      </c>
      <c r="F101" s="358">
        <v>3000.0</v>
      </c>
      <c r="G101" s="358">
        <v>3000.0</v>
      </c>
      <c r="H101" s="358">
        <v>3000.0</v>
      </c>
      <c r="I101" s="358">
        <v>3000.0</v>
      </c>
      <c r="J101" s="358">
        <v>3000.0</v>
      </c>
      <c r="K101" s="358">
        <v>3000.0</v>
      </c>
      <c r="L101" s="358">
        <v>3000.0</v>
      </c>
      <c r="M101" s="361"/>
      <c r="N101" s="361"/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  <c r="Z101" s="361"/>
    </row>
    <row r="102">
      <c r="A102" s="376">
        <v>16.0</v>
      </c>
      <c r="B102" s="353" t="s">
        <v>111</v>
      </c>
      <c r="C102" s="358"/>
      <c r="D102" s="358" t="s">
        <v>47</v>
      </c>
      <c r="E102" s="358" t="s">
        <v>1126</v>
      </c>
      <c r="F102" s="358">
        <v>3000.0</v>
      </c>
      <c r="G102" s="358">
        <v>3000.0</v>
      </c>
      <c r="H102" s="358">
        <v>3000.0</v>
      </c>
      <c r="I102" s="359"/>
      <c r="J102" s="359"/>
      <c r="K102" s="359"/>
      <c r="L102" s="358" t="s">
        <v>38</v>
      </c>
      <c r="M102" s="361"/>
      <c r="N102" s="361"/>
      <c r="O102" s="361"/>
      <c r="P102" s="361"/>
      <c r="Q102" s="361"/>
      <c r="R102" s="361"/>
      <c r="S102" s="361"/>
      <c r="T102" s="361"/>
      <c r="U102" s="361"/>
      <c r="V102" s="361"/>
      <c r="W102" s="361"/>
      <c r="X102" s="361"/>
      <c r="Y102" s="361"/>
      <c r="Z102" s="361"/>
    </row>
    <row r="103">
      <c r="A103" s="376">
        <v>17.0</v>
      </c>
      <c r="B103" s="353" t="s">
        <v>102</v>
      </c>
      <c r="C103" s="358"/>
      <c r="D103" s="358" t="s">
        <v>47</v>
      </c>
      <c r="E103" s="358" t="s">
        <v>47</v>
      </c>
      <c r="F103" s="358" t="s">
        <v>1127</v>
      </c>
      <c r="G103" s="358">
        <v>3000.0</v>
      </c>
      <c r="H103" s="358">
        <v>3000.0</v>
      </c>
      <c r="I103" s="358">
        <v>3000.0</v>
      </c>
      <c r="J103" s="358">
        <v>3000.0</v>
      </c>
      <c r="K103" s="358">
        <v>3000.0</v>
      </c>
      <c r="L103" s="358">
        <v>3000.0</v>
      </c>
      <c r="M103" s="353" t="s">
        <v>37</v>
      </c>
      <c r="N103" s="353">
        <v>3000.0</v>
      </c>
      <c r="O103" s="353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</row>
    <row r="104">
      <c r="A104" s="376">
        <v>18.0</v>
      </c>
      <c r="B104" s="353" t="s">
        <v>99</v>
      </c>
      <c r="C104" s="358"/>
      <c r="D104" s="358" t="s">
        <v>47</v>
      </c>
      <c r="E104" s="353" t="s">
        <v>47</v>
      </c>
      <c r="F104" s="358" t="s">
        <v>44</v>
      </c>
      <c r="G104" s="358">
        <v>3000.0</v>
      </c>
      <c r="H104" s="358">
        <v>3000.0</v>
      </c>
      <c r="I104" s="358">
        <v>3000.0</v>
      </c>
      <c r="J104" s="358" t="s">
        <v>37</v>
      </c>
      <c r="K104" s="358" t="s">
        <v>37</v>
      </c>
      <c r="L104" s="358" t="s">
        <v>38</v>
      </c>
      <c r="M104" s="361"/>
      <c r="N104" s="361"/>
      <c r="O104" s="361"/>
      <c r="P104" s="361"/>
      <c r="Q104" s="361"/>
      <c r="R104" s="361"/>
      <c r="S104" s="361"/>
      <c r="T104" s="361"/>
      <c r="U104" s="361"/>
      <c r="V104" s="361"/>
      <c r="W104" s="361"/>
      <c r="X104" s="361"/>
      <c r="Y104" s="361"/>
      <c r="Z104" s="361"/>
    </row>
    <row r="105">
      <c r="A105" s="376">
        <v>19.0</v>
      </c>
      <c r="B105" s="184" t="s">
        <v>43</v>
      </c>
      <c r="C105" s="348"/>
      <c r="D105" s="348" t="s">
        <v>47</v>
      </c>
      <c r="E105" s="348" t="s">
        <v>47</v>
      </c>
      <c r="F105" s="348" t="s">
        <v>44</v>
      </c>
      <c r="G105" s="348">
        <v>3000.0</v>
      </c>
      <c r="H105" s="348">
        <v>3000.0</v>
      </c>
      <c r="I105" s="348">
        <v>3000.0</v>
      </c>
      <c r="J105" s="309">
        <v>3000.0</v>
      </c>
      <c r="K105" s="348">
        <v>3000.0</v>
      </c>
      <c r="L105" s="348">
        <v>3000.0</v>
      </c>
      <c r="M105" s="184">
        <v>3000.0</v>
      </c>
      <c r="N105" s="184">
        <v>3000.0</v>
      </c>
      <c r="O105" s="184">
        <v>3000.0</v>
      </c>
      <c r="P105" s="184">
        <v>3000.0</v>
      </c>
      <c r="Q105" s="184">
        <v>3000.0</v>
      </c>
      <c r="R105" s="184">
        <v>3000.0</v>
      </c>
      <c r="S105" s="184">
        <v>3000.0</v>
      </c>
      <c r="T105" s="184">
        <v>3000.0</v>
      </c>
      <c r="U105" s="184">
        <v>3000.0</v>
      </c>
      <c r="V105" s="184">
        <v>3000.0</v>
      </c>
      <c r="W105" s="184">
        <v>3000.0</v>
      </c>
      <c r="X105" s="184">
        <v>3000.0</v>
      </c>
      <c r="Y105" s="341"/>
      <c r="Z105" s="341"/>
    </row>
    <row r="106">
      <c r="A106" s="376">
        <v>20.0</v>
      </c>
      <c r="B106" s="194" t="s">
        <v>190</v>
      </c>
      <c r="C106" s="309"/>
      <c r="D106" s="309" t="s">
        <v>47</v>
      </c>
      <c r="E106" s="309" t="s">
        <v>47</v>
      </c>
      <c r="F106" s="309" t="s">
        <v>44</v>
      </c>
      <c r="G106" s="309">
        <v>3000.0</v>
      </c>
      <c r="H106" s="309">
        <v>3000.0</v>
      </c>
      <c r="I106" s="309">
        <v>3000.0</v>
      </c>
      <c r="J106" s="309">
        <v>3000.0</v>
      </c>
      <c r="K106" s="309">
        <v>3000.0</v>
      </c>
      <c r="L106" s="309">
        <v>3000.0</v>
      </c>
      <c r="M106" s="194">
        <v>3000.0</v>
      </c>
      <c r="N106" s="380"/>
      <c r="O106" s="194" t="s">
        <v>38</v>
      </c>
      <c r="P106" s="194">
        <v>3000.0</v>
      </c>
      <c r="Q106" s="194">
        <v>3000.0</v>
      </c>
      <c r="R106" s="194">
        <v>3000.0</v>
      </c>
      <c r="S106" s="194">
        <v>3000.0</v>
      </c>
      <c r="T106" s="194">
        <v>3000.0</v>
      </c>
      <c r="U106" s="194">
        <v>3000.0</v>
      </c>
      <c r="V106" s="194">
        <v>3000.0</v>
      </c>
      <c r="W106" s="194">
        <v>3000.0</v>
      </c>
      <c r="X106" s="194">
        <v>3000.0</v>
      </c>
      <c r="Y106" s="380"/>
      <c r="Z106" s="380"/>
    </row>
    <row r="107">
      <c r="A107" s="376">
        <v>21.0</v>
      </c>
      <c r="B107" s="184" t="s">
        <v>45</v>
      </c>
      <c r="C107" s="348"/>
      <c r="D107" s="348" t="s">
        <v>47</v>
      </c>
      <c r="E107" s="348" t="s">
        <v>47</v>
      </c>
      <c r="F107" s="348" t="s">
        <v>44</v>
      </c>
      <c r="G107" s="348">
        <v>3000.0</v>
      </c>
      <c r="H107" s="348">
        <v>3000.0</v>
      </c>
      <c r="I107" s="348">
        <v>3000.0</v>
      </c>
      <c r="J107" s="348">
        <v>3000.0</v>
      </c>
      <c r="K107" s="348">
        <v>3000.0</v>
      </c>
      <c r="L107" s="348">
        <v>3000.0</v>
      </c>
      <c r="M107" s="184">
        <v>3000.0</v>
      </c>
      <c r="N107" s="184">
        <v>3000.0</v>
      </c>
      <c r="O107" s="184">
        <v>3000.0</v>
      </c>
      <c r="P107" s="184">
        <v>3000.0</v>
      </c>
      <c r="Q107" s="184">
        <v>3000.0</v>
      </c>
      <c r="R107" s="184">
        <v>3000.0</v>
      </c>
      <c r="S107" s="184">
        <v>3000.0</v>
      </c>
      <c r="T107" s="184">
        <v>3000.0</v>
      </c>
      <c r="U107" s="184">
        <v>3000.0</v>
      </c>
      <c r="V107" s="184">
        <v>3000.0</v>
      </c>
      <c r="W107" s="184">
        <v>3000.0</v>
      </c>
      <c r="X107" s="184">
        <v>3000.0</v>
      </c>
      <c r="Y107" s="341"/>
      <c r="Z107" s="341"/>
    </row>
    <row r="108">
      <c r="A108" s="376">
        <v>22.0</v>
      </c>
      <c r="B108" s="184" t="s">
        <v>106</v>
      </c>
      <c r="C108" s="348"/>
      <c r="D108" s="348" t="s">
        <v>47</v>
      </c>
      <c r="E108" s="348" t="s">
        <v>47</v>
      </c>
      <c r="F108" s="348" t="s">
        <v>44</v>
      </c>
      <c r="G108" s="348">
        <v>3000.0</v>
      </c>
      <c r="H108" s="348">
        <v>3000.0</v>
      </c>
      <c r="I108" s="348">
        <v>3000.0</v>
      </c>
      <c r="J108" s="348">
        <v>3000.0</v>
      </c>
      <c r="K108" s="348">
        <v>3000.0</v>
      </c>
      <c r="L108" s="348">
        <v>3000.0</v>
      </c>
      <c r="M108" s="184">
        <v>3000.0</v>
      </c>
      <c r="N108" s="184">
        <v>3000.0</v>
      </c>
      <c r="O108" s="184">
        <v>3000.0</v>
      </c>
      <c r="P108" s="184">
        <v>3000.0</v>
      </c>
      <c r="Q108" s="184">
        <v>3000.0</v>
      </c>
      <c r="R108" s="184">
        <v>3000.0</v>
      </c>
      <c r="S108" s="184">
        <v>3000.0</v>
      </c>
      <c r="T108" s="184">
        <v>3000.0</v>
      </c>
      <c r="U108" s="184">
        <v>3000.0</v>
      </c>
      <c r="V108" s="184">
        <v>3000.0</v>
      </c>
      <c r="W108" s="184">
        <v>3000.0</v>
      </c>
      <c r="X108" s="184">
        <v>3000.0</v>
      </c>
      <c r="Y108" s="341"/>
      <c r="Z108" s="341"/>
    </row>
    <row r="109">
      <c r="A109" s="376">
        <v>23.0</v>
      </c>
      <c r="B109" s="353" t="s">
        <v>115</v>
      </c>
      <c r="C109" s="358"/>
      <c r="D109" s="358" t="s">
        <v>47</v>
      </c>
      <c r="E109" s="358" t="s">
        <v>47</v>
      </c>
      <c r="F109" s="358" t="s">
        <v>47</v>
      </c>
      <c r="G109" s="358" t="s">
        <v>1128</v>
      </c>
      <c r="H109" s="358">
        <v>3000.0</v>
      </c>
      <c r="I109" s="358">
        <v>3000.0</v>
      </c>
      <c r="J109" s="359"/>
      <c r="K109" s="359"/>
      <c r="L109" s="358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</row>
    <row r="110">
      <c r="A110" s="376">
        <v>24.0</v>
      </c>
      <c r="B110" s="184" t="s">
        <v>46</v>
      </c>
      <c r="C110" s="348"/>
      <c r="D110" s="348" t="s">
        <v>47</v>
      </c>
      <c r="E110" s="348" t="s">
        <v>47</v>
      </c>
      <c r="F110" s="348" t="s">
        <v>47</v>
      </c>
      <c r="G110" s="348" t="s">
        <v>44</v>
      </c>
      <c r="H110" s="348">
        <v>3000.0</v>
      </c>
      <c r="I110" s="348">
        <v>3000.0</v>
      </c>
      <c r="J110" s="348">
        <v>3000.0</v>
      </c>
      <c r="K110" s="348">
        <v>3000.0</v>
      </c>
      <c r="L110" s="348">
        <v>3000.0</v>
      </c>
      <c r="M110" s="184">
        <v>3000.0</v>
      </c>
      <c r="N110" s="184" t="s">
        <v>38</v>
      </c>
      <c r="O110" s="184">
        <v>3000.0</v>
      </c>
      <c r="P110" s="184">
        <v>3000.0</v>
      </c>
      <c r="Q110" s="184">
        <v>3000.0</v>
      </c>
      <c r="R110" s="184">
        <v>3000.0</v>
      </c>
      <c r="S110" s="184">
        <v>3000.0</v>
      </c>
      <c r="T110" s="184">
        <v>3000.0</v>
      </c>
      <c r="U110" s="184">
        <v>3000.0</v>
      </c>
      <c r="V110" s="184">
        <v>3000.0</v>
      </c>
      <c r="W110" s="184">
        <v>3000.0</v>
      </c>
      <c r="X110" s="184">
        <v>3000.0</v>
      </c>
      <c r="Y110" s="341"/>
      <c r="Z110" s="341"/>
    </row>
    <row r="111">
      <c r="A111" s="376">
        <v>25.0</v>
      </c>
      <c r="B111" s="353" t="s">
        <v>116</v>
      </c>
      <c r="C111" s="358"/>
      <c r="D111" s="358" t="s">
        <v>47</v>
      </c>
      <c r="E111" s="358" t="s">
        <v>47</v>
      </c>
      <c r="F111" s="358" t="s">
        <v>47</v>
      </c>
      <c r="G111" s="358" t="s">
        <v>44</v>
      </c>
      <c r="H111" s="358">
        <v>3000.0</v>
      </c>
      <c r="I111" s="358">
        <v>3000.0</v>
      </c>
      <c r="J111" s="358">
        <v>3000.0</v>
      </c>
      <c r="K111" s="358">
        <v>3000.0</v>
      </c>
      <c r="L111" s="358">
        <v>3000.0</v>
      </c>
      <c r="M111" s="353">
        <v>3000.0</v>
      </c>
      <c r="N111" s="353" t="s">
        <v>38</v>
      </c>
      <c r="O111" s="361"/>
      <c r="P111" s="361"/>
      <c r="Q111" s="361"/>
      <c r="R111" s="361"/>
      <c r="S111" s="361"/>
      <c r="T111" s="361"/>
      <c r="U111" s="361"/>
      <c r="V111" s="361"/>
      <c r="W111" s="361"/>
      <c r="X111" s="361"/>
      <c r="Y111" s="361"/>
      <c r="Z111" s="361"/>
    </row>
    <row r="112">
      <c r="A112" s="376">
        <v>26.0</v>
      </c>
      <c r="B112" s="353" t="s">
        <v>117</v>
      </c>
      <c r="C112" s="358"/>
      <c r="D112" s="358" t="s">
        <v>47</v>
      </c>
      <c r="E112" s="358" t="s">
        <v>47</v>
      </c>
      <c r="F112" s="358" t="s">
        <v>47</v>
      </c>
      <c r="G112" s="358" t="s">
        <v>44</v>
      </c>
      <c r="H112" s="358">
        <v>3000.0</v>
      </c>
      <c r="I112" s="358">
        <v>3000.0</v>
      </c>
      <c r="J112" s="358">
        <v>3000.0</v>
      </c>
      <c r="K112" s="358">
        <v>3000.0</v>
      </c>
      <c r="L112" s="358">
        <v>3000.0</v>
      </c>
      <c r="M112" s="353">
        <v>3000.0</v>
      </c>
      <c r="N112" s="353" t="s">
        <v>38</v>
      </c>
      <c r="O112" s="361"/>
      <c r="P112" s="361"/>
      <c r="Q112" s="361"/>
      <c r="R112" s="361"/>
      <c r="S112" s="361"/>
      <c r="T112" s="361"/>
      <c r="U112" s="361"/>
      <c r="V112" s="361"/>
      <c r="W112" s="361"/>
      <c r="X112" s="361"/>
      <c r="Y112" s="361"/>
      <c r="Z112" s="361"/>
    </row>
    <row r="113">
      <c r="A113" s="376">
        <v>27.0</v>
      </c>
      <c r="B113" s="353" t="s">
        <v>118</v>
      </c>
      <c r="C113" s="358"/>
      <c r="D113" s="358" t="s">
        <v>47</v>
      </c>
      <c r="E113" s="358" t="s">
        <v>47</v>
      </c>
      <c r="F113" s="358" t="s">
        <v>47</v>
      </c>
      <c r="G113" s="358" t="s">
        <v>1129</v>
      </c>
      <c r="H113" s="358" t="s">
        <v>1122</v>
      </c>
      <c r="I113" s="358" t="s">
        <v>1122</v>
      </c>
      <c r="J113" s="358" t="s">
        <v>1122</v>
      </c>
      <c r="K113" s="358" t="s">
        <v>1122</v>
      </c>
      <c r="L113" s="358" t="s">
        <v>1119</v>
      </c>
      <c r="M113" s="361"/>
      <c r="N113" s="361"/>
      <c r="O113" s="361"/>
      <c r="P113" s="361"/>
      <c r="Q113" s="361"/>
      <c r="R113" s="361"/>
      <c r="S113" s="361"/>
      <c r="T113" s="361"/>
      <c r="U113" s="361"/>
      <c r="V113" s="361"/>
      <c r="W113" s="361"/>
      <c r="X113" s="361"/>
      <c r="Y113" s="361"/>
      <c r="Z113" s="361"/>
    </row>
    <row r="114">
      <c r="A114" s="376">
        <v>28.0</v>
      </c>
      <c r="B114" s="184" t="s">
        <v>119</v>
      </c>
      <c r="C114" s="348"/>
      <c r="D114" s="348" t="s">
        <v>47</v>
      </c>
      <c r="E114" s="348" t="s">
        <v>47</v>
      </c>
      <c r="F114" s="348" t="s">
        <v>47</v>
      </c>
      <c r="G114" s="348" t="s">
        <v>1130</v>
      </c>
      <c r="H114" s="348">
        <v>3000.0</v>
      </c>
      <c r="I114" s="348">
        <v>3000.0</v>
      </c>
      <c r="J114" s="348">
        <v>3000.0</v>
      </c>
      <c r="K114" s="348">
        <v>3000.0</v>
      </c>
      <c r="L114" s="348">
        <v>3000.0</v>
      </c>
      <c r="M114" s="184">
        <v>3000.0</v>
      </c>
      <c r="N114" s="184">
        <v>3000.0</v>
      </c>
      <c r="O114" s="184">
        <v>3000.0</v>
      </c>
      <c r="P114" s="184">
        <v>3000.0</v>
      </c>
      <c r="Q114" s="184">
        <v>3000.0</v>
      </c>
      <c r="R114" s="184">
        <v>3000.0</v>
      </c>
      <c r="S114" s="184">
        <v>3000.0</v>
      </c>
      <c r="T114" s="184">
        <v>3000.0</v>
      </c>
      <c r="U114" s="184">
        <v>3000.0</v>
      </c>
      <c r="V114" s="184">
        <v>3000.0</v>
      </c>
      <c r="W114" s="184">
        <v>3000.0</v>
      </c>
      <c r="X114" s="184">
        <v>3000.0</v>
      </c>
      <c r="Y114" s="341"/>
      <c r="Z114" s="341"/>
    </row>
    <row r="115">
      <c r="A115" s="376">
        <v>29.0</v>
      </c>
      <c r="B115" s="184" t="s">
        <v>126</v>
      </c>
      <c r="C115" s="348"/>
      <c r="D115" s="348" t="s">
        <v>47</v>
      </c>
      <c r="E115" s="348" t="s">
        <v>47</v>
      </c>
      <c r="F115" s="348" t="s">
        <v>47</v>
      </c>
      <c r="G115" s="348" t="s">
        <v>1131</v>
      </c>
      <c r="H115" s="348">
        <v>3000.0</v>
      </c>
      <c r="I115" s="348">
        <v>3000.0</v>
      </c>
      <c r="J115" s="348">
        <v>3000.0</v>
      </c>
      <c r="K115" s="348">
        <v>3000.0</v>
      </c>
      <c r="L115" s="348">
        <v>3000.0</v>
      </c>
      <c r="M115" s="184">
        <v>3000.0</v>
      </c>
      <c r="N115" s="184">
        <v>3000.0</v>
      </c>
      <c r="O115" s="184">
        <v>3000.0</v>
      </c>
      <c r="P115" s="184">
        <v>3000.0</v>
      </c>
      <c r="Q115" s="184">
        <v>3000.0</v>
      </c>
      <c r="R115" s="184">
        <v>3000.0</v>
      </c>
      <c r="S115" s="184">
        <v>3000.0</v>
      </c>
      <c r="T115" s="184">
        <v>3000.0</v>
      </c>
      <c r="U115" s="184">
        <v>3000.0</v>
      </c>
      <c r="V115" s="341"/>
      <c r="W115" s="184">
        <v>3000.0</v>
      </c>
      <c r="X115" s="184"/>
      <c r="Y115" s="341"/>
      <c r="Z115" s="341"/>
    </row>
    <row r="116">
      <c r="A116" s="376">
        <v>30.0</v>
      </c>
      <c r="B116" s="184" t="s">
        <v>129</v>
      </c>
      <c r="C116" s="348"/>
      <c r="D116" s="348" t="s">
        <v>47</v>
      </c>
      <c r="E116" s="348" t="s">
        <v>47</v>
      </c>
      <c r="F116" s="348" t="s">
        <v>47</v>
      </c>
      <c r="G116" s="348" t="s">
        <v>44</v>
      </c>
      <c r="H116" s="348">
        <v>3000.0</v>
      </c>
      <c r="I116" s="348">
        <v>3000.0</v>
      </c>
      <c r="J116" s="348">
        <v>3000.0</v>
      </c>
      <c r="K116" s="348">
        <v>3000.0</v>
      </c>
      <c r="L116" s="348">
        <v>3000.0</v>
      </c>
      <c r="M116" s="184">
        <v>3000.0</v>
      </c>
      <c r="N116" s="184">
        <v>3000.0</v>
      </c>
      <c r="O116" s="184">
        <v>3000.0</v>
      </c>
      <c r="P116" s="184">
        <v>3000.0</v>
      </c>
      <c r="Q116" s="184">
        <v>3000.0</v>
      </c>
      <c r="R116" s="184">
        <v>3000.0</v>
      </c>
      <c r="S116" s="184">
        <v>3000.0</v>
      </c>
      <c r="T116" s="184">
        <v>3000.0</v>
      </c>
      <c r="U116" s="184">
        <v>3000.0</v>
      </c>
      <c r="V116" s="184">
        <v>3000.0</v>
      </c>
      <c r="W116" s="184">
        <v>3000.0</v>
      </c>
      <c r="X116" s="184">
        <v>3000.0</v>
      </c>
      <c r="Y116" s="341"/>
      <c r="Z116" s="341"/>
    </row>
    <row r="117">
      <c r="A117" s="376">
        <v>31.0</v>
      </c>
      <c r="B117" s="353" t="s">
        <v>131</v>
      </c>
      <c r="C117" s="358"/>
      <c r="D117" s="358" t="s">
        <v>47</v>
      </c>
      <c r="E117" s="358" t="s">
        <v>47</v>
      </c>
      <c r="F117" s="358" t="s">
        <v>47</v>
      </c>
      <c r="G117" s="358" t="s">
        <v>47</v>
      </c>
      <c r="H117" s="358" t="s">
        <v>44</v>
      </c>
      <c r="I117" s="358">
        <v>3000.0</v>
      </c>
      <c r="J117" s="359"/>
      <c r="K117" s="359"/>
      <c r="L117" s="358" t="s">
        <v>1132</v>
      </c>
      <c r="M117" s="361"/>
      <c r="N117" s="361"/>
      <c r="O117" s="361"/>
      <c r="P117" s="361"/>
      <c r="Q117" s="361"/>
      <c r="R117" s="361"/>
      <c r="S117" s="361"/>
      <c r="T117" s="361"/>
      <c r="U117" s="361"/>
      <c r="V117" s="361"/>
      <c r="W117" s="361"/>
      <c r="X117" s="361"/>
      <c r="Y117" s="361"/>
      <c r="Z117" s="361"/>
    </row>
    <row r="118">
      <c r="A118" s="376">
        <v>32.0</v>
      </c>
      <c r="B118" s="194" t="s">
        <v>133</v>
      </c>
      <c r="C118" s="309"/>
      <c r="D118" s="309" t="s">
        <v>47</v>
      </c>
      <c r="E118" s="309" t="s">
        <v>47</v>
      </c>
      <c r="F118" s="309" t="s">
        <v>47</v>
      </c>
      <c r="G118" s="309" t="s">
        <v>47</v>
      </c>
      <c r="H118" s="309" t="s">
        <v>1133</v>
      </c>
      <c r="I118" s="309">
        <v>2000.0</v>
      </c>
      <c r="J118" s="309">
        <v>2000.0</v>
      </c>
      <c r="K118" s="309">
        <v>2000.0</v>
      </c>
      <c r="L118" s="309">
        <v>2000.0</v>
      </c>
      <c r="M118" s="194">
        <v>2000.0</v>
      </c>
      <c r="N118" s="194" t="s">
        <v>37</v>
      </c>
      <c r="O118" s="194">
        <v>2000.0</v>
      </c>
      <c r="P118" s="194">
        <v>2000.0</v>
      </c>
      <c r="Q118" s="194">
        <v>2000.0</v>
      </c>
      <c r="R118" s="194"/>
      <c r="S118" s="194">
        <v>2000.0</v>
      </c>
      <c r="T118" s="194">
        <v>2000.0</v>
      </c>
      <c r="U118" s="194">
        <v>2000.0</v>
      </c>
      <c r="V118" s="341"/>
      <c r="W118" s="380"/>
      <c r="X118" s="380"/>
      <c r="Y118" s="380"/>
      <c r="Z118" s="380"/>
    </row>
    <row r="119" ht="18.75" customHeight="1">
      <c r="A119" s="376">
        <v>33.0</v>
      </c>
      <c r="B119" s="353" t="s">
        <v>134</v>
      </c>
      <c r="C119" s="358"/>
      <c r="D119" s="358" t="s">
        <v>47</v>
      </c>
      <c r="E119" s="358" t="s">
        <v>47</v>
      </c>
      <c r="F119" s="358" t="s">
        <v>47</v>
      </c>
      <c r="G119" s="358" t="s">
        <v>47</v>
      </c>
      <c r="H119" s="358" t="s">
        <v>44</v>
      </c>
      <c r="I119" s="358">
        <v>3000.0</v>
      </c>
      <c r="J119" s="358">
        <v>3000.0</v>
      </c>
      <c r="K119" s="358">
        <v>3000.0</v>
      </c>
      <c r="L119" s="358">
        <v>3000.0</v>
      </c>
      <c r="M119" s="361"/>
      <c r="N119" s="361"/>
      <c r="O119" s="361"/>
      <c r="P119" s="361"/>
      <c r="Q119" s="361"/>
      <c r="R119" s="361"/>
      <c r="S119" s="361"/>
      <c r="T119" s="361"/>
      <c r="U119" s="361"/>
      <c r="V119" s="361"/>
      <c r="W119" s="361"/>
      <c r="X119" s="361"/>
      <c r="Y119" s="361"/>
      <c r="Z119" s="361"/>
    </row>
    <row r="120">
      <c r="A120" s="376">
        <v>34.0</v>
      </c>
      <c r="B120" s="184" t="s">
        <v>48</v>
      </c>
      <c r="C120" s="348"/>
      <c r="D120" s="348" t="s">
        <v>47</v>
      </c>
      <c r="E120" s="348" t="s">
        <v>47</v>
      </c>
      <c r="F120" s="348" t="s">
        <v>47</v>
      </c>
      <c r="G120" s="348" t="s">
        <v>47</v>
      </c>
      <c r="H120" s="348" t="s">
        <v>44</v>
      </c>
      <c r="I120" s="348">
        <v>3000.0</v>
      </c>
      <c r="J120" s="348">
        <v>3000.0</v>
      </c>
      <c r="K120" s="348">
        <v>3000.0</v>
      </c>
      <c r="L120" s="348">
        <v>3000.0</v>
      </c>
      <c r="M120" s="184">
        <v>3000.0</v>
      </c>
      <c r="N120" s="184">
        <v>3000.0</v>
      </c>
      <c r="O120" s="184">
        <v>3000.0</v>
      </c>
      <c r="P120" s="184">
        <v>3000.0</v>
      </c>
      <c r="Q120" s="184">
        <v>3000.0</v>
      </c>
      <c r="R120" s="184">
        <v>3000.0</v>
      </c>
      <c r="S120" s="184">
        <v>3000.0</v>
      </c>
      <c r="T120" s="184">
        <v>3000.0</v>
      </c>
      <c r="U120" s="184">
        <v>3000.0</v>
      </c>
      <c r="V120" s="184">
        <v>3000.0</v>
      </c>
      <c r="W120" s="184">
        <v>3000.0</v>
      </c>
      <c r="X120" s="184">
        <v>3000.0</v>
      </c>
      <c r="Y120" s="341"/>
      <c r="Z120" s="341"/>
    </row>
    <row r="121">
      <c r="A121" s="376">
        <v>35.0</v>
      </c>
      <c r="B121" s="353" t="s">
        <v>138</v>
      </c>
      <c r="C121" s="358"/>
      <c r="D121" s="358" t="s">
        <v>47</v>
      </c>
      <c r="E121" s="358" t="s">
        <v>47</v>
      </c>
      <c r="F121" s="358" t="s">
        <v>47</v>
      </c>
      <c r="G121" s="358" t="s">
        <v>47</v>
      </c>
      <c r="H121" s="358" t="s">
        <v>44</v>
      </c>
      <c r="I121" s="358">
        <v>3000.0</v>
      </c>
      <c r="J121" s="358">
        <v>3000.0</v>
      </c>
      <c r="K121" s="358">
        <v>3000.0</v>
      </c>
      <c r="L121" s="358" t="s">
        <v>38</v>
      </c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</row>
    <row r="122">
      <c r="A122" s="376">
        <v>36.0</v>
      </c>
      <c r="B122" s="353" t="s">
        <v>148</v>
      </c>
      <c r="C122" s="358"/>
      <c r="D122" s="358" t="s">
        <v>47</v>
      </c>
      <c r="E122" s="358" t="s">
        <v>47</v>
      </c>
      <c r="F122" s="358" t="s">
        <v>47</v>
      </c>
      <c r="G122" s="358" t="s">
        <v>47</v>
      </c>
      <c r="H122" s="358" t="s">
        <v>1134</v>
      </c>
      <c r="I122" s="358">
        <v>3000.0</v>
      </c>
      <c r="J122" s="358">
        <v>3000.0</v>
      </c>
      <c r="K122" s="358">
        <v>3000.0</v>
      </c>
      <c r="L122" s="358">
        <v>3000.0</v>
      </c>
      <c r="M122" s="353">
        <v>3000.0</v>
      </c>
      <c r="N122" s="353">
        <v>3000.0</v>
      </c>
      <c r="O122" s="353">
        <v>3000.0</v>
      </c>
      <c r="P122" s="353">
        <v>3000.0</v>
      </c>
      <c r="Q122" s="353">
        <v>3000.0</v>
      </c>
      <c r="R122" s="353">
        <v>3000.0</v>
      </c>
      <c r="S122" s="353">
        <v>3000.0</v>
      </c>
      <c r="T122" s="353" t="s">
        <v>1135</v>
      </c>
      <c r="U122" s="361"/>
      <c r="V122" s="361"/>
      <c r="W122" s="361"/>
      <c r="X122" s="361"/>
      <c r="Y122" s="361"/>
      <c r="Z122" s="361"/>
    </row>
    <row r="123">
      <c r="A123" s="376">
        <v>37.0</v>
      </c>
      <c r="B123" s="353" t="s">
        <v>141</v>
      </c>
      <c r="C123" s="358"/>
      <c r="D123" s="358" t="s">
        <v>47</v>
      </c>
      <c r="E123" s="358" t="s">
        <v>47</v>
      </c>
      <c r="F123" s="358" t="s">
        <v>47</v>
      </c>
      <c r="G123" s="358" t="s">
        <v>47</v>
      </c>
      <c r="H123" s="358" t="s">
        <v>1136</v>
      </c>
      <c r="I123" s="358">
        <v>3000.0</v>
      </c>
      <c r="J123" s="359"/>
      <c r="K123" s="359"/>
      <c r="L123" s="358" t="s">
        <v>1119</v>
      </c>
      <c r="M123" s="361"/>
      <c r="N123" s="361"/>
      <c r="O123" s="361"/>
      <c r="P123" s="361"/>
      <c r="Q123" s="361"/>
      <c r="R123" s="361"/>
      <c r="S123" s="361"/>
      <c r="T123" s="361"/>
      <c r="U123" s="361"/>
      <c r="V123" s="361"/>
      <c r="W123" s="361"/>
      <c r="X123" s="361"/>
      <c r="Y123" s="361"/>
      <c r="Z123" s="361"/>
    </row>
    <row r="124">
      <c r="A124" s="376">
        <v>38.0</v>
      </c>
      <c r="B124" s="353" t="s">
        <v>49</v>
      </c>
      <c r="C124" s="358"/>
      <c r="D124" s="358" t="s">
        <v>47</v>
      </c>
      <c r="E124" s="358" t="s">
        <v>47</v>
      </c>
      <c r="F124" s="358" t="s">
        <v>47</v>
      </c>
      <c r="G124" s="358" t="s">
        <v>47</v>
      </c>
      <c r="H124" s="358" t="s">
        <v>47</v>
      </c>
      <c r="I124" s="358" t="s">
        <v>44</v>
      </c>
      <c r="J124" s="359"/>
      <c r="K124" s="359"/>
      <c r="L124" s="358" t="s">
        <v>1119</v>
      </c>
      <c r="M124" s="361"/>
      <c r="N124" s="361"/>
      <c r="O124" s="361"/>
      <c r="P124" s="361"/>
      <c r="Q124" s="361"/>
      <c r="R124" s="361"/>
      <c r="S124" s="361"/>
      <c r="T124" s="361"/>
      <c r="U124" s="361"/>
      <c r="V124" s="361"/>
      <c r="W124" s="361"/>
      <c r="X124" s="361"/>
      <c r="Y124" s="361"/>
      <c r="Z124" s="361"/>
    </row>
    <row r="125" ht="17.25" customHeight="1">
      <c r="A125" s="376">
        <v>39.0</v>
      </c>
      <c r="B125" s="194" t="s">
        <v>50</v>
      </c>
      <c r="C125" s="383"/>
      <c r="D125" s="383"/>
      <c r="E125" s="383"/>
      <c r="F125" s="383"/>
      <c r="G125" s="383"/>
      <c r="H125" s="383"/>
      <c r="I125" s="383"/>
      <c r="J125" s="383"/>
      <c r="K125" s="309" t="s">
        <v>44</v>
      </c>
      <c r="L125" s="309">
        <v>3000.0</v>
      </c>
      <c r="M125" s="194">
        <v>3000.0</v>
      </c>
      <c r="N125" s="194">
        <v>3000.0</v>
      </c>
      <c r="O125" s="194" t="s">
        <v>38</v>
      </c>
      <c r="P125" s="194">
        <v>3000.0</v>
      </c>
      <c r="Q125" s="194">
        <v>3000.0</v>
      </c>
      <c r="R125" s="194">
        <v>3000.0</v>
      </c>
      <c r="S125" s="194">
        <v>3000.0</v>
      </c>
      <c r="T125" s="194">
        <v>3000.0</v>
      </c>
      <c r="U125" s="194">
        <v>3000.0</v>
      </c>
      <c r="V125" s="194">
        <v>3000.0</v>
      </c>
      <c r="W125" s="194">
        <v>3000.0</v>
      </c>
      <c r="X125" s="194">
        <v>3000.0</v>
      </c>
      <c r="Y125" s="380"/>
      <c r="Z125" s="380"/>
    </row>
    <row r="126">
      <c r="A126" s="376">
        <v>40.0</v>
      </c>
      <c r="B126" s="353" t="s">
        <v>164</v>
      </c>
      <c r="C126" s="359"/>
      <c r="D126" s="359"/>
      <c r="E126" s="359"/>
      <c r="F126" s="359"/>
      <c r="G126" s="359"/>
      <c r="H126" s="359"/>
      <c r="I126" s="359"/>
      <c r="J126" s="359"/>
      <c r="K126" s="359"/>
      <c r="L126" s="358" t="s">
        <v>44</v>
      </c>
      <c r="M126" s="353">
        <v>3000.0</v>
      </c>
      <c r="N126" s="353">
        <v>3000.0</v>
      </c>
      <c r="O126" s="353">
        <v>3000.0</v>
      </c>
      <c r="P126" s="353">
        <v>3000.0</v>
      </c>
      <c r="Q126" s="353">
        <v>3000.0</v>
      </c>
      <c r="R126" s="353">
        <v>3000.0</v>
      </c>
      <c r="S126" s="353">
        <v>3000.0</v>
      </c>
      <c r="T126" s="353">
        <v>3000.0</v>
      </c>
      <c r="U126" s="353">
        <v>3000.0</v>
      </c>
      <c r="V126" s="353">
        <v>3000.0</v>
      </c>
      <c r="W126" s="361"/>
      <c r="X126" s="361"/>
      <c r="Y126" s="361"/>
      <c r="Z126" s="361"/>
    </row>
    <row r="127">
      <c r="A127" s="376">
        <v>41.0</v>
      </c>
      <c r="B127" s="353" t="s">
        <v>168</v>
      </c>
      <c r="C127" s="359"/>
      <c r="D127" s="359"/>
      <c r="E127" s="359"/>
      <c r="F127" s="359"/>
      <c r="G127" s="359"/>
      <c r="H127" s="359"/>
      <c r="I127" s="359"/>
      <c r="J127" s="359"/>
      <c r="K127" s="359"/>
      <c r="L127" s="358" t="s">
        <v>44</v>
      </c>
      <c r="M127" s="361"/>
      <c r="N127" s="361"/>
      <c r="O127" s="361"/>
      <c r="P127" s="361"/>
      <c r="Q127" s="361"/>
      <c r="R127" s="361"/>
      <c r="S127" s="361"/>
      <c r="T127" s="361"/>
      <c r="U127" s="361"/>
      <c r="V127" s="361"/>
      <c r="W127" s="361"/>
      <c r="X127" s="361"/>
      <c r="Y127" s="361"/>
      <c r="Z127" s="361"/>
    </row>
    <row r="128">
      <c r="A128" s="376">
        <v>42.0</v>
      </c>
      <c r="B128" s="184" t="s">
        <v>174</v>
      </c>
      <c r="C128" s="333"/>
      <c r="D128" s="333"/>
      <c r="E128" s="333"/>
      <c r="F128" s="333"/>
      <c r="G128" s="333"/>
      <c r="H128" s="333"/>
      <c r="I128" s="333"/>
      <c r="J128" s="333"/>
      <c r="K128" s="333"/>
      <c r="L128" s="341"/>
      <c r="M128" s="184" t="s">
        <v>44</v>
      </c>
      <c r="N128" s="184">
        <v>3000.0</v>
      </c>
      <c r="O128" s="184">
        <v>3000.0</v>
      </c>
      <c r="P128" s="184">
        <v>3000.0</v>
      </c>
      <c r="Q128" s="184">
        <v>3000.0</v>
      </c>
      <c r="R128" s="184">
        <v>3000.0</v>
      </c>
      <c r="S128" s="184">
        <v>3000.0</v>
      </c>
      <c r="T128" s="184">
        <v>3000.0</v>
      </c>
      <c r="U128" s="184">
        <v>3000.0</v>
      </c>
      <c r="V128" s="184">
        <v>3000.0</v>
      </c>
      <c r="W128" s="184">
        <v>3000.0</v>
      </c>
      <c r="X128" s="184">
        <v>3000.0</v>
      </c>
      <c r="Y128" s="341"/>
      <c r="Z128" s="341"/>
    </row>
    <row r="129">
      <c r="A129" s="376">
        <v>43.0</v>
      </c>
      <c r="B129" s="184" t="s">
        <v>176</v>
      </c>
      <c r="C129" s="333"/>
      <c r="D129" s="333"/>
      <c r="E129" s="333"/>
      <c r="F129" s="333"/>
      <c r="G129" s="333"/>
      <c r="H129" s="333"/>
      <c r="I129" s="333"/>
      <c r="J129" s="333"/>
      <c r="K129" s="333"/>
      <c r="L129" s="341"/>
      <c r="M129" s="184" t="s">
        <v>44</v>
      </c>
      <c r="N129" s="184">
        <v>3000.0</v>
      </c>
      <c r="O129" s="184">
        <v>3000.0</v>
      </c>
      <c r="P129" s="184">
        <v>3000.0</v>
      </c>
      <c r="Q129" s="184">
        <v>3000.0</v>
      </c>
      <c r="R129" s="184">
        <v>3000.0</v>
      </c>
      <c r="S129" s="184">
        <v>3000.0</v>
      </c>
      <c r="T129" s="184">
        <v>3000.0</v>
      </c>
      <c r="U129" s="184">
        <v>3000.0</v>
      </c>
      <c r="V129" s="184">
        <v>3000.0</v>
      </c>
      <c r="W129" s="184">
        <v>3000.0</v>
      </c>
      <c r="X129" s="184">
        <v>3000.0</v>
      </c>
      <c r="Y129" s="341"/>
      <c r="Z129" s="341"/>
    </row>
    <row r="130">
      <c r="A130" s="348">
        <v>44.0</v>
      </c>
      <c r="B130" s="353" t="s">
        <v>183</v>
      </c>
      <c r="C130" s="359"/>
      <c r="D130" s="359"/>
      <c r="E130" s="359"/>
      <c r="F130" s="359"/>
      <c r="G130" s="359"/>
      <c r="H130" s="359"/>
      <c r="I130" s="359"/>
      <c r="J130" s="359"/>
      <c r="K130" s="359"/>
      <c r="L130" s="361"/>
      <c r="M130" s="353" t="s">
        <v>47</v>
      </c>
      <c r="N130" s="353" t="s">
        <v>44</v>
      </c>
      <c r="O130" s="353">
        <v>3000.0</v>
      </c>
      <c r="P130" s="353">
        <v>3000.0</v>
      </c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</row>
    <row r="131">
      <c r="A131" s="376">
        <v>45.0</v>
      </c>
      <c r="B131" s="353" t="s">
        <v>189</v>
      </c>
      <c r="C131" s="359"/>
      <c r="D131" s="359"/>
      <c r="E131" s="359"/>
      <c r="F131" s="359"/>
      <c r="G131" s="359"/>
      <c r="H131" s="359"/>
      <c r="I131" s="359"/>
      <c r="J131" s="359"/>
      <c r="K131" s="359"/>
      <c r="L131" s="361"/>
      <c r="M131" s="361"/>
      <c r="N131" s="353" t="s">
        <v>44</v>
      </c>
      <c r="O131" s="353" t="s">
        <v>38</v>
      </c>
      <c r="P131" s="353" t="s">
        <v>38</v>
      </c>
      <c r="Q131" s="361"/>
      <c r="R131" s="361"/>
      <c r="S131" s="353">
        <v>3000.0</v>
      </c>
      <c r="T131" s="353" t="s">
        <v>1135</v>
      </c>
      <c r="U131" s="361"/>
      <c r="V131" s="361"/>
      <c r="W131" s="361"/>
      <c r="X131" s="361"/>
      <c r="Y131" s="361"/>
      <c r="Z131" s="361"/>
    </row>
    <row r="132">
      <c r="A132" s="309">
        <v>46.0</v>
      </c>
      <c r="B132" s="353" t="s">
        <v>200</v>
      </c>
      <c r="C132" s="359"/>
      <c r="D132" s="359"/>
      <c r="E132" s="359"/>
      <c r="F132" s="359"/>
      <c r="G132" s="359"/>
      <c r="H132" s="359"/>
      <c r="I132" s="359"/>
      <c r="J132" s="359"/>
      <c r="K132" s="359"/>
      <c r="L132" s="361"/>
      <c r="M132" s="361"/>
      <c r="N132" s="361"/>
      <c r="O132" s="353" t="s">
        <v>44</v>
      </c>
      <c r="P132" s="353">
        <v>3000.0</v>
      </c>
      <c r="Q132" s="353">
        <v>3000.0</v>
      </c>
      <c r="R132" s="361"/>
      <c r="S132" s="361"/>
      <c r="T132" s="353" t="s">
        <v>1135</v>
      </c>
      <c r="U132" s="361"/>
      <c r="V132" s="361"/>
      <c r="W132" s="361"/>
      <c r="X132" s="361"/>
      <c r="Y132" s="361"/>
      <c r="Z132" s="361"/>
    </row>
    <row r="133">
      <c r="A133" s="376">
        <v>47.0</v>
      </c>
      <c r="B133" s="184" t="s">
        <v>215</v>
      </c>
      <c r="C133" s="333"/>
      <c r="D133" s="333"/>
      <c r="E133" s="333"/>
      <c r="F133" s="333"/>
      <c r="G133" s="333"/>
      <c r="H133" s="333"/>
      <c r="I133" s="333"/>
      <c r="J133" s="333"/>
      <c r="K133" s="333"/>
      <c r="L133" s="341"/>
      <c r="M133" s="341"/>
      <c r="N133" s="341"/>
      <c r="O133" s="341"/>
      <c r="P133" s="184" t="s">
        <v>44</v>
      </c>
      <c r="Q133" s="184">
        <v>3000.0</v>
      </c>
      <c r="R133" s="184">
        <v>3000.0</v>
      </c>
      <c r="S133" s="184">
        <v>3000.0</v>
      </c>
      <c r="T133" s="184">
        <v>3000.0</v>
      </c>
      <c r="U133" s="184">
        <v>3000.0</v>
      </c>
      <c r="V133" s="184">
        <v>3000.0</v>
      </c>
      <c r="W133" s="184">
        <v>3000.0</v>
      </c>
      <c r="X133" s="341"/>
      <c r="Y133" s="341"/>
      <c r="Z133" s="341"/>
    </row>
    <row r="134">
      <c r="A134" s="348">
        <v>48.0</v>
      </c>
      <c r="B134" s="184" t="s">
        <v>222</v>
      </c>
      <c r="C134" s="333"/>
      <c r="D134" s="333"/>
      <c r="E134" s="333"/>
      <c r="F134" s="333"/>
      <c r="G134" s="333"/>
      <c r="H134" s="333"/>
      <c r="I134" s="333"/>
      <c r="J134" s="333"/>
      <c r="K134" s="333"/>
      <c r="L134" s="341"/>
      <c r="M134" s="341"/>
      <c r="N134" s="341"/>
      <c r="O134" s="341"/>
      <c r="P134" s="184" t="s">
        <v>44</v>
      </c>
      <c r="Q134" s="184">
        <v>3000.0</v>
      </c>
      <c r="R134" s="184">
        <v>3000.0</v>
      </c>
      <c r="S134" s="184">
        <v>3000.0</v>
      </c>
      <c r="T134" s="184">
        <v>3000.0</v>
      </c>
      <c r="U134" s="184">
        <v>3000.0</v>
      </c>
      <c r="V134" s="184">
        <v>3000.0</v>
      </c>
      <c r="W134" s="184">
        <v>3000.0</v>
      </c>
      <c r="X134" s="184">
        <v>3000.0</v>
      </c>
      <c r="Y134" s="341"/>
      <c r="Z134" s="341"/>
    </row>
    <row r="135">
      <c r="A135" s="376">
        <v>49.0</v>
      </c>
      <c r="B135" s="184" t="s">
        <v>51</v>
      </c>
      <c r="C135" s="333"/>
      <c r="D135" s="333"/>
      <c r="E135" s="333"/>
      <c r="F135" s="333"/>
      <c r="G135" s="333"/>
      <c r="H135" s="333"/>
      <c r="I135" s="333"/>
      <c r="J135" s="333"/>
      <c r="K135" s="333"/>
      <c r="L135" s="341"/>
      <c r="M135" s="341"/>
      <c r="N135" s="341"/>
      <c r="O135" s="341"/>
      <c r="P135" s="341"/>
      <c r="Q135" s="184" t="s">
        <v>44</v>
      </c>
      <c r="R135" s="184">
        <v>3000.0</v>
      </c>
      <c r="S135" s="184">
        <v>3000.0</v>
      </c>
      <c r="T135" s="184">
        <v>3000.0</v>
      </c>
      <c r="U135" s="184">
        <v>3000.0</v>
      </c>
      <c r="V135" s="184">
        <v>3000.0</v>
      </c>
      <c r="W135" s="184">
        <v>3000.0</v>
      </c>
      <c r="X135" s="184">
        <v>3000.0</v>
      </c>
      <c r="Y135" s="341"/>
      <c r="Z135" s="341"/>
    </row>
    <row r="136">
      <c r="A136" s="309">
        <v>50.0</v>
      </c>
      <c r="B136" s="353" t="s">
        <v>297</v>
      </c>
      <c r="C136" s="359"/>
      <c r="D136" s="359"/>
      <c r="E136" s="359"/>
      <c r="F136" s="359"/>
      <c r="G136" s="359"/>
      <c r="H136" s="359"/>
      <c r="I136" s="359"/>
      <c r="J136" s="359"/>
      <c r="K136" s="359"/>
      <c r="L136" s="361"/>
      <c r="M136" s="361"/>
      <c r="N136" s="361"/>
      <c r="O136" s="361"/>
      <c r="P136" s="361"/>
      <c r="Q136" s="361"/>
      <c r="R136" s="353" t="s">
        <v>44</v>
      </c>
      <c r="S136" s="353">
        <v>3000.0</v>
      </c>
      <c r="T136" s="353">
        <v>3000.0</v>
      </c>
      <c r="U136" s="353">
        <v>3000.0</v>
      </c>
      <c r="V136" s="361"/>
      <c r="W136" s="361"/>
      <c r="X136" s="361"/>
      <c r="Y136" s="361"/>
      <c r="Z136" s="361"/>
    </row>
    <row r="137">
      <c r="A137" s="357">
        <v>51.0</v>
      </c>
      <c r="B137" s="353" t="s">
        <v>300</v>
      </c>
      <c r="C137" s="359"/>
      <c r="D137" s="359"/>
      <c r="E137" s="359"/>
      <c r="F137" s="359"/>
      <c r="G137" s="359"/>
      <c r="H137" s="359"/>
      <c r="I137" s="359"/>
      <c r="J137" s="359"/>
      <c r="K137" s="359"/>
      <c r="L137" s="361"/>
      <c r="M137" s="361"/>
      <c r="N137" s="361"/>
      <c r="O137" s="361"/>
      <c r="P137" s="361"/>
      <c r="Q137" s="361"/>
      <c r="R137" s="353" t="s">
        <v>44</v>
      </c>
      <c r="S137" s="353">
        <v>3000.0</v>
      </c>
      <c r="T137" s="353">
        <v>3000.0</v>
      </c>
      <c r="U137" s="353">
        <v>3000.0</v>
      </c>
      <c r="V137" s="353">
        <v>3000.0</v>
      </c>
      <c r="W137" s="353">
        <v>3000.0</v>
      </c>
      <c r="X137" s="361"/>
      <c r="Y137" s="361"/>
      <c r="Z137" s="361"/>
    </row>
    <row r="138">
      <c r="A138" s="309">
        <v>52.0</v>
      </c>
      <c r="B138" s="353" t="s">
        <v>318</v>
      </c>
      <c r="C138" s="359"/>
      <c r="D138" s="359"/>
      <c r="E138" s="359"/>
      <c r="F138" s="359"/>
      <c r="G138" s="359"/>
      <c r="H138" s="359"/>
      <c r="I138" s="359"/>
      <c r="J138" s="359"/>
      <c r="K138" s="359"/>
      <c r="L138" s="361"/>
      <c r="M138" s="361"/>
      <c r="N138" s="361"/>
      <c r="O138" s="361"/>
      <c r="P138" s="361"/>
      <c r="Q138" s="361"/>
      <c r="R138" s="353" t="s">
        <v>44</v>
      </c>
      <c r="S138" s="353">
        <v>3000.0</v>
      </c>
      <c r="T138" s="361"/>
      <c r="U138" s="361"/>
      <c r="V138" s="361"/>
      <c r="W138" s="361"/>
      <c r="X138" s="361"/>
      <c r="Y138" s="361"/>
      <c r="Z138" s="361"/>
    </row>
    <row r="139">
      <c r="A139" s="348">
        <v>53.0</v>
      </c>
      <c r="B139" s="184" t="s">
        <v>346</v>
      </c>
      <c r="C139" s="333"/>
      <c r="D139" s="333"/>
      <c r="E139" s="333"/>
      <c r="F139" s="333"/>
      <c r="G139" s="333"/>
      <c r="H139" s="333"/>
      <c r="I139" s="333"/>
      <c r="J139" s="333"/>
      <c r="K139" s="333"/>
      <c r="L139" s="341"/>
      <c r="M139" s="341"/>
      <c r="N139" s="341"/>
      <c r="O139" s="341"/>
      <c r="P139" s="341"/>
      <c r="Q139" s="341"/>
      <c r="R139" s="341"/>
      <c r="S139" s="341"/>
      <c r="T139" s="184" t="s">
        <v>44</v>
      </c>
      <c r="U139" s="184">
        <v>3000.0</v>
      </c>
      <c r="V139" s="184">
        <v>3000.0</v>
      </c>
      <c r="W139" s="184">
        <v>3000.0</v>
      </c>
      <c r="X139" s="184">
        <v>3000.0</v>
      </c>
      <c r="Y139" s="341"/>
      <c r="Z139" s="341"/>
    </row>
    <row r="140">
      <c r="A140" s="348">
        <v>54.0</v>
      </c>
      <c r="B140" s="184" t="s">
        <v>354</v>
      </c>
      <c r="C140" s="333"/>
      <c r="D140" s="333"/>
      <c r="E140" s="333"/>
      <c r="F140" s="333"/>
      <c r="G140" s="333"/>
      <c r="H140" s="333"/>
      <c r="I140" s="333"/>
      <c r="J140" s="333"/>
      <c r="K140" s="333"/>
      <c r="L140" s="341"/>
      <c r="M140" s="341"/>
      <c r="N140" s="341"/>
      <c r="O140" s="341"/>
      <c r="P140" s="341"/>
      <c r="Q140" s="341"/>
      <c r="R140" s="341"/>
      <c r="S140" s="341"/>
      <c r="T140" s="184" t="s">
        <v>44</v>
      </c>
      <c r="U140" s="184">
        <v>3000.0</v>
      </c>
      <c r="V140" s="184">
        <v>3000.0</v>
      </c>
      <c r="W140" s="184">
        <v>3000.0</v>
      </c>
      <c r="X140" s="184">
        <v>3000.0</v>
      </c>
      <c r="Y140" s="341"/>
      <c r="Z140" s="341"/>
    </row>
    <row r="141">
      <c r="A141" s="309">
        <v>55.0</v>
      </c>
      <c r="B141" s="353" t="s">
        <v>357</v>
      </c>
      <c r="C141" s="359"/>
      <c r="D141" s="359"/>
      <c r="E141" s="359"/>
      <c r="F141" s="359"/>
      <c r="G141" s="359"/>
      <c r="H141" s="359"/>
      <c r="I141" s="359"/>
      <c r="J141" s="359"/>
      <c r="K141" s="359"/>
      <c r="L141" s="361"/>
      <c r="M141" s="361"/>
      <c r="N141" s="361"/>
      <c r="O141" s="361"/>
      <c r="P141" s="361"/>
      <c r="Q141" s="361"/>
      <c r="R141" s="361"/>
      <c r="S141" s="361"/>
      <c r="T141" s="353" t="s">
        <v>1129</v>
      </c>
      <c r="U141" s="353" t="s">
        <v>1135</v>
      </c>
      <c r="V141" s="361"/>
      <c r="W141" s="361"/>
      <c r="X141" s="361"/>
      <c r="Y141" s="361"/>
      <c r="Z141" s="361"/>
    </row>
    <row r="142">
      <c r="A142" s="309">
        <v>56.0</v>
      </c>
      <c r="B142" s="384" t="s">
        <v>361</v>
      </c>
      <c r="C142" s="385"/>
      <c r="D142" s="385"/>
      <c r="E142" s="385"/>
      <c r="F142" s="385"/>
      <c r="G142" s="385"/>
      <c r="H142" s="385"/>
      <c r="I142" s="385"/>
      <c r="J142" s="385"/>
      <c r="K142" s="385"/>
      <c r="L142" s="386"/>
      <c r="M142" s="386"/>
      <c r="N142" s="386"/>
      <c r="O142" s="386"/>
      <c r="P142" s="386"/>
      <c r="Q142" s="386"/>
      <c r="R142" s="386"/>
      <c r="S142" s="386"/>
      <c r="T142" s="384" t="s">
        <v>44</v>
      </c>
      <c r="U142" s="384">
        <v>3000.0</v>
      </c>
      <c r="V142" s="386"/>
      <c r="W142" s="386"/>
      <c r="X142" s="386"/>
      <c r="Y142" s="386"/>
      <c r="Z142" s="386"/>
    </row>
    <row r="143">
      <c r="A143" s="348">
        <v>57.0</v>
      </c>
      <c r="B143" s="184" t="s">
        <v>52</v>
      </c>
      <c r="C143" s="333"/>
      <c r="D143" s="333"/>
      <c r="E143" s="333"/>
      <c r="F143" s="333"/>
      <c r="G143" s="333"/>
      <c r="H143" s="333"/>
      <c r="I143" s="333"/>
      <c r="J143" s="333"/>
      <c r="K143" s="333"/>
      <c r="L143" s="341"/>
      <c r="M143" s="341"/>
      <c r="N143" s="341"/>
      <c r="O143" s="341"/>
      <c r="P143" s="341"/>
      <c r="Q143" s="341"/>
      <c r="R143" s="341"/>
      <c r="S143" s="341"/>
      <c r="T143" s="184" t="s">
        <v>44</v>
      </c>
      <c r="U143" s="184">
        <v>3000.0</v>
      </c>
      <c r="V143" s="184">
        <v>3000.0</v>
      </c>
      <c r="W143" s="184">
        <v>3000.0</v>
      </c>
      <c r="X143" s="184">
        <v>3000.0</v>
      </c>
      <c r="Y143" s="341"/>
      <c r="Z143" s="341"/>
    </row>
    <row r="144">
      <c r="A144" s="348">
        <v>58.0</v>
      </c>
      <c r="B144" s="184" t="s">
        <v>368</v>
      </c>
      <c r="C144" s="333"/>
      <c r="D144" s="333"/>
      <c r="E144" s="333"/>
      <c r="F144" s="333"/>
      <c r="G144" s="333"/>
      <c r="H144" s="333"/>
      <c r="I144" s="333"/>
      <c r="J144" s="348"/>
      <c r="K144" s="333"/>
      <c r="L144" s="341"/>
      <c r="M144" s="341"/>
      <c r="N144" s="341"/>
      <c r="O144" s="341"/>
      <c r="P144" s="341"/>
      <c r="Q144" s="341"/>
      <c r="R144" s="341"/>
      <c r="S144" s="341"/>
      <c r="T144" s="184" t="s">
        <v>44</v>
      </c>
      <c r="U144" s="184">
        <v>3000.0</v>
      </c>
      <c r="V144" s="184">
        <v>3000.0</v>
      </c>
      <c r="W144" s="184">
        <v>3000.0</v>
      </c>
      <c r="X144" s="184">
        <v>3000.0</v>
      </c>
      <c r="Y144" s="341"/>
      <c r="Z144" s="341"/>
    </row>
    <row r="145">
      <c r="A145" s="358">
        <v>59.0</v>
      </c>
      <c r="B145" s="353" t="s">
        <v>375</v>
      </c>
      <c r="C145" s="359"/>
      <c r="D145" s="359"/>
      <c r="E145" s="359"/>
      <c r="F145" s="359"/>
      <c r="G145" s="359"/>
      <c r="H145" s="359"/>
      <c r="I145" s="359"/>
      <c r="J145" s="359"/>
      <c r="K145" s="359"/>
      <c r="L145" s="361"/>
      <c r="M145" s="361"/>
      <c r="N145" s="361"/>
      <c r="O145" s="361"/>
      <c r="P145" s="361"/>
      <c r="Q145" s="361"/>
      <c r="R145" s="361"/>
      <c r="S145" s="361"/>
      <c r="T145" s="361"/>
      <c r="U145" s="353" t="s">
        <v>44</v>
      </c>
      <c r="V145" s="353">
        <v>3000.0</v>
      </c>
      <c r="W145" s="353">
        <v>3000.0</v>
      </c>
      <c r="X145" s="361"/>
      <c r="Y145" s="353" t="s">
        <v>322</v>
      </c>
      <c r="Z145" s="361"/>
    </row>
    <row r="146">
      <c r="A146" s="348">
        <v>60.0</v>
      </c>
      <c r="B146" s="184" t="s">
        <v>380</v>
      </c>
      <c r="C146" s="333"/>
      <c r="D146" s="333"/>
      <c r="E146" s="333"/>
      <c r="F146" s="333"/>
      <c r="G146" s="333"/>
      <c r="H146" s="333"/>
      <c r="I146" s="333"/>
      <c r="J146" s="333"/>
      <c r="K146" s="333"/>
      <c r="L146" s="341"/>
      <c r="M146" s="341"/>
      <c r="N146" s="341"/>
      <c r="O146" s="341"/>
      <c r="P146" s="341"/>
      <c r="Q146" s="341"/>
      <c r="R146" s="341"/>
      <c r="S146" s="341"/>
      <c r="T146" s="184" t="s">
        <v>322</v>
      </c>
      <c r="U146" s="184" t="s">
        <v>44</v>
      </c>
      <c r="V146" s="184">
        <v>3000.0</v>
      </c>
      <c r="W146" s="184">
        <v>3000.0</v>
      </c>
      <c r="X146" s="184">
        <v>3000.0</v>
      </c>
      <c r="Y146" s="341"/>
      <c r="Z146" s="341"/>
    </row>
    <row r="147">
      <c r="A147" s="348">
        <v>61.0</v>
      </c>
      <c r="B147" s="184" t="s">
        <v>53</v>
      </c>
      <c r="C147" s="333"/>
      <c r="D147" s="333"/>
      <c r="E147" s="333"/>
      <c r="F147" s="333"/>
      <c r="G147" s="333"/>
      <c r="H147" s="333"/>
      <c r="I147" s="333"/>
      <c r="J147" s="333"/>
      <c r="K147" s="333"/>
      <c r="L147" s="341"/>
      <c r="M147" s="341"/>
      <c r="N147" s="341"/>
      <c r="O147" s="341"/>
      <c r="P147" s="341"/>
      <c r="Q147" s="341"/>
      <c r="R147" s="341"/>
      <c r="S147" s="341"/>
      <c r="T147" s="341"/>
      <c r="U147" s="184" t="s">
        <v>44</v>
      </c>
      <c r="V147" s="184">
        <v>3000.0</v>
      </c>
      <c r="W147" s="184">
        <v>3000.0</v>
      </c>
      <c r="X147" s="184">
        <v>3000.0</v>
      </c>
      <c r="Y147" s="341"/>
      <c r="Z147" s="341"/>
    </row>
    <row r="148">
      <c r="A148" s="309">
        <v>62.0</v>
      </c>
      <c r="B148" s="353" t="s">
        <v>395</v>
      </c>
      <c r="C148" s="359"/>
      <c r="D148" s="359"/>
      <c r="E148" s="359"/>
      <c r="F148" s="359"/>
      <c r="G148" s="359"/>
      <c r="H148" s="359"/>
      <c r="I148" s="359"/>
      <c r="J148" s="359"/>
      <c r="K148" s="359"/>
      <c r="L148" s="361"/>
      <c r="M148" s="361"/>
      <c r="N148" s="361"/>
      <c r="O148" s="361"/>
      <c r="P148" s="361"/>
      <c r="Q148" s="361"/>
      <c r="R148" s="361"/>
      <c r="S148" s="361"/>
      <c r="T148" s="361"/>
      <c r="U148" s="353" t="s">
        <v>44</v>
      </c>
      <c r="V148" s="361"/>
      <c r="W148" s="361"/>
      <c r="X148" s="361"/>
      <c r="Y148" s="361"/>
      <c r="Z148" s="361"/>
    </row>
    <row r="149">
      <c r="A149" s="348">
        <v>63.0</v>
      </c>
      <c r="B149" s="184" t="s">
        <v>397</v>
      </c>
      <c r="C149" s="333"/>
      <c r="D149" s="333"/>
      <c r="E149" s="333"/>
      <c r="F149" s="333"/>
      <c r="G149" s="333"/>
      <c r="H149" s="333"/>
      <c r="I149" s="333"/>
      <c r="J149" s="348"/>
      <c r="K149" s="333"/>
      <c r="L149" s="341"/>
      <c r="M149" s="341"/>
      <c r="N149" s="341"/>
      <c r="O149" s="341"/>
      <c r="P149" s="341"/>
      <c r="Q149" s="341"/>
      <c r="R149" s="341"/>
      <c r="S149" s="341"/>
      <c r="T149" s="341"/>
      <c r="U149" s="184" t="s">
        <v>44</v>
      </c>
      <c r="V149" s="184">
        <v>3000.0</v>
      </c>
      <c r="W149" s="184">
        <v>3000.0</v>
      </c>
      <c r="X149" s="184">
        <v>3000.0</v>
      </c>
      <c r="Y149" s="184">
        <v>3000.0</v>
      </c>
      <c r="Z149" s="341"/>
    </row>
    <row r="150">
      <c r="A150" s="309">
        <v>64.0</v>
      </c>
      <c r="B150" s="353" t="s">
        <v>398</v>
      </c>
      <c r="C150" s="359"/>
      <c r="D150" s="359"/>
      <c r="E150" s="359"/>
      <c r="F150" s="359"/>
      <c r="G150" s="359"/>
      <c r="H150" s="359"/>
      <c r="I150" s="359"/>
      <c r="J150" s="359"/>
      <c r="K150" s="359"/>
      <c r="L150" s="361"/>
      <c r="M150" s="361"/>
      <c r="N150" s="361"/>
      <c r="O150" s="361"/>
      <c r="P150" s="361"/>
      <c r="Q150" s="361"/>
      <c r="R150" s="361"/>
      <c r="S150" s="361"/>
      <c r="T150" s="361"/>
      <c r="U150" s="353" t="s">
        <v>44</v>
      </c>
      <c r="V150" s="353">
        <v>3000.0</v>
      </c>
      <c r="W150" s="361"/>
      <c r="X150" s="361"/>
      <c r="Y150" s="361"/>
      <c r="Z150" s="361"/>
    </row>
    <row r="151">
      <c r="A151" s="348">
        <v>65.0</v>
      </c>
      <c r="B151" s="184" t="s">
        <v>406</v>
      </c>
      <c r="C151" s="333"/>
      <c r="D151" s="333"/>
      <c r="E151" s="333"/>
      <c r="F151" s="333"/>
      <c r="G151" s="333"/>
      <c r="H151" s="333"/>
      <c r="I151" s="333"/>
      <c r="J151" s="333"/>
      <c r="K151" s="333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184" t="s">
        <v>44</v>
      </c>
      <c r="W151" s="184">
        <v>3000.0</v>
      </c>
      <c r="X151" s="184">
        <v>3000.0</v>
      </c>
      <c r="Y151" s="341"/>
      <c r="Z151" s="341"/>
    </row>
    <row r="152">
      <c r="A152" s="348">
        <v>66.0</v>
      </c>
      <c r="B152" s="184" t="s">
        <v>411</v>
      </c>
      <c r="C152" s="333"/>
      <c r="D152" s="333"/>
      <c r="E152" s="333"/>
      <c r="F152" s="333"/>
      <c r="G152" s="333"/>
      <c r="H152" s="333"/>
      <c r="I152" s="333"/>
      <c r="J152" s="333"/>
      <c r="K152" s="333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184" t="s">
        <v>44</v>
      </c>
      <c r="W152" s="184">
        <v>3000.0</v>
      </c>
      <c r="X152" s="184">
        <v>3000.0</v>
      </c>
      <c r="Y152" s="341"/>
      <c r="Z152" s="341"/>
    </row>
    <row r="153">
      <c r="A153" s="348">
        <v>67.0</v>
      </c>
      <c r="B153" s="184" t="s">
        <v>419</v>
      </c>
      <c r="C153" s="333"/>
      <c r="D153" s="333"/>
      <c r="E153" s="333"/>
      <c r="F153" s="333"/>
      <c r="G153" s="333"/>
      <c r="H153" s="333"/>
      <c r="I153" s="333"/>
      <c r="J153" s="333"/>
      <c r="K153" s="333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184" t="s">
        <v>44</v>
      </c>
      <c r="W153" s="184">
        <v>3000.0</v>
      </c>
      <c r="X153" s="341"/>
      <c r="Y153" s="341"/>
      <c r="Z153" s="341"/>
    </row>
    <row r="154">
      <c r="A154" s="348">
        <v>68.0</v>
      </c>
      <c r="B154" s="184" t="s">
        <v>420</v>
      </c>
      <c r="C154" s="333"/>
      <c r="D154" s="333"/>
      <c r="E154" s="333"/>
      <c r="F154" s="333"/>
      <c r="G154" s="333"/>
      <c r="H154" s="333"/>
      <c r="I154" s="333"/>
      <c r="J154" s="333"/>
      <c r="K154" s="333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184" t="s">
        <v>44</v>
      </c>
      <c r="W154" s="239">
        <v>3000.0</v>
      </c>
      <c r="X154" s="239">
        <v>3000.0</v>
      </c>
      <c r="Y154" s="341"/>
      <c r="Z154" s="341"/>
    </row>
    <row r="155">
      <c r="A155" s="348">
        <v>69.0</v>
      </c>
      <c r="B155" s="184" t="s">
        <v>422</v>
      </c>
      <c r="C155" s="333"/>
      <c r="D155" s="333"/>
      <c r="E155" s="333"/>
      <c r="F155" s="333"/>
      <c r="G155" s="333"/>
      <c r="H155" s="333"/>
      <c r="I155" s="333"/>
      <c r="J155" s="333"/>
      <c r="K155" s="333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184" t="s">
        <v>44</v>
      </c>
      <c r="W155" s="184">
        <v>3000.0</v>
      </c>
      <c r="X155" s="184">
        <v>3000.0</v>
      </c>
      <c r="Y155" s="341"/>
      <c r="Z155" s="341"/>
    </row>
    <row r="156">
      <c r="A156" s="348">
        <v>70.0</v>
      </c>
      <c r="B156" s="184" t="s">
        <v>424</v>
      </c>
      <c r="C156" s="333"/>
      <c r="D156" s="333"/>
      <c r="E156" s="333"/>
      <c r="F156" s="333"/>
      <c r="G156" s="333"/>
      <c r="H156" s="333"/>
      <c r="I156" s="333"/>
      <c r="J156" s="333"/>
      <c r="K156" s="333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184" t="s">
        <v>44</v>
      </c>
      <c r="W156" s="184">
        <v>3000.0</v>
      </c>
      <c r="X156" s="184">
        <v>3000.0</v>
      </c>
      <c r="Y156" s="341"/>
      <c r="Z156" s="341"/>
    </row>
    <row r="157">
      <c r="A157" s="348">
        <v>71.0</v>
      </c>
      <c r="B157" s="184" t="s">
        <v>425</v>
      </c>
      <c r="C157" s="333"/>
      <c r="D157" s="333"/>
      <c r="E157" s="333"/>
      <c r="F157" s="333"/>
      <c r="G157" s="333"/>
      <c r="H157" s="333"/>
      <c r="I157" s="333"/>
      <c r="J157" s="333"/>
      <c r="K157" s="333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184" t="s">
        <v>44</v>
      </c>
      <c r="W157" s="184">
        <v>3000.0</v>
      </c>
      <c r="X157" s="184">
        <v>3000.0</v>
      </c>
      <c r="Y157" s="341"/>
      <c r="Z157" s="341"/>
    </row>
    <row r="158">
      <c r="A158" s="348"/>
      <c r="B158" s="184"/>
      <c r="C158" s="333"/>
      <c r="D158" s="333"/>
      <c r="E158" s="333"/>
      <c r="F158" s="333"/>
      <c r="G158" s="333"/>
      <c r="H158" s="333"/>
      <c r="I158" s="333"/>
      <c r="J158" s="333"/>
      <c r="K158" s="333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184"/>
      <c r="W158" s="341"/>
      <c r="X158" s="341"/>
      <c r="Y158" s="341"/>
      <c r="Z158" s="341"/>
    </row>
    <row r="159">
      <c r="A159" s="333"/>
      <c r="B159" s="341"/>
      <c r="C159" s="333"/>
      <c r="D159" s="333"/>
      <c r="E159" s="333"/>
      <c r="F159" s="333"/>
      <c r="G159" s="333"/>
      <c r="H159" s="333"/>
      <c r="I159" s="333"/>
      <c r="J159" s="333"/>
      <c r="K159" s="333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</row>
    <row r="160">
      <c r="A160" s="333"/>
      <c r="B160" s="341"/>
      <c r="C160" s="333"/>
      <c r="D160" s="333"/>
      <c r="E160" s="333"/>
      <c r="F160" s="333"/>
      <c r="G160" s="333"/>
      <c r="H160" s="333"/>
      <c r="I160" s="333"/>
      <c r="J160" s="333"/>
      <c r="K160" s="333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</row>
    <row r="161">
      <c r="A161" s="333"/>
      <c r="B161" s="341"/>
      <c r="C161" s="333"/>
      <c r="D161" s="333"/>
      <c r="E161" s="333"/>
      <c r="F161" s="333"/>
      <c r="G161" s="333"/>
      <c r="H161" s="333"/>
      <c r="I161" s="333"/>
      <c r="J161" s="333"/>
      <c r="K161" s="333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</row>
    <row r="162">
      <c r="A162" s="333"/>
      <c r="B162" s="341"/>
      <c r="C162" s="333"/>
      <c r="D162" s="333"/>
      <c r="E162" s="333"/>
      <c r="F162" s="333"/>
      <c r="G162" s="333"/>
      <c r="H162" s="333"/>
      <c r="I162" s="333"/>
      <c r="J162" s="333"/>
      <c r="K162" s="333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</row>
    <row r="163">
      <c r="A163" s="333"/>
      <c r="B163" s="341"/>
      <c r="C163" s="333"/>
      <c r="D163" s="333"/>
      <c r="E163" s="333"/>
      <c r="F163" s="333"/>
      <c r="G163" s="333"/>
      <c r="H163" s="333"/>
      <c r="I163" s="333"/>
      <c r="J163" s="333"/>
      <c r="K163" s="333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</row>
    <row r="164">
      <c r="A164" s="333"/>
      <c r="B164" s="341"/>
      <c r="C164" s="333"/>
      <c r="D164" s="333"/>
      <c r="E164" s="333"/>
      <c r="F164" s="333"/>
      <c r="G164" s="333"/>
      <c r="H164" s="333"/>
      <c r="I164" s="333"/>
      <c r="J164" s="333"/>
      <c r="K164" s="333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</row>
    <row r="165">
      <c r="A165" s="333"/>
      <c r="B165" s="341"/>
      <c r="C165" s="333"/>
      <c r="D165" s="333"/>
      <c r="E165" s="333"/>
      <c r="F165" s="333"/>
      <c r="G165" s="333"/>
      <c r="H165" s="333"/>
      <c r="I165" s="333"/>
      <c r="J165" s="333"/>
      <c r="K165" s="333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</row>
    <row r="166">
      <c r="A166" s="333"/>
      <c r="B166" s="341"/>
      <c r="C166" s="333"/>
      <c r="D166" s="333"/>
      <c r="E166" s="333"/>
      <c r="F166" s="333"/>
      <c r="G166" s="333"/>
      <c r="H166" s="333"/>
      <c r="I166" s="333"/>
      <c r="J166" s="333"/>
      <c r="K166" s="333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</row>
    <row r="167">
      <c r="A167" s="333"/>
      <c r="B167" s="341"/>
      <c r="C167" s="333"/>
      <c r="D167" s="333"/>
      <c r="E167" s="333"/>
      <c r="F167" s="333"/>
      <c r="G167" s="333"/>
      <c r="H167" s="333"/>
      <c r="I167" s="333"/>
      <c r="J167" s="333"/>
      <c r="K167" s="333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</row>
    <row r="168">
      <c r="A168" s="333"/>
      <c r="B168" s="341"/>
      <c r="C168" s="333"/>
      <c r="D168" s="333"/>
      <c r="E168" s="333"/>
      <c r="F168" s="333"/>
      <c r="G168" s="333"/>
      <c r="H168" s="333"/>
      <c r="I168" s="333"/>
      <c r="J168" s="333"/>
      <c r="K168" s="333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</row>
    <row r="169">
      <c r="A169" s="333"/>
      <c r="B169" s="341"/>
      <c r="C169" s="333"/>
      <c r="D169" s="333"/>
      <c r="E169" s="333"/>
      <c r="F169" s="333"/>
      <c r="G169" s="333"/>
      <c r="H169" s="333"/>
      <c r="I169" s="333"/>
      <c r="J169" s="333"/>
      <c r="K169" s="333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</row>
    <row r="170">
      <c r="A170" s="333"/>
      <c r="B170" s="341"/>
      <c r="C170" s="333"/>
      <c r="D170" s="333"/>
      <c r="E170" s="333"/>
      <c r="F170" s="333"/>
      <c r="G170" s="333"/>
      <c r="H170" s="333"/>
      <c r="I170" s="333"/>
      <c r="J170" s="333"/>
      <c r="K170" s="333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</row>
    <row r="171">
      <c r="A171" s="333"/>
      <c r="B171" s="341"/>
      <c r="C171" s="333"/>
      <c r="D171" s="333"/>
      <c r="E171" s="333"/>
      <c r="F171" s="333"/>
      <c r="G171" s="333"/>
      <c r="H171" s="333"/>
      <c r="I171" s="333"/>
      <c r="J171" s="333"/>
      <c r="K171" s="333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</row>
    <row r="172">
      <c r="A172" s="333"/>
      <c r="B172" s="341"/>
      <c r="C172" s="333"/>
      <c r="D172" s="333"/>
      <c r="E172" s="333"/>
      <c r="F172" s="333"/>
      <c r="G172" s="333"/>
      <c r="H172" s="333"/>
      <c r="I172" s="333"/>
      <c r="J172" s="333"/>
      <c r="K172" s="333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</row>
    <row r="173">
      <c r="A173" s="333"/>
      <c r="B173" s="341"/>
      <c r="C173" s="333"/>
      <c r="D173" s="333"/>
      <c r="E173" s="333"/>
      <c r="F173" s="333"/>
      <c r="G173" s="333"/>
      <c r="H173" s="333"/>
      <c r="I173" s="333"/>
      <c r="J173" s="333"/>
      <c r="K173" s="333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</row>
    <row r="174">
      <c r="A174" s="333"/>
      <c r="B174" s="341"/>
      <c r="C174" s="333"/>
      <c r="D174" s="333"/>
      <c r="E174" s="333"/>
      <c r="F174" s="333"/>
      <c r="G174" s="333"/>
      <c r="H174" s="333"/>
      <c r="I174" s="333"/>
      <c r="J174" s="333"/>
      <c r="K174" s="333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</row>
    <row r="175">
      <c r="A175" s="333"/>
      <c r="B175" s="341"/>
      <c r="C175" s="333"/>
      <c r="D175" s="333"/>
      <c r="E175" s="333"/>
      <c r="F175" s="333"/>
      <c r="G175" s="333"/>
      <c r="H175" s="333"/>
      <c r="I175" s="333"/>
      <c r="J175" s="333"/>
      <c r="K175" s="333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</row>
    <row r="176">
      <c r="A176" s="333"/>
      <c r="B176" s="341"/>
      <c r="C176" s="333"/>
      <c r="D176" s="333"/>
      <c r="E176" s="333"/>
      <c r="F176" s="333"/>
      <c r="G176" s="333"/>
      <c r="H176" s="333"/>
      <c r="I176" s="333"/>
      <c r="J176" s="333"/>
      <c r="K176" s="333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</row>
    <row r="177">
      <c r="A177" s="333"/>
      <c r="B177" s="341"/>
      <c r="C177" s="333"/>
      <c r="D177" s="333"/>
      <c r="E177" s="333"/>
      <c r="F177" s="333"/>
      <c r="G177" s="333"/>
      <c r="H177" s="333"/>
      <c r="I177" s="333"/>
      <c r="J177" s="333"/>
      <c r="K177" s="333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</row>
    <row r="178">
      <c r="A178" s="333"/>
      <c r="B178" s="341"/>
      <c r="C178" s="333"/>
      <c r="D178" s="333"/>
      <c r="E178" s="333"/>
      <c r="F178" s="333"/>
      <c r="G178" s="333"/>
      <c r="H178" s="333"/>
      <c r="I178" s="333"/>
      <c r="J178" s="333"/>
      <c r="K178" s="333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</row>
    <row r="179">
      <c r="A179" s="333"/>
      <c r="B179" s="341"/>
      <c r="C179" s="333"/>
      <c r="D179" s="333"/>
      <c r="E179" s="333"/>
      <c r="F179" s="333"/>
      <c r="G179" s="333"/>
      <c r="H179" s="333"/>
      <c r="I179" s="333"/>
      <c r="J179" s="333"/>
      <c r="K179" s="333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</row>
    <row r="180">
      <c r="A180" s="333"/>
      <c r="B180" s="341"/>
      <c r="C180" s="333"/>
      <c r="D180" s="333"/>
      <c r="E180" s="333"/>
      <c r="F180" s="333"/>
      <c r="G180" s="333"/>
      <c r="H180" s="333"/>
      <c r="I180" s="333"/>
      <c r="J180" s="333"/>
      <c r="K180" s="333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</row>
    <row r="181">
      <c r="A181" s="333"/>
      <c r="B181" s="341"/>
      <c r="C181" s="333"/>
      <c r="D181" s="333"/>
      <c r="E181" s="333"/>
      <c r="F181" s="333"/>
      <c r="G181" s="333"/>
      <c r="H181" s="333"/>
      <c r="I181" s="333"/>
      <c r="J181" s="333"/>
      <c r="K181" s="333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</row>
    <row r="182">
      <c r="A182" s="333"/>
      <c r="B182" s="341"/>
      <c r="C182" s="333"/>
      <c r="D182" s="333"/>
      <c r="E182" s="333"/>
      <c r="F182" s="333"/>
      <c r="G182" s="333"/>
      <c r="H182" s="333"/>
      <c r="I182" s="333"/>
      <c r="J182" s="333"/>
      <c r="K182" s="333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</row>
    <row r="183">
      <c r="A183" s="333"/>
      <c r="B183" s="341"/>
      <c r="C183" s="333"/>
      <c r="D183" s="333"/>
      <c r="E183" s="333"/>
      <c r="F183" s="333"/>
      <c r="G183" s="333"/>
      <c r="H183" s="333"/>
      <c r="I183" s="333"/>
      <c r="J183" s="333"/>
      <c r="K183" s="333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</row>
    <row r="184">
      <c r="A184" s="333"/>
      <c r="B184" s="341"/>
      <c r="C184" s="333"/>
      <c r="D184" s="333"/>
      <c r="E184" s="333"/>
      <c r="F184" s="333"/>
      <c r="G184" s="333"/>
      <c r="H184" s="333"/>
      <c r="I184" s="333"/>
      <c r="J184" s="333"/>
      <c r="K184" s="333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</row>
    <row r="185">
      <c r="A185" s="333"/>
      <c r="B185" s="341"/>
      <c r="C185" s="333"/>
      <c r="D185" s="333"/>
      <c r="E185" s="333"/>
      <c r="F185" s="333"/>
      <c r="G185" s="333"/>
      <c r="H185" s="333"/>
      <c r="I185" s="333"/>
      <c r="J185" s="333"/>
      <c r="K185" s="333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</row>
    <row r="186">
      <c r="A186" s="333"/>
      <c r="B186" s="341"/>
      <c r="C186" s="333"/>
      <c r="D186" s="333"/>
      <c r="E186" s="333"/>
      <c r="F186" s="333"/>
      <c r="G186" s="333"/>
      <c r="H186" s="333"/>
      <c r="I186" s="333"/>
      <c r="J186" s="333"/>
      <c r="K186" s="333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</row>
    <row r="187">
      <c r="A187" s="333"/>
      <c r="B187" s="341"/>
      <c r="C187" s="333"/>
      <c r="D187" s="333"/>
      <c r="E187" s="333"/>
      <c r="F187" s="333"/>
      <c r="G187" s="333"/>
      <c r="H187" s="333"/>
      <c r="I187" s="333"/>
      <c r="J187" s="333"/>
      <c r="K187" s="333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</row>
    <row r="188">
      <c r="A188" s="333"/>
      <c r="B188" s="341"/>
      <c r="C188" s="333"/>
      <c r="D188" s="333"/>
      <c r="E188" s="333"/>
      <c r="F188" s="333"/>
      <c r="G188" s="333"/>
      <c r="H188" s="333"/>
      <c r="I188" s="333"/>
      <c r="J188" s="333"/>
      <c r="K188" s="333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</row>
    <row r="189">
      <c r="A189" s="333"/>
      <c r="B189" s="341"/>
      <c r="C189" s="333"/>
      <c r="D189" s="333"/>
      <c r="E189" s="333"/>
      <c r="F189" s="333"/>
      <c r="G189" s="333"/>
      <c r="H189" s="333"/>
      <c r="I189" s="333"/>
      <c r="J189" s="333"/>
      <c r="K189" s="333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</row>
    <row r="190">
      <c r="A190" s="333"/>
      <c r="B190" s="341"/>
      <c r="C190" s="333"/>
      <c r="D190" s="333"/>
      <c r="E190" s="333"/>
      <c r="F190" s="333"/>
      <c r="G190" s="333"/>
      <c r="H190" s="333"/>
      <c r="I190" s="333"/>
      <c r="J190" s="333"/>
      <c r="K190" s="333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</row>
    <row r="191">
      <c r="A191" s="333"/>
      <c r="B191" s="341"/>
      <c r="C191" s="333"/>
      <c r="D191" s="333"/>
      <c r="E191" s="333"/>
      <c r="F191" s="333"/>
      <c r="G191" s="333"/>
      <c r="H191" s="333"/>
      <c r="I191" s="333"/>
      <c r="J191" s="333"/>
      <c r="K191" s="333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</row>
    <row r="192">
      <c r="A192" s="333"/>
      <c r="B192" s="341"/>
      <c r="C192" s="333"/>
      <c r="D192" s="333"/>
      <c r="E192" s="333"/>
      <c r="F192" s="333"/>
      <c r="G192" s="333"/>
      <c r="H192" s="333"/>
      <c r="I192" s="333"/>
      <c r="J192" s="333"/>
      <c r="K192" s="333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</row>
    <row r="193">
      <c r="A193" s="333"/>
      <c r="B193" s="341"/>
      <c r="C193" s="333"/>
      <c r="D193" s="333"/>
      <c r="E193" s="333"/>
      <c r="F193" s="333"/>
      <c r="G193" s="333"/>
      <c r="H193" s="333"/>
      <c r="I193" s="333"/>
      <c r="J193" s="333"/>
      <c r="K193" s="333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</row>
    <row r="194">
      <c r="A194" s="333"/>
      <c r="B194" s="341"/>
      <c r="C194" s="333"/>
      <c r="D194" s="333"/>
      <c r="E194" s="333"/>
      <c r="F194" s="333"/>
      <c r="G194" s="333"/>
      <c r="H194" s="333"/>
      <c r="I194" s="333"/>
      <c r="J194" s="333"/>
      <c r="K194" s="333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</row>
    <row r="195">
      <c r="A195" s="333"/>
      <c r="B195" s="341"/>
      <c r="C195" s="333"/>
      <c r="D195" s="333"/>
      <c r="E195" s="333"/>
      <c r="F195" s="333"/>
      <c r="G195" s="333"/>
      <c r="H195" s="333"/>
      <c r="I195" s="333"/>
      <c r="J195" s="333"/>
      <c r="K195" s="333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</row>
    <row r="196">
      <c r="A196" s="333"/>
      <c r="B196" s="341"/>
      <c r="C196" s="333"/>
      <c r="D196" s="333"/>
      <c r="E196" s="333"/>
      <c r="F196" s="333"/>
      <c r="G196" s="333"/>
      <c r="H196" s="333"/>
      <c r="I196" s="333"/>
      <c r="J196" s="333"/>
      <c r="K196" s="333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</row>
    <row r="197">
      <c r="A197" s="333"/>
      <c r="B197" s="341"/>
      <c r="C197" s="333"/>
      <c r="D197" s="333"/>
      <c r="E197" s="333"/>
      <c r="F197" s="333"/>
      <c r="G197" s="333"/>
      <c r="H197" s="333"/>
      <c r="I197" s="333"/>
      <c r="J197" s="333"/>
      <c r="K197" s="333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</row>
    <row r="198">
      <c r="A198" s="333"/>
      <c r="B198" s="341"/>
      <c r="C198" s="333"/>
      <c r="D198" s="333"/>
      <c r="E198" s="333"/>
      <c r="F198" s="333"/>
      <c r="G198" s="333"/>
      <c r="H198" s="333"/>
      <c r="I198" s="333"/>
      <c r="J198" s="333"/>
      <c r="K198" s="333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</row>
    <row r="199">
      <c r="A199" s="333"/>
      <c r="B199" s="341"/>
      <c r="C199" s="333"/>
      <c r="D199" s="333"/>
      <c r="E199" s="333"/>
      <c r="F199" s="333"/>
      <c r="G199" s="333"/>
      <c r="H199" s="333"/>
      <c r="I199" s="333"/>
      <c r="J199" s="333"/>
      <c r="K199" s="333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</row>
    <row r="200">
      <c r="A200" s="333"/>
      <c r="B200" s="341"/>
      <c r="C200" s="333"/>
      <c r="D200" s="333"/>
      <c r="E200" s="333"/>
      <c r="F200" s="333"/>
      <c r="G200" s="333"/>
      <c r="H200" s="333"/>
      <c r="I200" s="333"/>
      <c r="J200" s="333"/>
      <c r="K200" s="333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</row>
    <row r="201">
      <c r="A201" s="333"/>
      <c r="B201" s="341"/>
      <c r="C201" s="333"/>
      <c r="D201" s="333"/>
      <c r="E201" s="333"/>
      <c r="F201" s="333"/>
      <c r="G201" s="333"/>
      <c r="H201" s="333"/>
      <c r="I201" s="333"/>
      <c r="J201" s="333"/>
      <c r="K201" s="333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</row>
    <row r="202">
      <c r="A202" s="333"/>
      <c r="B202" s="341"/>
      <c r="C202" s="333"/>
      <c r="D202" s="333"/>
      <c r="E202" s="333"/>
      <c r="F202" s="333"/>
      <c r="G202" s="333"/>
      <c r="H202" s="333"/>
      <c r="I202" s="333"/>
      <c r="J202" s="333"/>
      <c r="K202" s="333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</row>
    <row r="203">
      <c r="A203" s="333"/>
      <c r="B203" s="341"/>
      <c r="C203" s="333"/>
      <c r="D203" s="333"/>
      <c r="E203" s="333"/>
      <c r="F203" s="333"/>
      <c r="G203" s="333"/>
      <c r="H203" s="333"/>
      <c r="I203" s="333"/>
      <c r="J203" s="333"/>
      <c r="K203" s="333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</row>
    <row r="204">
      <c r="A204" s="333"/>
      <c r="B204" s="341"/>
      <c r="C204" s="333"/>
      <c r="D204" s="333"/>
      <c r="E204" s="333"/>
      <c r="F204" s="333"/>
      <c r="G204" s="333"/>
      <c r="H204" s="333"/>
      <c r="I204" s="333"/>
      <c r="J204" s="333"/>
      <c r="K204" s="333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</row>
    <row r="205">
      <c r="A205" s="333"/>
      <c r="B205" s="341"/>
      <c r="C205" s="333"/>
      <c r="D205" s="333"/>
      <c r="E205" s="333"/>
      <c r="F205" s="333"/>
      <c r="G205" s="333"/>
      <c r="H205" s="333"/>
      <c r="I205" s="333"/>
      <c r="J205" s="333"/>
      <c r="K205" s="333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</row>
    <row r="206">
      <c r="A206" s="333"/>
      <c r="B206" s="341"/>
      <c r="C206" s="333"/>
      <c r="D206" s="333"/>
      <c r="E206" s="333"/>
      <c r="F206" s="333"/>
      <c r="G206" s="333"/>
      <c r="H206" s="333"/>
      <c r="I206" s="333"/>
      <c r="J206" s="333"/>
      <c r="K206" s="333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</row>
    <row r="207">
      <c r="A207" s="333"/>
      <c r="B207" s="341"/>
      <c r="C207" s="333"/>
      <c r="D207" s="333"/>
      <c r="E207" s="333"/>
      <c r="F207" s="333"/>
      <c r="G207" s="333"/>
      <c r="H207" s="333"/>
      <c r="I207" s="333"/>
      <c r="J207" s="333"/>
      <c r="K207" s="333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</row>
    <row r="208">
      <c r="A208" s="333"/>
      <c r="B208" s="341"/>
      <c r="C208" s="333"/>
      <c r="D208" s="333"/>
      <c r="E208" s="333"/>
      <c r="F208" s="333"/>
      <c r="G208" s="333"/>
      <c r="H208" s="333"/>
      <c r="I208" s="333"/>
      <c r="J208" s="333"/>
      <c r="K208" s="333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</row>
    <row r="209">
      <c r="A209" s="333"/>
      <c r="B209" s="341"/>
      <c r="C209" s="333"/>
      <c r="D209" s="333"/>
      <c r="E209" s="333"/>
      <c r="F209" s="333"/>
      <c r="G209" s="333"/>
      <c r="H209" s="333"/>
      <c r="I209" s="333"/>
      <c r="J209" s="333"/>
      <c r="K209" s="333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</row>
    <row r="210">
      <c r="A210" s="333"/>
      <c r="B210" s="341"/>
      <c r="C210" s="333"/>
      <c r="D210" s="333"/>
      <c r="E210" s="333"/>
      <c r="F210" s="333"/>
      <c r="G210" s="333"/>
      <c r="H210" s="333"/>
      <c r="I210" s="333"/>
      <c r="J210" s="333"/>
      <c r="K210" s="333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</row>
    <row r="211">
      <c r="A211" s="333"/>
      <c r="B211" s="341"/>
      <c r="C211" s="333"/>
      <c r="D211" s="333"/>
      <c r="E211" s="333"/>
      <c r="F211" s="333"/>
      <c r="G211" s="333"/>
      <c r="H211" s="333"/>
      <c r="I211" s="333"/>
      <c r="J211" s="333"/>
      <c r="K211" s="333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</row>
    <row r="212">
      <c r="A212" s="333"/>
      <c r="B212" s="341"/>
      <c r="C212" s="333"/>
      <c r="D212" s="333"/>
      <c r="E212" s="333"/>
      <c r="F212" s="333"/>
      <c r="G212" s="333"/>
      <c r="H212" s="333"/>
      <c r="I212" s="333"/>
      <c r="J212" s="333"/>
      <c r="K212" s="333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</row>
    <row r="213">
      <c r="A213" s="333"/>
      <c r="B213" s="341"/>
      <c r="C213" s="333"/>
      <c r="D213" s="333"/>
      <c r="E213" s="333"/>
      <c r="F213" s="333"/>
      <c r="G213" s="333"/>
      <c r="H213" s="333"/>
      <c r="I213" s="333"/>
      <c r="J213" s="333"/>
      <c r="K213" s="333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</row>
    <row r="214">
      <c r="A214" s="333"/>
      <c r="B214" s="341"/>
      <c r="C214" s="333"/>
      <c r="D214" s="333"/>
      <c r="E214" s="333"/>
      <c r="F214" s="333"/>
      <c r="G214" s="333"/>
      <c r="H214" s="333"/>
      <c r="I214" s="333"/>
      <c r="J214" s="333"/>
      <c r="K214" s="333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</row>
    <row r="215">
      <c r="A215" s="333"/>
      <c r="B215" s="341"/>
      <c r="C215" s="333"/>
      <c r="D215" s="333"/>
      <c r="E215" s="333"/>
      <c r="F215" s="333"/>
      <c r="G215" s="333"/>
      <c r="H215" s="333"/>
      <c r="I215" s="333"/>
      <c r="J215" s="333"/>
      <c r="K215" s="333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</row>
    <row r="216">
      <c r="A216" s="333"/>
      <c r="B216" s="341"/>
      <c r="C216" s="333"/>
      <c r="D216" s="333"/>
      <c r="E216" s="333"/>
      <c r="F216" s="333"/>
      <c r="G216" s="333"/>
      <c r="H216" s="333"/>
      <c r="I216" s="333"/>
      <c r="J216" s="333"/>
      <c r="K216" s="333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</row>
    <row r="217">
      <c r="A217" s="333"/>
      <c r="B217" s="341"/>
      <c r="C217" s="333"/>
      <c r="D217" s="333"/>
      <c r="E217" s="333"/>
      <c r="F217" s="333"/>
      <c r="G217" s="333"/>
      <c r="H217" s="333"/>
      <c r="I217" s="333"/>
      <c r="J217" s="333"/>
      <c r="K217" s="333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</row>
    <row r="218">
      <c r="A218" s="333"/>
      <c r="B218" s="341"/>
      <c r="C218" s="333"/>
      <c r="D218" s="333"/>
      <c r="E218" s="333"/>
      <c r="F218" s="333"/>
      <c r="G218" s="333"/>
      <c r="H218" s="333"/>
      <c r="I218" s="333"/>
      <c r="J218" s="333"/>
      <c r="K218" s="333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</row>
    <row r="219">
      <c r="A219" s="333"/>
      <c r="B219" s="341"/>
      <c r="C219" s="333"/>
      <c r="D219" s="333"/>
      <c r="E219" s="333"/>
      <c r="F219" s="333"/>
      <c r="G219" s="333"/>
      <c r="H219" s="333"/>
      <c r="I219" s="333"/>
      <c r="J219" s="333"/>
      <c r="K219" s="333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</row>
    <row r="220">
      <c r="A220" s="333"/>
      <c r="B220" s="341"/>
      <c r="C220" s="333"/>
      <c r="D220" s="333"/>
      <c r="E220" s="333"/>
      <c r="F220" s="333"/>
      <c r="G220" s="333"/>
      <c r="H220" s="333"/>
      <c r="I220" s="333"/>
      <c r="J220" s="333"/>
      <c r="K220" s="333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</row>
    <row r="221">
      <c r="A221" s="333"/>
      <c r="B221" s="341"/>
      <c r="C221" s="333"/>
      <c r="D221" s="333"/>
      <c r="E221" s="333"/>
      <c r="F221" s="333"/>
      <c r="G221" s="333"/>
      <c r="H221" s="333"/>
      <c r="I221" s="333"/>
      <c r="J221" s="333"/>
      <c r="K221" s="333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</row>
    <row r="222">
      <c r="A222" s="333"/>
      <c r="B222" s="341"/>
      <c r="C222" s="333"/>
      <c r="D222" s="333"/>
      <c r="E222" s="333"/>
      <c r="F222" s="333"/>
      <c r="G222" s="333"/>
      <c r="H222" s="333"/>
      <c r="I222" s="333"/>
      <c r="J222" s="333"/>
      <c r="K222" s="333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</row>
    <row r="223">
      <c r="A223" s="333"/>
      <c r="B223" s="341"/>
      <c r="C223" s="333"/>
      <c r="D223" s="333"/>
      <c r="E223" s="333"/>
      <c r="F223" s="333"/>
      <c r="G223" s="333"/>
      <c r="H223" s="333"/>
      <c r="I223" s="333"/>
      <c r="J223" s="333"/>
      <c r="K223" s="333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</row>
    <row r="224">
      <c r="A224" s="333"/>
      <c r="B224" s="341"/>
      <c r="C224" s="333"/>
      <c r="D224" s="333"/>
      <c r="E224" s="333"/>
      <c r="F224" s="333"/>
      <c r="G224" s="333"/>
      <c r="H224" s="333"/>
      <c r="I224" s="333"/>
      <c r="J224" s="333"/>
      <c r="K224" s="333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</row>
    <row r="225">
      <c r="A225" s="333"/>
      <c r="B225" s="341"/>
      <c r="C225" s="333"/>
      <c r="D225" s="333"/>
      <c r="E225" s="333"/>
      <c r="F225" s="333"/>
      <c r="G225" s="333"/>
      <c r="H225" s="333"/>
      <c r="I225" s="333"/>
      <c r="J225" s="333"/>
      <c r="K225" s="333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</row>
    <row r="226">
      <c r="A226" s="333"/>
      <c r="B226" s="341"/>
      <c r="C226" s="333"/>
      <c r="D226" s="333"/>
      <c r="E226" s="333"/>
      <c r="F226" s="333"/>
      <c r="G226" s="333"/>
      <c r="H226" s="333"/>
      <c r="I226" s="333"/>
      <c r="J226" s="333"/>
      <c r="K226" s="333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</row>
    <row r="227">
      <c r="A227" s="333"/>
      <c r="B227" s="341"/>
      <c r="C227" s="333"/>
      <c r="D227" s="333"/>
      <c r="E227" s="333"/>
      <c r="F227" s="333"/>
      <c r="G227" s="333"/>
      <c r="H227" s="333"/>
      <c r="I227" s="333"/>
      <c r="J227" s="333"/>
      <c r="K227" s="333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</row>
    <row r="228">
      <c r="A228" s="333"/>
      <c r="B228" s="341"/>
      <c r="C228" s="333"/>
      <c r="D228" s="333"/>
      <c r="E228" s="333"/>
      <c r="F228" s="333"/>
      <c r="G228" s="333"/>
      <c r="H228" s="333"/>
      <c r="I228" s="333"/>
      <c r="J228" s="333"/>
      <c r="K228" s="333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</row>
    <row r="229">
      <c r="A229" s="333"/>
      <c r="B229" s="341"/>
      <c r="C229" s="333"/>
      <c r="D229" s="333"/>
      <c r="E229" s="333"/>
      <c r="F229" s="333"/>
      <c r="G229" s="333"/>
      <c r="H229" s="333"/>
      <c r="I229" s="333"/>
      <c r="J229" s="333"/>
      <c r="K229" s="333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</row>
    <row r="230">
      <c r="A230" s="333"/>
      <c r="B230" s="341"/>
      <c r="C230" s="333"/>
      <c r="D230" s="333"/>
      <c r="E230" s="333"/>
      <c r="F230" s="333"/>
      <c r="G230" s="333"/>
      <c r="H230" s="333"/>
      <c r="I230" s="333"/>
      <c r="J230" s="333"/>
      <c r="K230" s="333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</row>
    <row r="231">
      <c r="A231" s="333"/>
      <c r="B231" s="341"/>
      <c r="C231" s="333"/>
      <c r="D231" s="333"/>
      <c r="E231" s="333"/>
      <c r="F231" s="333"/>
      <c r="G231" s="333"/>
      <c r="H231" s="333"/>
      <c r="I231" s="333"/>
      <c r="J231" s="333"/>
      <c r="K231" s="333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</row>
    <row r="232">
      <c r="A232" s="333"/>
      <c r="B232" s="341"/>
      <c r="C232" s="333"/>
      <c r="D232" s="333"/>
      <c r="E232" s="333"/>
      <c r="F232" s="333"/>
      <c r="G232" s="333"/>
      <c r="H232" s="333"/>
      <c r="I232" s="333"/>
      <c r="J232" s="333"/>
      <c r="K232" s="333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</row>
    <row r="233">
      <c r="A233" s="333"/>
      <c r="B233" s="341"/>
      <c r="C233" s="333"/>
      <c r="D233" s="333"/>
      <c r="E233" s="333"/>
      <c r="F233" s="333"/>
      <c r="G233" s="333"/>
      <c r="H233" s="333"/>
      <c r="I233" s="333"/>
      <c r="J233" s="333"/>
      <c r="K233" s="333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</row>
    <row r="234">
      <c r="A234" s="333"/>
      <c r="B234" s="341"/>
      <c r="C234" s="333"/>
      <c r="D234" s="333"/>
      <c r="E234" s="333"/>
      <c r="F234" s="333"/>
      <c r="G234" s="333"/>
      <c r="H234" s="333"/>
      <c r="I234" s="333"/>
      <c r="J234" s="333"/>
      <c r="K234" s="333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</row>
    <row r="235">
      <c r="A235" s="333"/>
      <c r="B235" s="341"/>
      <c r="C235" s="333"/>
      <c r="D235" s="333"/>
      <c r="E235" s="333"/>
      <c r="F235" s="333"/>
      <c r="G235" s="333"/>
      <c r="H235" s="333"/>
      <c r="I235" s="333"/>
      <c r="J235" s="333"/>
      <c r="K235" s="333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</row>
    <row r="236">
      <c r="A236" s="333"/>
      <c r="B236" s="341"/>
      <c r="C236" s="333"/>
      <c r="D236" s="333"/>
      <c r="E236" s="333"/>
      <c r="F236" s="333"/>
      <c r="G236" s="333"/>
      <c r="H236" s="333"/>
      <c r="I236" s="333"/>
      <c r="J236" s="333"/>
      <c r="K236" s="333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</row>
    <row r="237">
      <c r="A237" s="333"/>
      <c r="B237" s="341"/>
      <c r="C237" s="333"/>
      <c r="D237" s="333"/>
      <c r="E237" s="333"/>
      <c r="F237" s="333"/>
      <c r="G237" s="333"/>
      <c r="H237" s="333"/>
      <c r="I237" s="333"/>
      <c r="J237" s="333"/>
      <c r="K237" s="333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</row>
    <row r="238">
      <c r="A238" s="333"/>
      <c r="B238" s="341"/>
      <c r="C238" s="333"/>
      <c r="D238" s="333"/>
      <c r="E238" s="333"/>
      <c r="F238" s="333"/>
      <c r="G238" s="333"/>
      <c r="H238" s="333"/>
      <c r="I238" s="333"/>
      <c r="J238" s="333"/>
      <c r="K238" s="333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</row>
    <row r="239">
      <c r="A239" s="333"/>
      <c r="B239" s="341"/>
      <c r="C239" s="333"/>
      <c r="D239" s="333"/>
      <c r="E239" s="333"/>
      <c r="F239" s="333"/>
      <c r="G239" s="333"/>
      <c r="H239" s="333"/>
      <c r="I239" s="333"/>
      <c r="J239" s="333"/>
      <c r="K239" s="333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</row>
    <row r="240">
      <c r="A240" s="333"/>
      <c r="B240" s="341"/>
      <c r="C240" s="333"/>
      <c r="D240" s="333"/>
      <c r="E240" s="333"/>
      <c r="F240" s="333"/>
      <c r="G240" s="333"/>
      <c r="H240" s="333"/>
      <c r="I240" s="333"/>
      <c r="J240" s="333"/>
      <c r="K240" s="333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</row>
    <row r="241">
      <c r="A241" s="333"/>
      <c r="B241" s="341"/>
      <c r="C241" s="333"/>
      <c r="D241" s="333"/>
      <c r="E241" s="333"/>
      <c r="F241" s="333"/>
      <c r="G241" s="333"/>
      <c r="H241" s="333"/>
      <c r="I241" s="333"/>
      <c r="J241" s="333"/>
      <c r="K241" s="333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</row>
    <row r="242">
      <c r="A242" s="333"/>
      <c r="B242" s="341"/>
      <c r="C242" s="333"/>
      <c r="D242" s="333"/>
      <c r="E242" s="333"/>
      <c r="F242" s="333"/>
      <c r="G242" s="333"/>
      <c r="H242" s="333"/>
      <c r="I242" s="333"/>
      <c r="J242" s="333"/>
      <c r="K242" s="333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</row>
    <row r="243">
      <c r="A243" s="333"/>
      <c r="B243" s="341"/>
      <c r="C243" s="333"/>
      <c r="D243" s="333"/>
      <c r="E243" s="333"/>
      <c r="F243" s="333"/>
      <c r="G243" s="333"/>
      <c r="H243" s="333"/>
      <c r="I243" s="333"/>
      <c r="J243" s="333"/>
      <c r="K243" s="333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</row>
    <row r="244">
      <c r="A244" s="333"/>
      <c r="B244" s="341"/>
      <c r="C244" s="333"/>
      <c r="D244" s="333"/>
      <c r="E244" s="333"/>
      <c r="F244" s="333"/>
      <c r="G244" s="333"/>
      <c r="H244" s="333"/>
      <c r="I244" s="333"/>
      <c r="J244" s="333"/>
      <c r="K244" s="333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</row>
    <row r="245">
      <c r="A245" s="333"/>
      <c r="B245" s="341"/>
      <c r="C245" s="333"/>
      <c r="D245" s="333"/>
      <c r="E245" s="333"/>
      <c r="F245" s="333"/>
      <c r="G245" s="333"/>
      <c r="H245" s="333"/>
      <c r="I245" s="333"/>
      <c r="J245" s="333"/>
      <c r="K245" s="333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</row>
    <row r="246">
      <c r="A246" s="333"/>
      <c r="B246" s="341"/>
      <c r="C246" s="333"/>
      <c r="D246" s="333"/>
      <c r="E246" s="333"/>
      <c r="F246" s="333"/>
      <c r="G246" s="333"/>
      <c r="H246" s="333"/>
      <c r="I246" s="333"/>
      <c r="J246" s="333"/>
      <c r="K246" s="333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</row>
    <row r="247">
      <c r="A247" s="333"/>
      <c r="B247" s="341"/>
      <c r="C247" s="333"/>
      <c r="D247" s="333"/>
      <c r="E247" s="333"/>
      <c r="F247" s="333"/>
      <c r="G247" s="333"/>
      <c r="H247" s="333"/>
      <c r="I247" s="333"/>
      <c r="J247" s="333"/>
      <c r="K247" s="333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</row>
    <row r="248">
      <c r="A248" s="333"/>
      <c r="B248" s="341"/>
      <c r="C248" s="333"/>
      <c r="D248" s="333"/>
      <c r="E248" s="333"/>
      <c r="F248" s="333"/>
      <c r="G248" s="333"/>
      <c r="H248" s="333"/>
      <c r="I248" s="333"/>
      <c r="J248" s="333"/>
      <c r="K248" s="333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</row>
    <row r="249">
      <c r="A249" s="333"/>
      <c r="B249" s="341"/>
      <c r="C249" s="333"/>
      <c r="D249" s="333"/>
      <c r="E249" s="333"/>
      <c r="F249" s="333"/>
      <c r="G249" s="333"/>
      <c r="H249" s="333"/>
      <c r="I249" s="333"/>
      <c r="J249" s="333"/>
      <c r="K249" s="333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</row>
    <row r="250">
      <c r="A250" s="333"/>
      <c r="B250" s="341"/>
      <c r="C250" s="333"/>
      <c r="D250" s="333"/>
      <c r="E250" s="333"/>
      <c r="F250" s="333"/>
      <c r="G250" s="333"/>
      <c r="H250" s="333"/>
      <c r="I250" s="333"/>
      <c r="J250" s="333"/>
      <c r="K250" s="333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</row>
    <row r="251">
      <c r="A251" s="333"/>
      <c r="B251" s="341"/>
      <c r="C251" s="333"/>
      <c r="D251" s="333"/>
      <c r="E251" s="333"/>
      <c r="F251" s="333"/>
      <c r="G251" s="333"/>
      <c r="H251" s="333"/>
      <c r="I251" s="333"/>
      <c r="J251" s="333"/>
      <c r="K251" s="333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</row>
    <row r="252">
      <c r="A252" s="333"/>
      <c r="B252" s="341"/>
      <c r="C252" s="333"/>
      <c r="D252" s="333"/>
      <c r="E252" s="333"/>
      <c r="F252" s="333"/>
      <c r="G252" s="333"/>
      <c r="H252" s="333"/>
      <c r="I252" s="333"/>
      <c r="J252" s="333"/>
      <c r="K252" s="333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</row>
    <row r="253">
      <c r="A253" s="333"/>
      <c r="B253" s="341"/>
      <c r="C253" s="333"/>
      <c r="D253" s="333"/>
      <c r="E253" s="333"/>
      <c r="F253" s="333"/>
      <c r="G253" s="333"/>
      <c r="H253" s="333"/>
      <c r="I253" s="333"/>
      <c r="J253" s="333"/>
      <c r="K253" s="333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</row>
    <row r="254">
      <c r="A254" s="333"/>
      <c r="B254" s="341"/>
      <c r="C254" s="333"/>
      <c r="D254" s="333"/>
      <c r="E254" s="333"/>
      <c r="F254" s="333"/>
      <c r="G254" s="333"/>
      <c r="H254" s="333"/>
      <c r="I254" s="333"/>
      <c r="J254" s="333"/>
      <c r="K254" s="333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</row>
    <row r="255">
      <c r="A255" s="333"/>
      <c r="B255" s="341"/>
      <c r="C255" s="333"/>
      <c r="D255" s="333"/>
      <c r="E255" s="333"/>
      <c r="F255" s="333"/>
      <c r="G255" s="333"/>
      <c r="H255" s="333"/>
      <c r="I255" s="333"/>
      <c r="J255" s="333"/>
      <c r="K255" s="333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</row>
    <row r="256">
      <c r="A256" s="333"/>
      <c r="B256" s="341"/>
      <c r="C256" s="333"/>
      <c r="D256" s="333"/>
      <c r="E256" s="333"/>
      <c r="F256" s="333"/>
      <c r="G256" s="333"/>
      <c r="H256" s="333"/>
      <c r="I256" s="333"/>
      <c r="J256" s="333"/>
      <c r="K256" s="333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</row>
    <row r="257">
      <c r="A257" s="333"/>
      <c r="B257" s="341"/>
      <c r="C257" s="333"/>
      <c r="D257" s="333"/>
      <c r="E257" s="333"/>
      <c r="F257" s="333"/>
      <c r="G257" s="333"/>
      <c r="H257" s="333"/>
      <c r="I257" s="333"/>
      <c r="J257" s="333"/>
      <c r="K257" s="333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</row>
    <row r="258">
      <c r="A258" s="333"/>
      <c r="B258" s="341"/>
      <c r="C258" s="333"/>
      <c r="D258" s="333"/>
      <c r="E258" s="333"/>
      <c r="F258" s="333"/>
      <c r="G258" s="333"/>
      <c r="H258" s="333"/>
      <c r="I258" s="333"/>
      <c r="J258" s="333"/>
      <c r="K258" s="333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</row>
    <row r="259">
      <c r="A259" s="333"/>
      <c r="B259" s="341"/>
      <c r="C259" s="333"/>
      <c r="D259" s="333"/>
      <c r="E259" s="333"/>
      <c r="F259" s="333"/>
      <c r="G259" s="333"/>
      <c r="H259" s="333"/>
      <c r="I259" s="333"/>
      <c r="J259" s="333"/>
      <c r="K259" s="333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</row>
    <row r="260">
      <c r="A260" s="333"/>
      <c r="B260" s="341"/>
      <c r="C260" s="333"/>
      <c r="D260" s="333"/>
      <c r="E260" s="333"/>
      <c r="F260" s="333"/>
      <c r="G260" s="333"/>
      <c r="H260" s="333"/>
      <c r="I260" s="333"/>
      <c r="J260" s="333"/>
      <c r="K260" s="333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</row>
    <row r="261">
      <c r="A261" s="333"/>
      <c r="B261" s="341"/>
      <c r="C261" s="333"/>
      <c r="D261" s="333"/>
      <c r="E261" s="333"/>
      <c r="F261" s="333"/>
      <c r="G261" s="333"/>
      <c r="H261" s="333"/>
      <c r="I261" s="333"/>
      <c r="J261" s="333"/>
      <c r="K261" s="333"/>
      <c r="L261" s="341"/>
      <c r="M261" s="341"/>
      <c r="N261" s="341"/>
      <c r="O261" s="341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</row>
    <row r="262">
      <c r="A262" s="333"/>
      <c r="B262" s="341"/>
      <c r="C262" s="333"/>
      <c r="D262" s="333"/>
      <c r="E262" s="333"/>
      <c r="F262" s="333"/>
      <c r="G262" s="333"/>
      <c r="H262" s="333"/>
      <c r="I262" s="333"/>
      <c r="J262" s="333"/>
      <c r="K262" s="333"/>
      <c r="L262" s="341"/>
      <c r="M262" s="341"/>
      <c r="N262" s="341"/>
      <c r="O262" s="341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</row>
    <row r="263">
      <c r="A263" s="333"/>
      <c r="B263" s="341"/>
      <c r="C263" s="333"/>
      <c r="D263" s="333"/>
      <c r="E263" s="333"/>
      <c r="F263" s="333"/>
      <c r="G263" s="333"/>
      <c r="H263" s="333"/>
      <c r="I263" s="333"/>
      <c r="J263" s="333"/>
      <c r="K263" s="333"/>
      <c r="L263" s="341"/>
      <c r="M263" s="341"/>
      <c r="N263" s="341"/>
      <c r="O263" s="341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</row>
    <row r="264">
      <c r="A264" s="333"/>
      <c r="B264" s="341"/>
      <c r="C264" s="333"/>
      <c r="D264" s="333"/>
      <c r="E264" s="333"/>
      <c r="F264" s="333"/>
      <c r="G264" s="333"/>
      <c r="H264" s="333"/>
      <c r="I264" s="333"/>
      <c r="J264" s="333"/>
      <c r="K264" s="333"/>
      <c r="L264" s="341"/>
      <c r="M264" s="341"/>
      <c r="N264" s="341"/>
      <c r="O264" s="341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</row>
    <row r="265">
      <c r="A265" s="333"/>
      <c r="B265" s="341"/>
      <c r="C265" s="333"/>
      <c r="D265" s="333"/>
      <c r="E265" s="333"/>
      <c r="F265" s="333"/>
      <c r="G265" s="333"/>
      <c r="H265" s="333"/>
      <c r="I265" s="333"/>
      <c r="J265" s="333"/>
      <c r="K265" s="333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</row>
    <row r="266">
      <c r="A266" s="333"/>
      <c r="B266" s="341"/>
      <c r="C266" s="333"/>
      <c r="D266" s="333"/>
      <c r="E266" s="333"/>
      <c r="F266" s="333"/>
      <c r="G266" s="333"/>
      <c r="H266" s="333"/>
      <c r="I266" s="333"/>
      <c r="J266" s="333"/>
      <c r="K266" s="333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</row>
    <row r="267">
      <c r="A267" s="333"/>
      <c r="B267" s="341"/>
      <c r="C267" s="333"/>
      <c r="D267" s="333"/>
      <c r="E267" s="333"/>
      <c r="F267" s="333"/>
      <c r="G267" s="333"/>
      <c r="H267" s="333"/>
      <c r="I267" s="333"/>
      <c r="J267" s="333"/>
      <c r="K267" s="333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</row>
    <row r="268">
      <c r="A268" s="333"/>
      <c r="B268" s="341"/>
      <c r="C268" s="333"/>
      <c r="D268" s="333"/>
      <c r="E268" s="333"/>
      <c r="F268" s="333"/>
      <c r="G268" s="333"/>
      <c r="H268" s="333"/>
      <c r="I268" s="333"/>
      <c r="J268" s="333"/>
      <c r="K268" s="333"/>
      <c r="L268" s="341"/>
      <c r="M268" s="341"/>
      <c r="N268" s="341"/>
      <c r="O268" s="341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</row>
    <row r="269">
      <c r="A269" s="333"/>
      <c r="B269" s="341"/>
      <c r="C269" s="333"/>
      <c r="D269" s="333"/>
      <c r="E269" s="333"/>
      <c r="F269" s="333"/>
      <c r="G269" s="333"/>
      <c r="H269" s="333"/>
      <c r="I269" s="333"/>
      <c r="J269" s="333"/>
      <c r="K269" s="333"/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</row>
    <row r="270">
      <c r="A270" s="333"/>
      <c r="B270" s="341"/>
      <c r="C270" s="333"/>
      <c r="D270" s="333"/>
      <c r="E270" s="333"/>
      <c r="F270" s="333"/>
      <c r="G270" s="333"/>
      <c r="H270" s="333"/>
      <c r="I270" s="333"/>
      <c r="J270" s="333"/>
      <c r="K270" s="333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</row>
    <row r="271">
      <c r="A271" s="333"/>
      <c r="B271" s="341"/>
      <c r="C271" s="333"/>
      <c r="D271" s="333"/>
      <c r="E271" s="333"/>
      <c r="F271" s="333"/>
      <c r="G271" s="333"/>
      <c r="H271" s="333"/>
      <c r="I271" s="333"/>
      <c r="J271" s="333"/>
      <c r="K271" s="333"/>
      <c r="L271" s="341"/>
      <c r="M271" s="341"/>
      <c r="N271" s="341"/>
      <c r="O271" s="341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</row>
    <row r="272">
      <c r="A272" s="333"/>
      <c r="B272" s="341"/>
      <c r="C272" s="333"/>
      <c r="D272" s="333"/>
      <c r="E272" s="333"/>
      <c r="F272" s="333"/>
      <c r="G272" s="333"/>
      <c r="H272" s="333"/>
      <c r="I272" s="333"/>
      <c r="J272" s="333"/>
      <c r="K272" s="333"/>
      <c r="L272" s="341"/>
      <c r="M272" s="341"/>
      <c r="N272" s="341"/>
      <c r="O272" s="341"/>
      <c r="P272" s="341"/>
      <c r="Q272" s="341"/>
      <c r="R272" s="341"/>
      <c r="S272" s="341"/>
      <c r="T272" s="341"/>
      <c r="U272" s="341"/>
      <c r="V272" s="341"/>
      <c r="W272" s="341"/>
      <c r="X272" s="341"/>
      <c r="Y272" s="341"/>
      <c r="Z272" s="341"/>
    </row>
    <row r="273">
      <c r="A273" s="333"/>
      <c r="B273" s="341"/>
      <c r="C273" s="333"/>
      <c r="D273" s="333"/>
      <c r="E273" s="333"/>
      <c r="F273" s="333"/>
      <c r="G273" s="333"/>
      <c r="H273" s="333"/>
      <c r="I273" s="333"/>
      <c r="J273" s="333"/>
      <c r="K273" s="333"/>
      <c r="L273" s="341"/>
      <c r="M273" s="341"/>
      <c r="N273" s="341"/>
      <c r="O273" s="341"/>
      <c r="P273" s="341"/>
      <c r="Q273" s="341"/>
      <c r="R273" s="341"/>
      <c r="S273" s="341"/>
      <c r="T273" s="341"/>
      <c r="U273" s="341"/>
      <c r="V273" s="341"/>
      <c r="W273" s="341"/>
      <c r="X273" s="341"/>
      <c r="Y273" s="341"/>
      <c r="Z273" s="341"/>
    </row>
    <row r="274">
      <c r="A274" s="333"/>
      <c r="B274" s="341"/>
      <c r="C274" s="333"/>
      <c r="D274" s="333"/>
      <c r="E274" s="333"/>
      <c r="F274" s="333"/>
      <c r="G274" s="333"/>
      <c r="H274" s="333"/>
      <c r="I274" s="333"/>
      <c r="J274" s="333"/>
      <c r="K274" s="333"/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</row>
    <row r="275">
      <c r="A275" s="333"/>
      <c r="B275" s="341"/>
      <c r="C275" s="333"/>
      <c r="D275" s="333"/>
      <c r="E275" s="333"/>
      <c r="F275" s="333"/>
      <c r="G275" s="333"/>
      <c r="H275" s="333"/>
      <c r="I275" s="333"/>
      <c r="J275" s="333"/>
      <c r="K275" s="333"/>
      <c r="L275" s="341"/>
      <c r="M275" s="341"/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</row>
    <row r="276">
      <c r="A276" s="333"/>
      <c r="B276" s="341"/>
      <c r="C276" s="333"/>
      <c r="D276" s="333"/>
      <c r="E276" s="333"/>
      <c r="F276" s="333"/>
      <c r="G276" s="333"/>
      <c r="H276" s="333"/>
      <c r="I276" s="333"/>
      <c r="J276" s="333"/>
      <c r="K276" s="333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</row>
    <row r="277">
      <c r="A277" s="333"/>
      <c r="B277" s="341"/>
      <c r="C277" s="333"/>
      <c r="D277" s="333"/>
      <c r="E277" s="333"/>
      <c r="F277" s="333"/>
      <c r="G277" s="333"/>
      <c r="H277" s="333"/>
      <c r="I277" s="333"/>
      <c r="J277" s="333"/>
      <c r="K277" s="333"/>
      <c r="L277" s="341"/>
      <c r="M277" s="341"/>
      <c r="N277" s="341"/>
      <c r="O277" s="341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</row>
    <row r="278">
      <c r="A278" s="333"/>
      <c r="B278" s="341"/>
      <c r="C278" s="333"/>
      <c r="D278" s="333"/>
      <c r="E278" s="333"/>
      <c r="F278" s="333"/>
      <c r="G278" s="333"/>
      <c r="H278" s="333"/>
      <c r="I278" s="333"/>
      <c r="J278" s="333"/>
      <c r="K278" s="333"/>
      <c r="L278" s="341"/>
      <c r="M278" s="341"/>
      <c r="N278" s="341"/>
      <c r="O278" s="341"/>
      <c r="P278" s="341"/>
      <c r="Q278" s="341"/>
      <c r="R278" s="341"/>
      <c r="S278" s="341"/>
      <c r="T278" s="341"/>
      <c r="U278" s="341"/>
      <c r="V278" s="341"/>
      <c r="W278" s="341"/>
      <c r="X278" s="341"/>
      <c r="Y278" s="341"/>
      <c r="Z278" s="341"/>
    </row>
    <row r="279">
      <c r="A279" s="333"/>
      <c r="B279" s="341"/>
      <c r="C279" s="333"/>
      <c r="D279" s="333"/>
      <c r="E279" s="333"/>
      <c r="F279" s="333"/>
      <c r="G279" s="333"/>
      <c r="H279" s="333"/>
      <c r="I279" s="333"/>
      <c r="J279" s="333"/>
      <c r="K279" s="333"/>
      <c r="L279" s="341"/>
      <c r="M279" s="341"/>
      <c r="N279" s="341"/>
      <c r="O279" s="341"/>
      <c r="P279" s="341"/>
      <c r="Q279" s="341"/>
      <c r="R279" s="341"/>
      <c r="S279" s="341"/>
      <c r="T279" s="341"/>
      <c r="U279" s="341"/>
      <c r="V279" s="341"/>
      <c r="W279" s="341"/>
      <c r="X279" s="341"/>
      <c r="Y279" s="341"/>
      <c r="Z279" s="341"/>
    </row>
    <row r="280">
      <c r="A280" s="333"/>
      <c r="B280" s="341"/>
      <c r="C280" s="333"/>
      <c r="D280" s="333"/>
      <c r="E280" s="333"/>
      <c r="F280" s="333"/>
      <c r="G280" s="333"/>
      <c r="H280" s="333"/>
      <c r="I280" s="333"/>
      <c r="J280" s="333"/>
      <c r="K280" s="333"/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</row>
    <row r="281">
      <c r="A281" s="333"/>
      <c r="B281" s="341"/>
      <c r="C281" s="333"/>
      <c r="D281" s="333"/>
      <c r="E281" s="333"/>
      <c r="F281" s="333"/>
      <c r="G281" s="333"/>
      <c r="H281" s="333"/>
      <c r="I281" s="333"/>
      <c r="J281" s="333"/>
      <c r="K281" s="333"/>
      <c r="L281" s="341"/>
      <c r="M281" s="341"/>
      <c r="N281" s="341"/>
      <c r="O281" s="341"/>
      <c r="P281" s="341"/>
      <c r="Q281" s="341"/>
      <c r="R281" s="341"/>
      <c r="S281" s="341"/>
      <c r="T281" s="341"/>
      <c r="U281" s="341"/>
      <c r="V281" s="341"/>
      <c r="W281" s="341"/>
      <c r="X281" s="341"/>
      <c r="Y281" s="341"/>
      <c r="Z281" s="341"/>
    </row>
    <row r="282">
      <c r="A282" s="333"/>
      <c r="B282" s="341"/>
      <c r="C282" s="333"/>
      <c r="D282" s="333"/>
      <c r="E282" s="333"/>
      <c r="F282" s="333"/>
      <c r="G282" s="333"/>
      <c r="H282" s="333"/>
      <c r="I282" s="333"/>
      <c r="J282" s="333"/>
      <c r="K282" s="333"/>
      <c r="L282" s="341"/>
      <c r="M282" s="341"/>
      <c r="N282" s="341"/>
      <c r="O282" s="341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</row>
    <row r="283">
      <c r="A283" s="333"/>
      <c r="B283" s="341"/>
      <c r="C283" s="333"/>
      <c r="D283" s="333"/>
      <c r="E283" s="333"/>
      <c r="F283" s="333"/>
      <c r="G283" s="333"/>
      <c r="H283" s="333"/>
      <c r="I283" s="333"/>
      <c r="J283" s="333"/>
      <c r="K283" s="333"/>
      <c r="L283" s="341"/>
      <c r="M283" s="341"/>
      <c r="N283" s="341"/>
      <c r="O283" s="341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</row>
    <row r="284">
      <c r="A284" s="333"/>
      <c r="B284" s="341"/>
      <c r="C284" s="333"/>
      <c r="D284" s="333"/>
      <c r="E284" s="333"/>
      <c r="F284" s="333"/>
      <c r="G284" s="333"/>
      <c r="H284" s="333"/>
      <c r="I284" s="333"/>
      <c r="J284" s="333"/>
      <c r="K284" s="333"/>
      <c r="L284" s="341"/>
      <c r="M284" s="341"/>
      <c r="N284" s="341"/>
      <c r="O284" s="341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</row>
    <row r="285">
      <c r="A285" s="333"/>
      <c r="B285" s="341"/>
      <c r="C285" s="333"/>
      <c r="D285" s="333"/>
      <c r="E285" s="333"/>
      <c r="F285" s="333"/>
      <c r="G285" s="333"/>
      <c r="H285" s="333"/>
      <c r="I285" s="333"/>
      <c r="J285" s="333"/>
      <c r="K285" s="333"/>
      <c r="L285" s="341"/>
      <c r="M285" s="341"/>
      <c r="N285" s="341"/>
      <c r="O285" s="341"/>
      <c r="P285" s="341"/>
      <c r="Q285" s="341"/>
      <c r="R285" s="341"/>
      <c r="S285" s="341"/>
      <c r="T285" s="341"/>
      <c r="U285" s="341"/>
      <c r="V285" s="341"/>
      <c r="W285" s="341"/>
      <c r="X285" s="341"/>
      <c r="Y285" s="341"/>
      <c r="Z285" s="341"/>
    </row>
    <row r="286">
      <c r="A286" s="333"/>
      <c r="B286" s="341"/>
      <c r="C286" s="333"/>
      <c r="D286" s="333"/>
      <c r="E286" s="333"/>
      <c r="F286" s="333"/>
      <c r="G286" s="333"/>
      <c r="H286" s="333"/>
      <c r="I286" s="333"/>
      <c r="J286" s="333"/>
      <c r="K286" s="333"/>
      <c r="L286" s="341"/>
      <c r="M286" s="341"/>
      <c r="N286" s="341"/>
      <c r="O286" s="341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</row>
    <row r="287">
      <c r="A287" s="333"/>
      <c r="B287" s="341"/>
      <c r="C287" s="333"/>
      <c r="D287" s="333"/>
      <c r="E287" s="333"/>
      <c r="F287" s="333"/>
      <c r="G287" s="333"/>
      <c r="H287" s="333"/>
      <c r="I287" s="333"/>
      <c r="J287" s="333"/>
      <c r="K287" s="333"/>
      <c r="L287" s="341"/>
      <c r="M287" s="341"/>
      <c r="N287" s="341"/>
      <c r="O287" s="341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</row>
    <row r="288">
      <c r="A288" s="333"/>
      <c r="B288" s="341"/>
      <c r="C288" s="333"/>
      <c r="D288" s="333"/>
      <c r="E288" s="333"/>
      <c r="F288" s="333"/>
      <c r="G288" s="333"/>
      <c r="H288" s="333"/>
      <c r="I288" s="333"/>
      <c r="J288" s="333"/>
      <c r="K288" s="333"/>
      <c r="L288" s="341"/>
      <c r="M288" s="341"/>
      <c r="N288" s="341"/>
      <c r="O288" s="341"/>
      <c r="P288" s="341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</row>
    <row r="289">
      <c r="A289" s="333"/>
      <c r="B289" s="341"/>
      <c r="C289" s="333"/>
      <c r="D289" s="333"/>
      <c r="E289" s="333"/>
      <c r="F289" s="333"/>
      <c r="G289" s="333"/>
      <c r="H289" s="333"/>
      <c r="I289" s="333"/>
      <c r="J289" s="333"/>
      <c r="K289" s="333"/>
      <c r="L289" s="341"/>
      <c r="M289" s="341"/>
      <c r="N289" s="341"/>
      <c r="O289" s="341"/>
      <c r="P289" s="341"/>
      <c r="Q289" s="341"/>
      <c r="R289" s="341"/>
      <c r="S289" s="341"/>
      <c r="T289" s="341"/>
      <c r="U289" s="341"/>
      <c r="V289" s="341"/>
      <c r="W289" s="341"/>
      <c r="X289" s="341"/>
      <c r="Y289" s="341"/>
      <c r="Z289" s="341"/>
    </row>
    <row r="290">
      <c r="A290" s="333"/>
      <c r="B290" s="341"/>
      <c r="C290" s="333"/>
      <c r="D290" s="333"/>
      <c r="E290" s="333"/>
      <c r="F290" s="333"/>
      <c r="G290" s="333"/>
      <c r="H290" s="333"/>
      <c r="I290" s="333"/>
      <c r="J290" s="333"/>
      <c r="K290" s="333"/>
      <c r="L290" s="341"/>
      <c r="M290" s="341"/>
      <c r="N290" s="341"/>
      <c r="O290" s="341"/>
      <c r="P290" s="341"/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</row>
    <row r="291">
      <c r="A291" s="333"/>
      <c r="B291" s="341"/>
      <c r="C291" s="333"/>
      <c r="D291" s="333"/>
      <c r="E291" s="333"/>
      <c r="F291" s="333"/>
      <c r="G291" s="333"/>
      <c r="H291" s="333"/>
      <c r="I291" s="333"/>
      <c r="J291" s="333"/>
      <c r="K291" s="333"/>
      <c r="L291" s="341"/>
      <c r="M291" s="341"/>
      <c r="N291" s="341"/>
      <c r="O291" s="341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</row>
    <row r="292">
      <c r="A292" s="333"/>
      <c r="B292" s="341"/>
      <c r="C292" s="333"/>
      <c r="D292" s="333"/>
      <c r="E292" s="333"/>
      <c r="F292" s="333"/>
      <c r="G292" s="333"/>
      <c r="H292" s="333"/>
      <c r="I292" s="333"/>
      <c r="J292" s="333"/>
      <c r="K292" s="333"/>
      <c r="L292" s="341"/>
      <c r="M292" s="341"/>
      <c r="N292" s="341"/>
      <c r="O292" s="341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</row>
    <row r="293">
      <c r="A293" s="333"/>
      <c r="B293" s="341"/>
      <c r="C293" s="333"/>
      <c r="D293" s="333"/>
      <c r="E293" s="333"/>
      <c r="F293" s="333"/>
      <c r="G293" s="333"/>
      <c r="H293" s="333"/>
      <c r="I293" s="333"/>
      <c r="J293" s="333"/>
      <c r="K293" s="333"/>
      <c r="L293" s="341"/>
      <c r="M293" s="341"/>
      <c r="N293" s="341"/>
      <c r="O293" s="341"/>
      <c r="P293" s="341"/>
      <c r="Q293" s="341"/>
      <c r="R293" s="341"/>
      <c r="S293" s="341"/>
      <c r="T293" s="341"/>
      <c r="U293" s="341"/>
      <c r="V293" s="341"/>
      <c r="W293" s="341"/>
      <c r="X293" s="341"/>
      <c r="Y293" s="341"/>
      <c r="Z293" s="341"/>
    </row>
    <row r="294">
      <c r="A294" s="333"/>
      <c r="B294" s="341"/>
      <c r="C294" s="333"/>
      <c r="D294" s="333"/>
      <c r="E294" s="333"/>
      <c r="F294" s="333"/>
      <c r="G294" s="333"/>
      <c r="H294" s="333"/>
      <c r="I294" s="333"/>
      <c r="J294" s="333"/>
      <c r="K294" s="333"/>
      <c r="L294" s="341"/>
      <c r="M294" s="341"/>
      <c r="N294" s="341"/>
      <c r="O294" s="341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</row>
    <row r="295">
      <c r="A295" s="333"/>
      <c r="B295" s="341"/>
      <c r="C295" s="333"/>
      <c r="D295" s="333"/>
      <c r="E295" s="333"/>
      <c r="F295" s="333"/>
      <c r="G295" s="333"/>
      <c r="H295" s="333"/>
      <c r="I295" s="333"/>
      <c r="J295" s="333"/>
      <c r="K295" s="333"/>
      <c r="L295" s="341"/>
      <c r="M295" s="341"/>
      <c r="N295" s="341"/>
      <c r="O295" s="341"/>
      <c r="P295" s="341"/>
      <c r="Q295" s="341"/>
      <c r="R295" s="341"/>
      <c r="S295" s="341"/>
      <c r="T295" s="341"/>
      <c r="U295" s="341"/>
      <c r="V295" s="341"/>
      <c r="W295" s="341"/>
      <c r="X295" s="341"/>
      <c r="Y295" s="341"/>
      <c r="Z295" s="341"/>
    </row>
    <row r="296">
      <c r="A296" s="333"/>
      <c r="B296" s="341"/>
      <c r="C296" s="333"/>
      <c r="D296" s="333"/>
      <c r="E296" s="333"/>
      <c r="F296" s="333"/>
      <c r="G296" s="333"/>
      <c r="H296" s="333"/>
      <c r="I296" s="333"/>
      <c r="J296" s="333"/>
      <c r="K296" s="333"/>
      <c r="L296" s="341"/>
      <c r="M296" s="341"/>
      <c r="N296" s="341"/>
      <c r="O296" s="341"/>
      <c r="P296" s="341"/>
      <c r="Q296" s="341"/>
      <c r="R296" s="341"/>
      <c r="S296" s="341"/>
      <c r="T296" s="341"/>
      <c r="U296" s="341"/>
      <c r="V296" s="341"/>
      <c r="W296" s="341"/>
      <c r="X296" s="341"/>
      <c r="Y296" s="341"/>
      <c r="Z296" s="341"/>
    </row>
    <row r="297">
      <c r="A297" s="333"/>
      <c r="B297" s="341"/>
      <c r="C297" s="333"/>
      <c r="D297" s="333"/>
      <c r="E297" s="333"/>
      <c r="F297" s="333"/>
      <c r="G297" s="333"/>
      <c r="H297" s="333"/>
      <c r="I297" s="333"/>
      <c r="J297" s="333"/>
      <c r="K297" s="333"/>
      <c r="L297" s="341"/>
      <c r="M297" s="341"/>
      <c r="N297" s="341"/>
      <c r="O297" s="341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</row>
    <row r="298">
      <c r="A298" s="333"/>
      <c r="B298" s="341"/>
      <c r="C298" s="333"/>
      <c r="D298" s="333"/>
      <c r="E298" s="333"/>
      <c r="F298" s="333"/>
      <c r="G298" s="333"/>
      <c r="H298" s="333"/>
      <c r="I298" s="333"/>
      <c r="J298" s="333"/>
      <c r="K298" s="333"/>
      <c r="L298" s="341"/>
      <c r="M298" s="341"/>
      <c r="N298" s="341"/>
      <c r="O298" s="341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</row>
    <row r="299">
      <c r="A299" s="333"/>
      <c r="B299" s="341"/>
      <c r="C299" s="333"/>
      <c r="D299" s="333"/>
      <c r="E299" s="333"/>
      <c r="F299" s="333"/>
      <c r="G299" s="333"/>
      <c r="H299" s="333"/>
      <c r="I299" s="333"/>
      <c r="J299" s="333"/>
      <c r="K299" s="333"/>
      <c r="L299" s="341"/>
      <c r="M299" s="341"/>
      <c r="N299" s="341"/>
      <c r="O299" s="341"/>
      <c r="P299" s="341"/>
      <c r="Q299" s="341"/>
      <c r="R299" s="341"/>
      <c r="S299" s="341"/>
      <c r="T299" s="341"/>
      <c r="U299" s="341"/>
      <c r="V299" s="341"/>
      <c r="W299" s="341"/>
      <c r="X299" s="341"/>
      <c r="Y299" s="341"/>
      <c r="Z299" s="341"/>
    </row>
    <row r="300">
      <c r="A300" s="333"/>
      <c r="B300" s="341"/>
      <c r="C300" s="333"/>
      <c r="D300" s="333"/>
      <c r="E300" s="333"/>
      <c r="F300" s="333"/>
      <c r="G300" s="333"/>
      <c r="H300" s="333"/>
      <c r="I300" s="333"/>
      <c r="J300" s="333"/>
      <c r="K300" s="333"/>
      <c r="L300" s="341"/>
      <c r="M300" s="341"/>
      <c r="N300" s="341"/>
      <c r="O300" s="341"/>
      <c r="P300" s="341"/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</row>
    <row r="301">
      <c r="A301" s="333"/>
      <c r="B301" s="341"/>
      <c r="C301" s="333"/>
      <c r="D301" s="333"/>
      <c r="E301" s="333"/>
      <c r="F301" s="333"/>
      <c r="G301" s="333"/>
      <c r="H301" s="333"/>
      <c r="I301" s="333"/>
      <c r="J301" s="333"/>
      <c r="K301" s="333"/>
      <c r="L301" s="341"/>
      <c r="M301" s="341"/>
      <c r="N301" s="341"/>
      <c r="O301" s="341"/>
      <c r="P301" s="341"/>
      <c r="Q301" s="341"/>
      <c r="R301" s="341"/>
      <c r="S301" s="341"/>
      <c r="T301" s="341"/>
      <c r="U301" s="341"/>
      <c r="V301" s="341"/>
      <c r="W301" s="341"/>
      <c r="X301" s="341"/>
      <c r="Y301" s="341"/>
      <c r="Z301" s="341"/>
    </row>
    <row r="302">
      <c r="A302" s="333"/>
      <c r="B302" s="341"/>
      <c r="C302" s="333"/>
      <c r="D302" s="333"/>
      <c r="E302" s="333"/>
      <c r="F302" s="333"/>
      <c r="G302" s="333"/>
      <c r="H302" s="333"/>
      <c r="I302" s="333"/>
      <c r="J302" s="333"/>
      <c r="K302" s="333"/>
      <c r="L302" s="341"/>
      <c r="M302" s="341"/>
      <c r="N302" s="341"/>
      <c r="O302" s="341"/>
      <c r="P302" s="341"/>
      <c r="Q302" s="341"/>
      <c r="R302" s="341"/>
      <c r="S302" s="341"/>
      <c r="T302" s="341"/>
      <c r="U302" s="341"/>
      <c r="V302" s="341"/>
      <c r="W302" s="341"/>
      <c r="X302" s="341"/>
      <c r="Y302" s="341"/>
      <c r="Z302" s="341"/>
    </row>
    <row r="303">
      <c r="A303" s="333"/>
      <c r="B303" s="341"/>
      <c r="C303" s="333"/>
      <c r="D303" s="333"/>
      <c r="E303" s="333"/>
      <c r="F303" s="333"/>
      <c r="G303" s="333"/>
      <c r="H303" s="333"/>
      <c r="I303" s="333"/>
      <c r="J303" s="333"/>
      <c r="K303" s="333"/>
      <c r="L303" s="341"/>
      <c r="M303" s="341"/>
      <c r="N303" s="341"/>
      <c r="O303" s="341"/>
      <c r="P303" s="341"/>
      <c r="Q303" s="341"/>
      <c r="R303" s="341"/>
      <c r="S303" s="341"/>
      <c r="T303" s="341"/>
      <c r="U303" s="341"/>
      <c r="V303" s="341"/>
      <c r="W303" s="341"/>
      <c r="X303" s="341"/>
      <c r="Y303" s="341"/>
      <c r="Z303" s="341"/>
    </row>
    <row r="304">
      <c r="A304" s="333"/>
      <c r="B304" s="341"/>
      <c r="C304" s="333"/>
      <c r="D304" s="333"/>
      <c r="E304" s="333"/>
      <c r="F304" s="333"/>
      <c r="G304" s="333"/>
      <c r="H304" s="333"/>
      <c r="I304" s="333"/>
      <c r="J304" s="333"/>
      <c r="K304" s="333"/>
      <c r="L304" s="341"/>
      <c r="M304" s="341"/>
      <c r="N304" s="341"/>
      <c r="O304" s="341"/>
      <c r="P304" s="341"/>
      <c r="Q304" s="341"/>
      <c r="R304" s="341"/>
      <c r="S304" s="341"/>
      <c r="T304" s="341"/>
      <c r="U304" s="341"/>
      <c r="V304" s="341"/>
      <c r="W304" s="341"/>
      <c r="X304" s="341"/>
      <c r="Y304" s="341"/>
      <c r="Z304" s="341"/>
    </row>
    <row r="305">
      <c r="A305" s="333"/>
      <c r="B305" s="341"/>
      <c r="C305" s="333"/>
      <c r="D305" s="333"/>
      <c r="E305" s="333"/>
      <c r="F305" s="333"/>
      <c r="G305" s="333"/>
      <c r="H305" s="333"/>
      <c r="I305" s="333"/>
      <c r="J305" s="333"/>
      <c r="K305" s="333"/>
      <c r="L305" s="341"/>
      <c r="M305" s="341"/>
      <c r="N305" s="341"/>
      <c r="O305" s="341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</row>
    <row r="306">
      <c r="A306" s="333"/>
      <c r="B306" s="341"/>
      <c r="C306" s="333"/>
      <c r="D306" s="333"/>
      <c r="E306" s="333"/>
      <c r="F306" s="333"/>
      <c r="G306" s="333"/>
      <c r="H306" s="333"/>
      <c r="I306" s="333"/>
      <c r="J306" s="333"/>
      <c r="K306" s="333"/>
      <c r="L306" s="341"/>
      <c r="M306" s="341"/>
      <c r="N306" s="341"/>
      <c r="O306" s="341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</row>
    <row r="307">
      <c r="A307" s="333"/>
      <c r="B307" s="341"/>
      <c r="C307" s="333"/>
      <c r="D307" s="333"/>
      <c r="E307" s="333"/>
      <c r="F307" s="333"/>
      <c r="G307" s="333"/>
      <c r="H307" s="333"/>
      <c r="I307" s="333"/>
      <c r="J307" s="333"/>
      <c r="K307" s="333"/>
      <c r="L307" s="341"/>
      <c r="M307" s="341"/>
      <c r="N307" s="341"/>
      <c r="O307" s="341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</row>
    <row r="308">
      <c r="A308" s="333"/>
      <c r="B308" s="341"/>
      <c r="C308" s="333"/>
      <c r="D308" s="333"/>
      <c r="E308" s="333"/>
      <c r="F308" s="333"/>
      <c r="G308" s="333"/>
      <c r="H308" s="333"/>
      <c r="I308" s="333"/>
      <c r="J308" s="333"/>
      <c r="K308" s="333"/>
      <c r="L308" s="341"/>
      <c r="M308" s="341"/>
      <c r="N308" s="341"/>
      <c r="O308" s="341"/>
      <c r="P308" s="341"/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</row>
    <row r="309">
      <c r="A309" s="333"/>
      <c r="B309" s="341"/>
      <c r="C309" s="333"/>
      <c r="D309" s="333"/>
      <c r="E309" s="333"/>
      <c r="F309" s="333"/>
      <c r="G309" s="333"/>
      <c r="H309" s="333"/>
      <c r="I309" s="333"/>
      <c r="J309" s="333"/>
      <c r="K309" s="333"/>
      <c r="L309" s="341"/>
      <c r="M309" s="341"/>
      <c r="N309" s="341"/>
      <c r="O309" s="341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</row>
    <row r="310">
      <c r="A310" s="333"/>
      <c r="B310" s="341"/>
      <c r="C310" s="333"/>
      <c r="D310" s="333"/>
      <c r="E310" s="333"/>
      <c r="F310" s="333"/>
      <c r="G310" s="333"/>
      <c r="H310" s="333"/>
      <c r="I310" s="333"/>
      <c r="J310" s="333"/>
      <c r="K310" s="333"/>
      <c r="L310" s="341"/>
      <c r="M310" s="341"/>
      <c r="N310" s="341"/>
      <c r="O310" s="341"/>
      <c r="P310" s="341"/>
      <c r="Q310" s="341"/>
      <c r="R310" s="341"/>
      <c r="S310" s="341"/>
      <c r="T310" s="341"/>
      <c r="U310" s="341"/>
      <c r="V310" s="341"/>
      <c r="W310" s="341"/>
      <c r="X310" s="341"/>
      <c r="Y310" s="341"/>
      <c r="Z310" s="341"/>
    </row>
    <row r="311">
      <c r="A311" s="333"/>
      <c r="B311" s="341"/>
      <c r="C311" s="333"/>
      <c r="D311" s="333"/>
      <c r="E311" s="333"/>
      <c r="F311" s="333"/>
      <c r="G311" s="333"/>
      <c r="H311" s="333"/>
      <c r="I311" s="333"/>
      <c r="J311" s="333"/>
      <c r="K311" s="333"/>
      <c r="L311" s="341"/>
      <c r="M311" s="341"/>
      <c r="N311" s="341"/>
      <c r="O311" s="341"/>
      <c r="P311" s="341"/>
      <c r="Q311" s="341"/>
      <c r="R311" s="341"/>
      <c r="S311" s="341"/>
      <c r="T311" s="341"/>
      <c r="U311" s="341"/>
      <c r="V311" s="341"/>
      <c r="W311" s="341"/>
      <c r="X311" s="341"/>
      <c r="Y311" s="341"/>
      <c r="Z311" s="341"/>
    </row>
    <row r="312">
      <c r="A312" s="333"/>
      <c r="B312" s="341"/>
      <c r="C312" s="333"/>
      <c r="D312" s="333"/>
      <c r="E312" s="333"/>
      <c r="F312" s="333"/>
      <c r="G312" s="333"/>
      <c r="H312" s="333"/>
      <c r="I312" s="333"/>
      <c r="J312" s="333"/>
      <c r="K312" s="333"/>
      <c r="L312" s="341"/>
      <c r="M312" s="341"/>
      <c r="N312" s="341"/>
      <c r="O312" s="341"/>
      <c r="P312" s="341"/>
      <c r="Q312" s="341"/>
      <c r="R312" s="341"/>
      <c r="S312" s="341"/>
      <c r="T312" s="341"/>
      <c r="U312" s="341"/>
      <c r="V312" s="341"/>
      <c r="W312" s="341"/>
      <c r="X312" s="341"/>
      <c r="Y312" s="341"/>
      <c r="Z312" s="341"/>
    </row>
    <row r="313">
      <c r="A313" s="333"/>
      <c r="B313" s="341"/>
      <c r="C313" s="333"/>
      <c r="D313" s="333"/>
      <c r="E313" s="333"/>
      <c r="F313" s="333"/>
      <c r="G313" s="333"/>
      <c r="H313" s="333"/>
      <c r="I313" s="333"/>
      <c r="J313" s="333"/>
      <c r="K313" s="333"/>
      <c r="L313" s="341"/>
      <c r="M313" s="341"/>
      <c r="N313" s="341"/>
      <c r="O313" s="341"/>
      <c r="P313" s="341"/>
      <c r="Q313" s="341"/>
      <c r="R313" s="341"/>
      <c r="S313" s="341"/>
      <c r="T313" s="341"/>
      <c r="U313" s="341"/>
      <c r="V313" s="341"/>
      <c r="W313" s="341"/>
      <c r="X313" s="341"/>
      <c r="Y313" s="341"/>
      <c r="Z313" s="341"/>
    </row>
    <row r="314">
      <c r="A314" s="333"/>
      <c r="B314" s="341"/>
      <c r="C314" s="333"/>
      <c r="D314" s="333"/>
      <c r="E314" s="333"/>
      <c r="F314" s="333"/>
      <c r="G314" s="333"/>
      <c r="H314" s="333"/>
      <c r="I314" s="333"/>
      <c r="J314" s="333"/>
      <c r="K314" s="333"/>
      <c r="L314" s="341"/>
      <c r="M314" s="341"/>
      <c r="N314" s="341"/>
      <c r="O314" s="341"/>
      <c r="P314" s="341"/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</row>
    <row r="315">
      <c r="A315" s="333"/>
      <c r="B315" s="341"/>
      <c r="C315" s="333"/>
      <c r="D315" s="333"/>
      <c r="E315" s="333"/>
      <c r="F315" s="333"/>
      <c r="G315" s="333"/>
      <c r="H315" s="333"/>
      <c r="I315" s="333"/>
      <c r="J315" s="333"/>
      <c r="K315" s="333"/>
      <c r="L315" s="341"/>
      <c r="M315" s="341"/>
      <c r="N315" s="341"/>
      <c r="O315" s="341"/>
      <c r="P315" s="341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</row>
    <row r="316">
      <c r="A316" s="333"/>
      <c r="B316" s="341"/>
      <c r="C316" s="333"/>
      <c r="D316" s="333"/>
      <c r="E316" s="333"/>
      <c r="F316" s="333"/>
      <c r="G316" s="333"/>
      <c r="H316" s="333"/>
      <c r="I316" s="333"/>
      <c r="J316" s="333"/>
      <c r="K316" s="333"/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</row>
    <row r="317">
      <c r="A317" s="333"/>
      <c r="B317" s="341"/>
      <c r="C317" s="333"/>
      <c r="D317" s="333"/>
      <c r="E317" s="333"/>
      <c r="F317" s="333"/>
      <c r="G317" s="333"/>
      <c r="H317" s="333"/>
      <c r="I317" s="333"/>
      <c r="J317" s="333"/>
      <c r="K317" s="333"/>
      <c r="L317" s="341"/>
      <c r="M317" s="341"/>
      <c r="N317" s="341"/>
      <c r="O317" s="341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</row>
    <row r="318">
      <c r="A318" s="333"/>
      <c r="B318" s="341"/>
      <c r="C318" s="333"/>
      <c r="D318" s="333"/>
      <c r="E318" s="333"/>
      <c r="F318" s="333"/>
      <c r="G318" s="333"/>
      <c r="H318" s="333"/>
      <c r="I318" s="333"/>
      <c r="J318" s="333"/>
      <c r="K318" s="333"/>
      <c r="L318" s="341"/>
      <c r="M318" s="341"/>
      <c r="N318" s="341"/>
      <c r="O318" s="341"/>
      <c r="P318" s="341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</row>
    <row r="319">
      <c r="A319" s="333"/>
      <c r="B319" s="341"/>
      <c r="C319" s="333"/>
      <c r="D319" s="333"/>
      <c r="E319" s="333"/>
      <c r="F319" s="333"/>
      <c r="G319" s="333"/>
      <c r="H319" s="333"/>
      <c r="I319" s="333"/>
      <c r="J319" s="333"/>
      <c r="K319" s="333"/>
      <c r="L319" s="341"/>
      <c r="M319" s="341"/>
      <c r="N319" s="341"/>
      <c r="O319" s="341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</row>
    <row r="320">
      <c r="A320" s="333"/>
      <c r="B320" s="341"/>
      <c r="C320" s="333"/>
      <c r="D320" s="333"/>
      <c r="E320" s="333"/>
      <c r="F320" s="333"/>
      <c r="G320" s="333"/>
      <c r="H320" s="333"/>
      <c r="I320" s="333"/>
      <c r="J320" s="333"/>
      <c r="K320" s="333"/>
      <c r="L320" s="341"/>
      <c r="M320" s="341"/>
      <c r="N320" s="341"/>
      <c r="O320" s="341"/>
      <c r="P320" s="341"/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</row>
    <row r="321">
      <c r="A321" s="333"/>
      <c r="B321" s="341"/>
      <c r="C321" s="333"/>
      <c r="D321" s="333"/>
      <c r="E321" s="333"/>
      <c r="F321" s="333"/>
      <c r="G321" s="333"/>
      <c r="H321" s="333"/>
      <c r="I321" s="333"/>
      <c r="J321" s="333"/>
      <c r="K321" s="333"/>
      <c r="L321" s="341"/>
      <c r="M321" s="341"/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</row>
    <row r="322">
      <c r="A322" s="333"/>
      <c r="B322" s="341"/>
      <c r="C322" s="333"/>
      <c r="D322" s="333"/>
      <c r="E322" s="333"/>
      <c r="F322" s="333"/>
      <c r="G322" s="333"/>
      <c r="H322" s="333"/>
      <c r="I322" s="333"/>
      <c r="J322" s="333"/>
      <c r="K322" s="333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</row>
    <row r="323">
      <c r="A323" s="333"/>
      <c r="B323" s="341"/>
      <c r="C323" s="333"/>
      <c r="D323" s="333"/>
      <c r="E323" s="333"/>
      <c r="F323" s="333"/>
      <c r="G323" s="333"/>
      <c r="H323" s="333"/>
      <c r="I323" s="333"/>
      <c r="J323" s="333"/>
      <c r="K323" s="333"/>
      <c r="L323" s="341"/>
      <c r="M323" s="341"/>
      <c r="N323" s="341"/>
      <c r="O323" s="341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</row>
    <row r="324">
      <c r="A324" s="333"/>
      <c r="B324" s="341"/>
      <c r="C324" s="333"/>
      <c r="D324" s="333"/>
      <c r="E324" s="333"/>
      <c r="F324" s="333"/>
      <c r="G324" s="333"/>
      <c r="H324" s="333"/>
      <c r="I324" s="333"/>
      <c r="J324" s="333"/>
      <c r="K324" s="333"/>
      <c r="L324" s="341"/>
      <c r="M324" s="341"/>
      <c r="N324" s="341"/>
      <c r="O324" s="341"/>
      <c r="P324" s="341"/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</row>
    <row r="325">
      <c r="A325" s="333"/>
      <c r="B325" s="341"/>
      <c r="C325" s="333"/>
      <c r="D325" s="333"/>
      <c r="E325" s="333"/>
      <c r="F325" s="333"/>
      <c r="G325" s="333"/>
      <c r="H325" s="333"/>
      <c r="I325" s="333"/>
      <c r="J325" s="333"/>
      <c r="K325" s="333"/>
      <c r="L325" s="341"/>
      <c r="M325" s="341"/>
      <c r="N325" s="341"/>
      <c r="O325" s="341"/>
      <c r="P325" s="341"/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</row>
    <row r="326">
      <c r="A326" s="333"/>
      <c r="B326" s="341"/>
      <c r="C326" s="333"/>
      <c r="D326" s="333"/>
      <c r="E326" s="333"/>
      <c r="F326" s="333"/>
      <c r="G326" s="333"/>
      <c r="H326" s="333"/>
      <c r="I326" s="333"/>
      <c r="J326" s="333"/>
      <c r="K326" s="333"/>
      <c r="L326" s="341"/>
      <c r="M326" s="341"/>
      <c r="N326" s="341"/>
      <c r="O326" s="341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</row>
    <row r="327">
      <c r="A327" s="333"/>
      <c r="B327" s="341"/>
      <c r="C327" s="333"/>
      <c r="D327" s="333"/>
      <c r="E327" s="333"/>
      <c r="F327" s="333"/>
      <c r="G327" s="333"/>
      <c r="H327" s="333"/>
      <c r="I327" s="333"/>
      <c r="J327" s="333"/>
      <c r="K327" s="333"/>
      <c r="L327" s="341"/>
      <c r="M327" s="341"/>
      <c r="N327" s="341"/>
      <c r="O327" s="341"/>
      <c r="P327" s="341"/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</row>
    <row r="328">
      <c r="A328" s="333"/>
      <c r="B328" s="341"/>
      <c r="C328" s="333"/>
      <c r="D328" s="333"/>
      <c r="E328" s="333"/>
      <c r="F328" s="333"/>
      <c r="G328" s="333"/>
      <c r="H328" s="333"/>
      <c r="I328" s="333"/>
      <c r="J328" s="333"/>
      <c r="K328" s="333"/>
      <c r="L328" s="341"/>
      <c r="M328" s="341"/>
      <c r="N328" s="341"/>
      <c r="O328" s="341"/>
      <c r="P328" s="341"/>
      <c r="Q328" s="341"/>
      <c r="R328" s="341"/>
      <c r="S328" s="341"/>
      <c r="T328" s="341"/>
      <c r="U328" s="341"/>
      <c r="V328" s="341"/>
      <c r="W328" s="341"/>
      <c r="X328" s="341"/>
      <c r="Y328" s="341"/>
      <c r="Z328" s="341"/>
    </row>
    <row r="329">
      <c r="A329" s="333"/>
      <c r="B329" s="341"/>
      <c r="C329" s="333"/>
      <c r="D329" s="333"/>
      <c r="E329" s="333"/>
      <c r="F329" s="333"/>
      <c r="G329" s="333"/>
      <c r="H329" s="333"/>
      <c r="I329" s="333"/>
      <c r="J329" s="333"/>
      <c r="K329" s="333"/>
      <c r="L329" s="341"/>
      <c r="M329" s="341"/>
      <c r="N329" s="341"/>
      <c r="O329" s="341"/>
      <c r="P329" s="341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</row>
    <row r="330">
      <c r="A330" s="333"/>
      <c r="B330" s="341"/>
      <c r="C330" s="333"/>
      <c r="D330" s="333"/>
      <c r="E330" s="333"/>
      <c r="F330" s="333"/>
      <c r="G330" s="333"/>
      <c r="H330" s="333"/>
      <c r="I330" s="333"/>
      <c r="J330" s="333"/>
      <c r="K330" s="333"/>
      <c r="L330" s="341"/>
      <c r="M330" s="341"/>
      <c r="N330" s="341"/>
      <c r="O330" s="341"/>
      <c r="P330" s="341"/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</row>
    <row r="331">
      <c r="A331" s="317"/>
      <c r="B331" s="318"/>
      <c r="C331" s="317"/>
      <c r="D331" s="317"/>
      <c r="E331" s="317"/>
      <c r="F331" s="317"/>
      <c r="G331" s="317"/>
      <c r="H331" s="317"/>
      <c r="I331" s="317"/>
      <c r="J331" s="317"/>
      <c r="K331" s="317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>
      <c r="A332" s="317"/>
      <c r="B332" s="318"/>
      <c r="C332" s="317"/>
      <c r="D332" s="317"/>
      <c r="E332" s="317"/>
      <c r="F332" s="317"/>
      <c r="G332" s="317"/>
      <c r="H332" s="317"/>
      <c r="I332" s="317"/>
      <c r="J332" s="317"/>
      <c r="K332" s="317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>
      <c r="A333" s="317"/>
      <c r="B333" s="318"/>
      <c r="C333" s="317"/>
      <c r="D333" s="317"/>
      <c r="E333" s="317"/>
      <c r="F333" s="317"/>
      <c r="G333" s="317"/>
      <c r="H333" s="317"/>
      <c r="I333" s="317"/>
      <c r="J333" s="317"/>
      <c r="K333" s="317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>
      <c r="A334" s="317"/>
      <c r="B334" s="318"/>
      <c r="C334" s="317"/>
      <c r="D334" s="317"/>
      <c r="E334" s="317"/>
      <c r="F334" s="317"/>
      <c r="G334" s="317"/>
      <c r="H334" s="317"/>
      <c r="I334" s="317"/>
      <c r="J334" s="317"/>
      <c r="K334" s="317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>
      <c r="A335" s="317"/>
      <c r="B335" s="318"/>
      <c r="C335" s="317"/>
      <c r="D335" s="317"/>
      <c r="E335" s="317"/>
      <c r="F335" s="317"/>
      <c r="G335" s="317"/>
      <c r="H335" s="317"/>
      <c r="I335" s="317"/>
      <c r="J335" s="317"/>
      <c r="K335" s="317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>
      <c r="A336" s="317"/>
      <c r="B336" s="318"/>
      <c r="C336" s="317"/>
      <c r="D336" s="317"/>
      <c r="E336" s="317"/>
      <c r="F336" s="317"/>
      <c r="G336" s="317"/>
      <c r="H336" s="317"/>
      <c r="I336" s="317"/>
      <c r="J336" s="317"/>
      <c r="K336" s="317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>
      <c r="A337" s="317"/>
      <c r="B337" s="318"/>
      <c r="C337" s="317"/>
      <c r="D337" s="317"/>
      <c r="E337" s="317"/>
      <c r="F337" s="317"/>
      <c r="G337" s="317"/>
      <c r="H337" s="317"/>
      <c r="I337" s="317"/>
      <c r="J337" s="317"/>
      <c r="K337" s="317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>
      <c r="A338" s="317"/>
      <c r="B338" s="318"/>
      <c r="C338" s="317"/>
      <c r="D338" s="317"/>
      <c r="E338" s="317"/>
      <c r="F338" s="317"/>
      <c r="G338" s="317"/>
      <c r="H338" s="317"/>
      <c r="I338" s="317"/>
      <c r="J338" s="317"/>
      <c r="K338" s="317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>
      <c r="A339" s="317"/>
      <c r="B339" s="318"/>
      <c r="C339" s="317"/>
      <c r="D339" s="317"/>
      <c r="E339" s="317"/>
      <c r="F339" s="317"/>
      <c r="G339" s="317"/>
      <c r="H339" s="317"/>
      <c r="I339" s="317"/>
      <c r="J339" s="317"/>
      <c r="K339" s="317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>
      <c r="A340" s="317"/>
      <c r="B340" s="318"/>
      <c r="C340" s="317"/>
      <c r="D340" s="317"/>
      <c r="E340" s="317"/>
      <c r="F340" s="317"/>
      <c r="G340" s="317"/>
      <c r="H340" s="317"/>
      <c r="I340" s="317"/>
      <c r="J340" s="317"/>
      <c r="K340" s="317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>
      <c r="A341" s="317"/>
      <c r="B341" s="318"/>
      <c r="C341" s="317"/>
      <c r="D341" s="317"/>
      <c r="E341" s="317"/>
      <c r="F341" s="317"/>
      <c r="G341" s="317"/>
      <c r="H341" s="317"/>
      <c r="I341" s="317"/>
      <c r="J341" s="317"/>
      <c r="K341" s="317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>
      <c r="A342" s="317"/>
      <c r="B342" s="318"/>
      <c r="C342" s="317"/>
      <c r="D342" s="317"/>
      <c r="E342" s="317"/>
      <c r="F342" s="317"/>
      <c r="G342" s="317"/>
      <c r="H342" s="317"/>
      <c r="I342" s="317"/>
      <c r="J342" s="317"/>
      <c r="K342" s="317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>
      <c r="A343" s="317"/>
      <c r="B343" s="318"/>
      <c r="C343" s="317"/>
      <c r="D343" s="317"/>
      <c r="E343" s="317"/>
      <c r="F343" s="317"/>
      <c r="G343" s="317"/>
      <c r="H343" s="317"/>
      <c r="I343" s="317"/>
      <c r="J343" s="317"/>
      <c r="K343" s="317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>
      <c r="A344" s="317"/>
      <c r="B344" s="318"/>
      <c r="C344" s="317"/>
      <c r="D344" s="317"/>
      <c r="E344" s="317"/>
      <c r="F344" s="317"/>
      <c r="G344" s="317"/>
      <c r="H344" s="317"/>
      <c r="I344" s="317"/>
      <c r="J344" s="317"/>
      <c r="K344" s="317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>
      <c r="A345" s="317"/>
      <c r="B345" s="318"/>
      <c r="C345" s="317"/>
      <c r="D345" s="317"/>
      <c r="E345" s="317"/>
      <c r="F345" s="317"/>
      <c r="G345" s="317"/>
      <c r="H345" s="317"/>
      <c r="I345" s="317"/>
      <c r="J345" s="317"/>
      <c r="K345" s="317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>
      <c r="A346" s="317"/>
      <c r="B346" s="318"/>
      <c r="C346" s="317"/>
      <c r="D346" s="317"/>
      <c r="E346" s="317"/>
      <c r="F346" s="317"/>
      <c r="G346" s="317"/>
      <c r="H346" s="317"/>
      <c r="I346" s="317"/>
      <c r="J346" s="317"/>
      <c r="K346" s="317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>
      <c r="A347" s="317"/>
      <c r="B347" s="318"/>
      <c r="C347" s="317"/>
      <c r="D347" s="317"/>
      <c r="E347" s="317"/>
      <c r="F347" s="317"/>
      <c r="G347" s="317"/>
      <c r="H347" s="317"/>
      <c r="I347" s="317"/>
      <c r="J347" s="317"/>
      <c r="K347" s="317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>
      <c r="A348" s="317"/>
      <c r="B348" s="318"/>
      <c r="C348" s="317"/>
      <c r="D348" s="317"/>
      <c r="E348" s="317"/>
      <c r="F348" s="317"/>
      <c r="G348" s="317"/>
      <c r="H348" s="317"/>
      <c r="I348" s="317"/>
      <c r="J348" s="317"/>
      <c r="K348" s="317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>
      <c r="A349" s="317"/>
      <c r="B349" s="318"/>
      <c r="C349" s="317"/>
      <c r="D349" s="317"/>
      <c r="E349" s="317"/>
      <c r="F349" s="317"/>
      <c r="G349" s="317"/>
      <c r="H349" s="317"/>
      <c r="I349" s="317"/>
      <c r="J349" s="317"/>
      <c r="K349" s="317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>
      <c r="A350" s="317"/>
      <c r="B350" s="318"/>
      <c r="C350" s="317"/>
      <c r="D350" s="317"/>
      <c r="E350" s="317"/>
      <c r="F350" s="317"/>
      <c r="G350" s="317"/>
      <c r="H350" s="317"/>
      <c r="I350" s="317"/>
      <c r="J350" s="317"/>
      <c r="K350" s="317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>
      <c r="A351" s="317"/>
      <c r="B351" s="318"/>
      <c r="C351" s="317"/>
      <c r="D351" s="317"/>
      <c r="E351" s="317"/>
      <c r="F351" s="317"/>
      <c r="G351" s="317"/>
      <c r="H351" s="317"/>
      <c r="I351" s="317"/>
      <c r="J351" s="317"/>
      <c r="K351" s="317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>
      <c r="A352" s="317"/>
      <c r="B352" s="318"/>
      <c r="C352" s="317"/>
      <c r="D352" s="317"/>
      <c r="E352" s="317"/>
      <c r="F352" s="317"/>
      <c r="G352" s="317"/>
      <c r="H352" s="317"/>
      <c r="I352" s="317"/>
      <c r="J352" s="317"/>
      <c r="K352" s="317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>
      <c r="A353" s="317"/>
      <c r="B353" s="318"/>
      <c r="C353" s="317"/>
      <c r="D353" s="317"/>
      <c r="E353" s="317"/>
      <c r="F353" s="317"/>
      <c r="G353" s="317"/>
      <c r="H353" s="317"/>
      <c r="I353" s="317"/>
      <c r="J353" s="317"/>
      <c r="K353" s="317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>
      <c r="A354" s="317"/>
      <c r="B354" s="318"/>
      <c r="C354" s="317"/>
      <c r="D354" s="317"/>
      <c r="E354" s="317"/>
      <c r="F354" s="317"/>
      <c r="G354" s="317"/>
      <c r="H354" s="317"/>
      <c r="I354" s="317"/>
      <c r="J354" s="317"/>
      <c r="K354" s="317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>
      <c r="A355" s="317"/>
      <c r="B355" s="318"/>
      <c r="C355" s="317"/>
      <c r="D355" s="317"/>
      <c r="E355" s="317"/>
      <c r="F355" s="317"/>
      <c r="G355" s="317"/>
      <c r="H355" s="317"/>
      <c r="I355" s="317"/>
      <c r="J355" s="317"/>
      <c r="K355" s="317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>
      <c r="A356" s="317"/>
      <c r="B356" s="318"/>
      <c r="C356" s="317"/>
      <c r="D356" s="317"/>
      <c r="E356" s="317"/>
      <c r="F356" s="317"/>
      <c r="G356" s="317"/>
      <c r="H356" s="317"/>
      <c r="I356" s="317"/>
      <c r="J356" s="317"/>
      <c r="K356" s="317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>
      <c r="A357" s="317"/>
      <c r="B357" s="318"/>
      <c r="C357" s="317"/>
      <c r="D357" s="317"/>
      <c r="E357" s="317"/>
      <c r="F357" s="317"/>
      <c r="G357" s="317"/>
      <c r="H357" s="317"/>
      <c r="I357" s="317"/>
      <c r="J357" s="317"/>
      <c r="K357" s="317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>
      <c r="A358" s="317"/>
      <c r="B358" s="318"/>
      <c r="C358" s="317"/>
      <c r="D358" s="317"/>
      <c r="E358" s="317"/>
      <c r="F358" s="317"/>
      <c r="G358" s="317"/>
      <c r="H358" s="317"/>
      <c r="I358" s="317"/>
      <c r="J358" s="317"/>
      <c r="K358" s="317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>
      <c r="A359" s="317"/>
      <c r="B359" s="318"/>
      <c r="C359" s="317"/>
      <c r="D359" s="317"/>
      <c r="E359" s="317"/>
      <c r="F359" s="317"/>
      <c r="G359" s="317"/>
      <c r="H359" s="317"/>
      <c r="I359" s="317"/>
      <c r="J359" s="317"/>
      <c r="K359" s="317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>
      <c r="A360" s="317"/>
      <c r="B360" s="318"/>
      <c r="C360" s="317"/>
      <c r="D360" s="317"/>
      <c r="E360" s="317"/>
      <c r="F360" s="317"/>
      <c r="G360" s="317"/>
      <c r="H360" s="317"/>
      <c r="I360" s="317"/>
      <c r="J360" s="317"/>
      <c r="K360" s="317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>
      <c r="A361" s="317"/>
      <c r="B361" s="318"/>
      <c r="C361" s="317"/>
      <c r="D361" s="317"/>
      <c r="E361" s="317"/>
      <c r="F361" s="317"/>
      <c r="G361" s="317"/>
      <c r="H361" s="317"/>
      <c r="I361" s="317"/>
      <c r="J361" s="317"/>
      <c r="K361" s="317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>
      <c r="A362" s="317"/>
      <c r="B362" s="318"/>
      <c r="C362" s="317"/>
      <c r="D362" s="317"/>
      <c r="E362" s="317"/>
      <c r="F362" s="317"/>
      <c r="G362" s="317"/>
      <c r="H362" s="317"/>
      <c r="I362" s="317"/>
      <c r="J362" s="317"/>
      <c r="K362" s="317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>
      <c r="A363" s="317"/>
      <c r="B363" s="318"/>
      <c r="C363" s="317"/>
      <c r="D363" s="317"/>
      <c r="E363" s="317"/>
      <c r="F363" s="317"/>
      <c r="G363" s="317"/>
      <c r="H363" s="317"/>
      <c r="I363" s="317"/>
      <c r="J363" s="317"/>
      <c r="K363" s="317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>
      <c r="A364" s="317"/>
      <c r="B364" s="318"/>
      <c r="C364" s="317"/>
      <c r="D364" s="317"/>
      <c r="E364" s="317"/>
      <c r="F364" s="317"/>
      <c r="G364" s="317"/>
      <c r="H364" s="317"/>
      <c r="I364" s="317"/>
      <c r="J364" s="317"/>
      <c r="K364" s="317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>
      <c r="A365" s="317"/>
      <c r="B365" s="318"/>
      <c r="C365" s="317"/>
      <c r="D365" s="317"/>
      <c r="E365" s="317"/>
      <c r="F365" s="317"/>
      <c r="G365" s="317"/>
      <c r="H365" s="317"/>
      <c r="I365" s="317"/>
      <c r="J365" s="317"/>
      <c r="K365" s="317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>
      <c r="A366" s="317"/>
      <c r="B366" s="318"/>
      <c r="C366" s="317"/>
      <c r="D366" s="317"/>
      <c r="E366" s="317"/>
      <c r="F366" s="317"/>
      <c r="G366" s="317"/>
      <c r="H366" s="317"/>
      <c r="I366" s="317"/>
      <c r="J366" s="317"/>
      <c r="K366" s="317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>
      <c r="A367" s="317"/>
      <c r="B367" s="318"/>
      <c r="C367" s="317"/>
      <c r="D367" s="317"/>
      <c r="E367" s="317"/>
      <c r="F367" s="317"/>
      <c r="G367" s="317"/>
      <c r="H367" s="317"/>
      <c r="I367" s="317"/>
      <c r="J367" s="317"/>
      <c r="K367" s="317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>
      <c r="A368" s="317"/>
      <c r="B368" s="318"/>
      <c r="C368" s="317"/>
      <c r="D368" s="317"/>
      <c r="E368" s="317"/>
      <c r="F368" s="317"/>
      <c r="G368" s="317"/>
      <c r="H368" s="317"/>
      <c r="I368" s="317"/>
      <c r="J368" s="317"/>
      <c r="K368" s="317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>
      <c r="A369" s="317"/>
      <c r="B369" s="318"/>
      <c r="C369" s="317"/>
      <c r="D369" s="317"/>
      <c r="E369" s="317"/>
      <c r="F369" s="317"/>
      <c r="G369" s="317"/>
      <c r="H369" s="317"/>
      <c r="I369" s="317"/>
      <c r="J369" s="317"/>
      <c r="K369" s="317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>
      <c r="A370" s="317"/>
      <c r="B370" s="318"/>
      <c r="C370" s="317"/>
      <c r="D370" s="317"/>
      <c r="E370" s="317"/>
      <c r="F370" s="317"/>
      <c r="G370" s="317"/>
      <c r="H370" s="317"/>
      <c r="I370" s="317"/>
      <c r="J370" s="317"/>
      <c r="K370" s="317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>
      <c r="A371" s="317"/>
      <c r="B371" s="318"/>
      <c r="C371" s="317"/>
      <c r="D371" s="317"/>
      <c r="E371" s="317"/>
      <c r="F371" s="317"/>
      <c r="G371" s="317"/>
      <c r="H371" s="317"/>
      <c r="I371" s="317"/>
      <c r="J371" s="317"/>
      <c r="K371" s="317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>
      <c r="A372" s="317"/>
      <c r="B372" s="318"/>
      <c r="C372" s="317"/>
      <c r="D372" s="317"/>
      <c r="E372" s="317"/>
      <c r="F372" s="317"/>
      <c r="G372" s="317"/>
      <c r="H372" s="317"/>
      <c r="I372" s="317"/>
      <c r="J372" s="317"/>
      <c r="K372" s="317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>
      <c r="A373" s="317"/>
      <c r="B373" s="318"/>
      <c r="C373" s="317"/>
      <c r="D373" s="317"/>
      <c r="E373" s="317"/>
      <c r="F373" s="317"/>
      <c r="G373" s="317"/>
      <c r="H373" s="317"/>
      <c r="I373" s="317"/>
      <c r="J373" s="317"/>
      <c r="K373" s="317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>
      <c r="A374" s="317"/>
      <c r="B374" s="318"/>
      <c r="C374" s="317"/>
      <c r="D374" s="317"/>
      <c r="E374" s="317"/>
      <c r="F374" s="317"/>
      <c r="G374" s="317"/>
      <c r="H374" s="317"/>
      <c r="I374" s="317"/>
      <c r="J374" s="317"/>
      <c r="K374" s="317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>
      <c r="A375" s="317"/>
      <c r="B375" s="318"/>
      <c r="C375" s="317"/>
      <c r="D375" s="317"/>
      <c r="E375" s="317"/>
      <c r="F375" s="317"/>
      <c r="G375" s="317"/>
      <c r="H375" s="317"/>
      <c r="I375" s="317"/>
      <c r="J375" s="317"/>
      <c r="K375" s="317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>
      <c r="A376" s="317"/>
      <c r="B376" s="318"/>
      <c r="C376" s="317"/>
      <c r="D376" s="317"/>
      <c r="E376" s="317"/>
      <c r="F376" s="317"/>
      <c r="G376" s="317"/>
      <c r="H376" s="317"/>
      <c r="I376" s="317"/>
      <c r="J376" s="317"/>
      <c r="K376" s="317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>
      <c r="A377" s="317"/>
      <c r="B377" s="318"/>
      <c r="C377" s="317"/>
      <c r="D377" s="317"/>
      <c r="E377" s="317"/>
      <c r="F377" s="317"/>
      <c r="G377" s="317"/>
      <c r="H377" s="317"/>
      <c r="I377" s="317"/>
      <c r="J377" s="317"/>
      <c r="K377" s="317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>
      <c r="A378" s="317"/>
      <c r="B378" s="318"/>
      <c r="C378" s="317"/>
      <c r="D378" s="317"/>
      <c r="E378" s="317"/>
      <c r="F378" s="317"/>
      <c r="G378" s="317"/>
      <c r="H378" s="317"/>
      <c r="I378" s="317"/>
      <c r="J378" s="317"/>
      <c r="K378" s="317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>
      <c r="A379" s="317"/>
      <c r="B379" s="318"/>
      <c r="C379" s="317"/>
      <c r="D379" s="317"/>
      <c r="E379" s="317"/>
      <c r="F379" s="317"/>
      <c r="G379" s="317"/>
      <c r="H379" s="317"/>
      <c r="I379" s="317"/>
      <c r="J379" s="317"/>
      <c r="K379" s="317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>
      <c r="A380" s="317"/>
      <c r="B380" s="318"/>
      <c r="C380" s="317"/>
      <c r="D380" s="317"/>
      <c r="E380" s="317"/>
      <c r="F380" s="317"/>
      <c r="G380" s="317"/>
      <c r="H380" s="317"/>
      <c r="I380" s="317"/>
      <c r="J380" s="317"/>
      <c r="K380" s="317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>
      <c r="A381" s="317"/>
      <c r="B381" s="318"/>
      <c r="C381" s="317"/>
      <c r="D381" s="317"/>
      <c r="E381" s="317"/>
      <c r="F381" s="317"/>
      <c r="G381" s="317"/>
      <c r="H381" s="317"/>
      <c r="I381" s="317"/>
      <c r="J381" s="317"/>
      <c r="K381" s="317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>
      <c r="A382" s="317"/>
      <c r="B382" s="318"/>
      <c r="C382" s="317"/>
      <c r="D382" s="317"/>
      <c r="E382" s="317"/>
      <c r="F382" s="317"/>
      <c r="G382" s="317"/>
      <c r="H382" s="317"/>
      <c r="I382" s="317"/>
      <c r="J382" s="317"/>
      <c r="K382" s="317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>
      <c r="A383" s="317"/>
      <c r="B383" s="318"/>
      <c r="C383" s="317"/>
      <c r="D383" s="317"/>
      <c r="E383" s="317"/>
      <c r="F383" s="317"/>
      <c r="G383" s="317"/>
      <c r="H383" s="317"/>
      <c r="I383" s="317"/>
      <c r="J383" s="317"/>
      <c r="K383" s="317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>
      <c r="A384" s="317"/>
      <c r="B384" s="318"/>
      <c r="C384" s="317"/>
      <c r="D384" s="317"/>
      <c r="E384" s="317"/>
      <c r="F384" s="317"/>
      <c r="G384" s="317"/>
      <c r="H384" s="317"/>
      <c r="I384" s="317"/>
      <c r="J384" s="317"/>
      <c r="K384" s="317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>
      <c r="A385" s="317"/>
      <c r="B385" s="318"/>
      <c r="C385" s="317"/>
      <c r="D385" s="317"/>
      <c r="E385" s="317"/>
      <c r="F385" s="317"/>
      <c r="G385" s="317"/>
      <c r="H385" s="317"/>
      <c r="I385" s="317"/>
      <c r="J385" s="317"/>
      <c r="K385" s="317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>
      <c r="A386" s="317"/>
      <c r="B386" s="318"/>
      <c r="C386" s="317"/>
      <c r="D386" s="317"/>
      <c r="E386" s="317"/>
      <c r="F386" s="317"/>
      <c r="G386" s="317"/>
      <c r="H386" s="317"/>
      <c r="I386" s="317"/>
      <c r="J386" s="317"/>
      <c r="K386" s="317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>
      <c r="A387" s="317"/>
      <c r="B387" s="318"/>
      <c r="C387" s="317"/>
      <c r="D387" s="317"/>
      <c r="E387" s="317"/>
      <c r="F387" s="317"/>
      <c r="G387" s="317"/>
      <c r="H387" s="317"/>
      <c r="I387" s="317"/>
      <c r="J387" s="317"/>
      <c r="K387" s="317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>
      <c r="A388" s="317"/>
      <c r="B388" s="318"/>
      <c r="C388" s="317"/>
      <c r="D388" s="317"/>
      <c r="E388" s="317"/>
      <c r="F388" s="317"/>
      <c r="G388" s="317"/>
      <c r="H388" s="317"/>
      <c r="I388" s="317"/>
      <c r="J388" s="317"/>
      <c r="K388" s="317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>
      <c r="A389" s="317"/>
      <c r="B389" s="318"/>
      <c r="C389" s="317"/>
      <c r="D389" s="317"/>
      <c r="E389" s="317"/>
      <c r="F389" s="317"/>
      <c r="G389" s="317"/>
      <c r="H389" s="317"/>
      <c r="I389" s="317"/>
      <c r="J389" s="317"/>
      <c r="K389" s="317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>
      <c r="A390" s="317"/>
      <c r="B390" s="318"/>
      <c r="C390" s="317"/>
      <c r="D390" s="317"/>
      <c r="E390" s="317"/>
      <c r="F390" s="317"/>
      <c r="G390" s="317"/>
      <c r="H390" s="317"/>
      <c r="I390" s="317"/>
      <c r="J390" s="317"/>
      <c r="K390" s="317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>
      <c r="A391" s="317"/>
      <c r="B391" s="318"/>
      <c r="C391" s="317"/>
      <c r="D391" s="317"/>
      <c r="E391" s="317"/>
      <c r="F391" s="317"/>
      <c r="G391" s="317"/>
      <c r="H391" s="317"/>
      <c r="I391" s="317"/>
      <c r="J391" s="317"/>
      <c r="K391" s="317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>
      <c r="A392" s="317"/>
      <c r="B392" s="318"/>
      <c r="C392" s="317"/>
      <c r="D392" s="317"/>
      <c r="E392" s="317"/>
      <c r="F392" s="317"/>
      <c r="G392" s="317"/>
      <c r="H392" s="317"/>
      <c r="I392" s="317"/>
      <c r="J392" s="317"/>
      <c r="K392" s="317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>
      <c r="A393" s="317"/>
      <c r="B393" s="318"/>
      <c r="C393" s="317"/>
      <c r="D393" s="317"/>
      <c r="E393" s="317"/>
      <c r="F393" s="317"/>
      <c r="G393" s="317"/>
      <c r="H393" s="317"/>
      <c r="I393" s="317"/>
      <c r="J393" s="317"/>
      <c r="K393" s="317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>
      <c r="A394" s="317"/>
      <c r="B394" s="318"/>
      <c r="C394" s="317"/>
      <c r="D394" s="317"/>
      <c r="E394" s="317"/>
      <c r="F394" s="317"/>
      <c r="G394" s="317"/>
      <c r="H394" s="317"/>
      <c r="I394" s="317"/>
      <c r="J394" s="317"/>
      <c r="K394" s="317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>
      <c r="A395" s="317"/>
      <c r="B395" s="318"/>
      <c r="C395" s="317"/>
      <c r="D395" s="317"/>
      <c r="E395" s="317"/>
      <c r="F395" s="317"/>
      <c r="G395" s="317"/>
      <c r="H395" s="317"/>
      <c r="I395" s="317"/>
      <c r="J395" s="317"/>
      <c r="K395" s="317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>
      <c r="A396" s="317"/>
      <c r="B396" s="318"/>
      <c r="C396" s="317"/>
      <c r="D396" s="317"/>
      <c r="E396" s="317"/>
      <c r="F396" s="317"/>
      <c r="G396" s="317"/>
      <c r="H396" s="317"/>
      <c r="I396" s="317"/>
      <c r="J396" s="317"/>
      <c r="K396" s="317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>
      <c r="A397" s="317"/>
      <c r="B397" s="318"/>
      <c r="C397" s="317"/>
      <c r="D397" s="317"/>
      <c r="E397" s="317"/>
      <c r="F397" s="317"/>
      <c r="G397" s="317"/>
      <c r="H397" s="317"/>
      <c r="I397" s="317"/>
      <c r="J397" s="317"/>
      <c r="K397" s="317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>
      <c r="A398" s="317"/>
      <c r="B398" s="318"/>
      <c r="C398" s="317"/>
      <c r="D398" s="317"/>
      <c r="E398" s="317"/>
      <c r="F398" s="317"/>
      <c r="G398" s="317"/>
      <c r="H398" s="317"/>
      <c r="I398" s="317"/>
      <c r="J398" s="317"/>
      <c r="K398" s="317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>
      <c r="A399" s="317"/>
      <c r="B399" s="318"/>
      <c r="C399" s="317"/>
      <c r="D399" s="317"/>
      <c r="E399" s="317"/>
      <c r="F399" s="317"/>
      <c r="G399" s="317"/>
      <c r="H399" s="317"/>
      <c r="I399" s="317"/>
      <c r="J399" s="317"/>
      <c r="K399" s="317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>
      <c r="A400" s="317"/>
      <c r="B400" s="318"/>
      <c r="C400" s="317"/>
      <c r="D400" s="317"/>
      <c r="E400" s="317"/>
      <c r="F400" s="317"/>
      <c r="G400" s="317"/>
      <c r="H400" s="317"/>
      <c r="I400" s="317"/>
      <c r="J400" s="317"/>
      <c r="K400" s="317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>
      <c r="A401" s="317"/>
      <c r="B401" s="318"/>
      <c r="C401" s="317"/>
      <c r="D401" s="317"/>
      <c r="E401" s="317"/>
      <c r="F401" s="317"/>
      <c r="G401" s="317"/>
      <c r="H401" s="317"/>
      <c r="I401" s="317"/>
      <c r="J401" s="317"/>
      <c r="K401" s="317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>
      <c r="A402" s="317"/>
      <c r="B402" s="318"/>
      <c r="C402" s="317"/>
      <c r="D402" s="317"/>
      <c r="E402" s="317"/>
      <c r="F402" s="317"/>
      <c r="G402" s="317"/>
      <c r="H402" s="317"/>
      <c r="I402" s="317"/>
      <c r="J402" s="317"/>
      <c r="K402" s="317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>
      <c r="A403" s="317"/>
      <c r="B403" s="318"/>
      <c r="C403" s="317"/>
      <c r="D403" s="317"/>
      <c r="E403" s="317"/>
      <c r="F403" s="317"/>
      <c r="G403" s="317"/>
      <c r="H403" s="317"/>
      <c r="I403" s="317"/>
      <c r="J403" s="317"/>
      <c r="K403" s="317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>
      <c r="A404" s="317"/>
      <c r="B404" s="318"/>
      <c r="C404" s="317"/>
      <c r="D404" s="317"/>
      <c r="E404" s="317"/>
      <c r="F404" s="317"/>
      <c r="G404" s="317"/>
      <c r="H404" s="317"/>
      <c r="I404" s="317"/>
      <c r="J404" s="317"/>
      <c r="K404" s="317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>
      <c r="A405" s="317"/>
      <c r="B405" s="318"/>
      <c r="C405" s="317"/>
      <c r="D405" s="317"/>
      <c r="E405" s="317"/>
      <c r="F405" s="317"/>
      <c r="G405" s="317"/>
      <c r="H405" s="317"/>
      <c r="I405" s="317"/>
      <c r="J405" s="317"/>
      <c r="K405" s="317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>
      <c r="A406" s="317"/>
      <c r="B406" s="318"/>
      <c r="C406" s="317"/>
      <c r="D406" s="317"/>
      <c r="E406" s="317"/>
      <c r="F406" s="317"/>
      <c r="G406" s="317"/>
      <c r="H406" s="317"/>
      <c r="I406" s="317"/>
      <c r="J406" s="317"/>
      <c r="K406" s="317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>
      <c r="A407" s="317"/>
      <c r="B407" s="318"/>
      <c r="C407" s="317"/>
      <c r="D407" s="317"/>
      <c r="E407" s="317"/>
      <c r="F407" s="317"/>
      <c r="G407" s="317"/>
      <c r="H407" s="317"/>
      <c r="I407" s="317"/>
      <c r="J407" s="317"/>
      <c r="K407" s="317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>
      <c r="A408" s="317"/>
      <c r="B408" s="318"/>
      <c r="C408" s="317"/>
      <c r="D408" s="317"/>
      <c r="E408" s="317"/>
      <c r="F408" s="317"/>
      <c r="G408" s="317"/>
      <c r="H408" s="317"/>
      <c r="I408" s="317"/>
      <c r="J408" s="317"/>
      <c r="K408" s="317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>
      <c r="A409" s="317"/>
      <c r="B409" s="318"/>
      <c r="C409" s="317"/>
      <c r="D409" s="317"/>
      <c r="E409" s="317"/>
      <c r="F409" s="317"/>
      <c r="G409" s="317"/>
      <c r="H409" s="317"/>
      <c r="I409" s="317"/>
      <c r="J409" s="317"/>
      <c r="K409" s="317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>
      <c r="A410" s="317"/>
      <c r="B410" s="318"/>
      <c r="C410" s="317"/>
      <c r="D410" s="317"/>
      <c r="E410" s="317"/>
      <c r="F410" s="317"/>
      <c r="G410" s="317"/>
      <c r="H410" s="317"/>
      <c r="I410" s="317"/>
      <c r="J410" s="317"/>
      <c r="K410" s="317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>
      <c r="A411" s="317"/>
      <c r="B411" s="318"/>
      <c r="C411" s="317"/>
      <c r="D411" s="317"/>
      <c r="E411" s="317"/>
      <c r="F411" s="317"/>
      <c r="G411" s="317"/>
      <c r="H411" s="317"/>
      <c r="I411" s="317"/>
      <c r="J411" s="317"/>
      <c r="K411" s="317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>
      <c r="A412" s="317"/>
      <c r="B412" s="318"/>
      <c r="C412" s="317"/>
      <c r="D412" s="317"/>
      <c r="E412" s="317"/>
      <c r="F412" s="317"/>
      <c r="G412" s="317"/>
      <c r="H412" s="317"/>
      <c r="I412" s="317"/>
      <c r="J412" s="317"/>
      <c r="K412" s="317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>
      <c r="A413" s="317"/>
      <c r="B413" s="318"/>
      <c r="C413" s="317"/>
      <c r="D413" s="317"/>
      <c r="E413" s="317"/>
      <c r="F413" s="317"/>
      <c r="G413" s="317"/>
      <c r="H413" s="317"/>
      <c r="I413" s="317"/>
      <c r="J413" s="317"/>
      <c r="K413" s="317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>
      <c r="A414" s="317"/>
      <c r="B414" s="318"/>
      <c r="C414" s="317"/>
      <c r="D414" s="317"/>
      <c r="E414" s="317"/>
      <c r="F414" s="317"/>
      <c r="G414" s="317"/>
      <c r="H414" s="317"/>
      <c r="I414" s="317"/>
      <c r="J414" s="317"/>
      <c r="K414" s="317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>
      <c r="A415" s="317"/>
      <c r="B415" s="318"/>
      <c r="C415" s="317"/>
      <c r="D415" s="317"/>
      <c r="E415" s="317"/>
      <c r="F415" s="317"/>
      <c r="G415" s="317"/>
      <c r="H415" s="317"/>
      <c r="I415" s="317"/>
      <c r="J415" s="317"/>
      <c r="K415" s="317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>
      <c r="A416" s="317"/>
      <c r="B416" s="318"/>
      <c r="C416" s="317"/>
      <c r="D416" s="317"/>
      <c r="E416" s="317"/>
      <c r="F416" s="317"/>
      <c r="G416" s="317"/>
      <c r="H416" s="317"/>
      <c r="I416" s="317"/>
      <c r="J416" s="317"/>
      <c r="K416" s="317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>
      <c r="A417" s="317"/>
      <c r="B417" s="318"/>
      <c r="C417" s="317"/>
      <c r="D417" s="317"/>
      <c r="E417" s="317"/>
      <c r="F417" s="317"/>
      <c r="G417" s="317"/>
      <c r="H417" s="317"/>
      <c r="I417" s="317"/>
      <c r="J417" s="317"/>
      <c r="K417" s="317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>
      <c r="A418" s="317"/>
      <c r="B418" s="318"/>
      <c r="C418" s="317"/>
      <c r="D418" s="317"/>
      <c r="E418" s="317"/>
      <c r="F418" s="317"/>
      <c r="G418" s="317"/>
      <c r="H418" s="317"/>
      <c r="I418" s="317"/>
      <c r="J418" s="317"/>
      <c r="K418" s="317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>
      <c r="A419" s="317"/>
      <c r="B419" s="318"/>
      <c r="C419" s="317"/>
      <c r="D419" s="317"/>
      <c r="E419" s="317"/>
      <c r="F419" s="317"/>
      <c r="G419" s="317"/>
      <c r="H419" s="317"/>
      <c r="I419" s="317"/>
      <c r="J419" s="317"/>
      <c r="K419" s="317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>
      <c r="A420" s="317"/>
      <c r="B420" s="318"/>
      <c r="C420" s="317"/>
      <c r="D420" s="317"/>
      <c r="E420" s="317"/>
      <c r="F420" s="317"/>
      <c r="G420" s="317"/>
      <c r="H420" s="317"/>
      <c r="I420" s="317"/>
      <c r="J420" s="317"/>
      <c r="K420" s="317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>
      <c r="A421" s="317"/>
      <c r="B421" s="318"/>
      <c r="C421" s="317"/>
      <c r="D421" s="317"/>
      <c r="E421" s="317"/>
      <c r="F421" s="317"/>
      <c r="G421" s="317"/>
      <c r="H421" s="317"/>
      <c r="I421" s="317"/>
      <c r="J421" s="317"/>
      <c r="K421" s="317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>
      <c r="A422" s="317"/>
      <c r="B422" s="318"/>
      <c r="C422" s="317"/>
      <c r="D422" s="317"/>
      <c r="E422" s="317"/>
      <c r="F422" s="317"/>
      <c r="G422" s="317"/>
      <c r="H422" s="317"/>
      <c r="I422" s="317"/>
      <c r="J422" s="317"/>
      <c r="K422" s="317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>
      <c r="A423" s="317"/>
      <c r="B423" s="318"/>
      <c r="C423" s="317"/>
      <c r="D423" s="317"/>
      <c r="E423" s="317"/>
      <c r="F423" s="317"/>
      <c r="G423" s="317"/>
      <c r="H423" s="317"/>
      <c r="I423" s="317"/>
      <c r="J423" s="317"/>
      <c r="K423" s="317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>
      <c r="A424" s="317"/>
      <c r="B424" s="318"/>
      <c r="C424" s="317"/>
      <c r="D424" s="317"/>
      <c r="E424" s="317"/>
      <c r="F424" s="317"/>
      <c r="G424" s="317"/>
      <c r="H424" s="317"/>
      <c r="I424" s="317"/>
      <c r="J424" s="317"/>
      <c r="K424" s="317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>
      <c r="A425" s="317"/>
      <c r="B425" s="318"/>
      <c r="C425" s="317"/>
      <c r="D425" s="317"/>
      <c r="E425" s="317"/>
      <c r="F425" s="317"/>
      <c r="G425" s="317"/>
      <c r="H425" s="317"/>
      <c r="I425" s="317"/>
      <c r="J425" s="317"/>
      <c r="K425" s="317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>
      <c r="A426" s="317"/>
      <c r="B426" s="318"/>
      <c r="C426" s="317"/>
      <c r="D426" s="317"/>
      <c r="E426" s="317"/>
      <c r="F426" s="317"/>
      <c r="G426" s="317"/>
      <c r="H426" s="317"/>
      <c r="I426" s="317"/>
      <c r="J426" s="317"/>
      <c r="K426" s="317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>
      <c r="A427" s="317"/>
      <c r="B427" s="318"/>
      <c r="C427" s="317"/>
      <c r="D427" s="317"/>
      <c r="E427" s="317"/>
      <c r="F427" s="317"/>
      <c r="G427" s="317"/>
      <c r="H427" s="317"/>
      <c r="I427" s="317"/>
      <c r="J427" s="317"/>
      <c r="K427" s="317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>
      <c r="A428" s="317"/>
      <c r="B428" s="318"/>
      <c r="C428" s="317"/>
      <c r="D428" s="317"/>
      <c r="E428" s="317"/>
      <c r="F428" s="317"/>
      <c r="G428" s="317"/>
      <c r="H428" s="317"/>
      <c r="I428" s="317"/>
      <c r="J428" s="317"/>
      <c r="K428" s="317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>
      <c r="A429" s="317"/>
      <c r="B429" s="318"/>
      <c r="C429" s="317"/>
      <c r="D429" s="317"/>
      <c r="E429" s="317"/>
      <c r="F429" s="317"/>
      <c r="G429" s="317"/>
      <c r="H429" s="317"/>
      <c r="I429" s="317"/>
      <c r="J429" s="317"/>
      <c r="K429" s="317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>
      <c r="A430" s="317"/>
      <c r="B430" s="318"/>
      <c r="C430" s="317"/>
      <c r="D430" s="317"/>
      <c r="E430" s="317"/>
      <c r="F430" s="317"/>
      <c r="G430" s="317"/>
      <c r="H430" s="317"/>
      <c r="I430" s="317"/>
      <c r="J430" s="317"/>
      <c r="K430" s="317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>
      <c r="A431" s="317"/>
      <c r="B431" s="318"/>
      <c r="C431" s="317"/>
      <c r="D431" s="317"/>
      <c r="E431" s="317"/>
      <c r="F431" s="317"/>
      <c r="G431" s="317"/>
      <c r="H431" s="317"/>
      <c r="I431" s="317"/>
      <c r="J431" s="317"/>
      <c r="K431" s="317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>
      <c r="A432" s="317"/>
      <c r="B432" s="318"/>
      <c r="C432" s="317"/>
      <c r="D432" s="317"/>
      <c r="E432" s="317"/>
      <c r="F432" s="317"/>
      <c r="G432" s="317"/>
      <c r="H432" s="317"/>
      <c r="I432" s="317"/>
      <c r="J432" s="317"/>
      <c r="K432" s="317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>
      <c r="A433" s="317"/>
      <c r="B433" s="318"/>
      <c r="C433" s="317"/>
      <c r="D433" s="317"/>
      <c r="E433" s="317"/>
      <c r="F433" s="317"/>
      <c r="G433" s="317"/>
      <c r="H433" s="317"/>
      <c r="I433" s="317"/>
      <c r="J433" s="317"/>
      <c r="K433" s="317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>
      <c r="A434" s="317"/>
      <c r="B434" s="318"/>
      <c r="C434" s="317"/>
      <c r="D434" s="317"/>
      <c r="E434" s="317"/>
      <c r="F434" s="317"/>
      <c r="G434" s="317"/>
      <c r="H434" s="317"/>
      <c r="I434" s="317"/>
      <c r="J434" s="317"/>
      <c r="K434" s="317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>
      <c r="A435" s="317"/>
      <c r="B435" s="318"/>
      <c r="C435" s="317"/>
      <c r="D435" s="317"/>
      <c r="E435" s="317"/>
      <c r="F435" s="317"/>
      <c r="G435" s="317"/>
      <c r="H435" s="317"/>
      <c r="I435" s="317"/>
      <c r="J435" s="317"/>
      <c r="K435" s="317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>
      <c r="A436" s="317"/>
      <c r="B436" s="318"/>
      <c r="C436" s="317"/>
      <c r="D436" s="317"/>
      <c r="E436" s="317"/>
      <c r="F436" s="317"/>
      <c r="G436" s="317"/>
      <c r="H436" s="317"/>
      <c r="I436" s="317"/>
      <c r="J436" s="317"/>
      <c r="K436" s="317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>
      <c r="A437" s="317"/>
      <c r="B437" s="318"/>
      <c r="C437" s="317"/>
      <c r="D437" s="317"/>
      <c r="E437" s="317"/>
      <c r="F437" s="317"/>
      <c r="G437" s="317"/>
      <c r="H437" s="317"/>
      <c r="I437" s="317"/>
      <c r="J437" s="317"/>
      <c r="K437" s="317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>
      <c r="A438" s="317"/>
      <c r="B438" s="318"/>
      <c r="C438" s="317"/>
      <c r="D438" s="317"/>
      <c r="E438" s="317"/>
      <c r="F438" s="317"/>
      <c r="G438" s="317"/>
      <c r="H438" s="317"/>
      <c r="I438" s="317"/>
      <c r="J438" s="317"/>
      <c r="K438" s="317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>
      <c r="A439" s="317"/>
      <c r="B439" s="318"/>
      <c r="C439" s="317"/>
      <c r="D439" s="317"/>
      <c r="E439" s="317"/>
      <c r="F439" s="317"/>
      <c r="G439" s="317"/>
      <c r="H439" s="317"/>
      <c r="I439" s="317"/>
      <c r="J439" s="317"/>
      <c r="K439" s="317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>
      <c r="A440" s="317"/>
      <c r="B440" s="318"/>
      <c r="C440" s="317"/>
      <c r="D440" s="317"/>
      <c r="E440" s="317"/>
      <c r="F440" s="317"/>
      <c r="G440" s="317"/>
      <c r="H440" s="317"/>
      <c r="I440" s="317"/>
      <c r="J440" s="317"/>
      <c r="K440" s="317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>
      <c r="A441" s="317"/>
      <c r="B441" s="318"/>
      <c r="C441" s="317"/>
      <c r="D441" s="317"/>
      <c r="E441" s="317"/>
      <c r="F441" s="317"/>
      <c r="G441" s="317"/>
      <c r="H441" s="317"/>
      <c r="I441" s="317"/>
      <c r="J441" s="317"/>
      <c r="K441" s="317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>
      <c r="A442" s="317"/>
      <c r="B442" s="318"/>
      <c r="C442" s="317"/>
      <c r="D442" s="317"/>
      <c r="E442" s="317"/>
      <c r="F442" s="317"/>
      <c r="G442" s="317"/>
      <c r="H442" s="317"/>
      <c r="I442" s="317"/>
      <c r="J442" s="317"/>
      <c r="K442" s="317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>
      <c r="A443" s="317"/>
      <c r="B443" s="318"/>
      <c r="C443" s="317"/>
      <c r="D443" s="317"/>
      <c r="E443" s="317"/>
      <c r="F443" s="317"/>
      <c r="G443" s="317"/>
      <c r="H443" s="317"/>
      <c r="I443" s="317"/>
      <c r="J443" s="317"/>
      <c r="K443" s="317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>
      <c r="A444" s="317"/>
      <c r="B444" s="318"/>
      <c r="C444" s="317"/>
      <c r="D444" s="317"/>
      <c r="E444" s="317"/>
      <c r="F444" s="317"/>
      <c r="G444" s="317"/>
      <c r="H444" s="317"/>
      <c r="I444" s="317"/>
      <c r="J444" s="317"/>
      <c r="K444" s="317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>
      <c r="A445" s="317"/>
      <c r="B445" s="318"/>
      <c r="C445" s="317"/>
      <c r="D445" s="317"/>
      <c r="E445" s="317"/>
      <c r="F445" s="317"/>
      <c r="G445" s="317"/>
      <c r="H445" s="317"/>
      <c r="I445" s="317"/>
      <c r="J445" s="317"/>
      <c r="K445" s="317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>
      <c r="A446" s="317"/>
      <c r="B446" s="318"/>
      <c r="C446" s="317"/>
      <c r="D446" s="317"/>
      <c r="E446" s="317"/>
      <c r="F446" s="317"/>
      <c r="G446" s="317"/>
      <c r="H446" s="317"/>
      <c r="I446" s="317"/>
      <c r="J446" s="317"/>
      <c r="K446" s="317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>
      <c r="A447" s="317"/>
      <c r="B447" s="318"/>
      <c r="C447" s="317"/>
      <c r="D447" s="317"/>
      <c r="E447" s="317"/>
      <c r="F447" s="317"/>
      <c r="G447" s="317"/>
      <c r="H447" s="317"/>
      <c r="I447" s="317"/>
      <c r="J447" s="317"/>
      <c r="K447" s="317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>
      <c r="A448" s="317"/>
      <c r="B448" s="318"/>
      <c r="C448" s="317"/>
      <c r="D448" s="317"/>
      <c r="E448" s="317"/>
      <c r="F448" s="317"/>
      <c r="G448" s="317"/>
      <c r="H448" s="317"/>
      <c r="I448" s="317"/>
      <c r="J448" s="317"/>
      <c r="K448" s="317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>
      <c r="A449" s="317"/>
      <c r="B449" s="318"/>
      <c r="C449" s="317"/>
      <c r="D449" s="317"/>
      <c r="E449" s="317"/>
      <c r="F449" s="317"/>
      <c r="G449" s="317"/>
      <c r="H449" s="317"/>
      <c r="I449" s="317"/>
      <c r="J449" s="317"/>
      <c r="K449" s="317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>
      <c r="A450" s="317"/>
      <c r="B450" s="318"/>
      <c r="C450" s="317"/>
      <c r="D450" s="317"/>
      <c r="E450" s="317"/>
      <c r="F450" s="317"/>
      <c r="G450" s="317"/>
      <c r="H450" s="317"/>
      <c r="I450" s="317"/>
      <c r="J450" s="317"/>
      <c r="K450" s="317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>
      <c r="A451" s="317"/>
      <c r="B451" s="318"/>
      <c r="C451" s="317"/>
      <c r="D451" s="317"/>
      <c r="E451" s="317"/>
      <c r="F451" s="317"/>
      <c r="G451" s="317"/>
      <c r="H451" s="317"/>
      <c r="I451" s="317"/>
      <c r="J451" s="317"/>
      <c r="K451" s="317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>
      <c r="A452" s="317"/>
      <c r="B452" s="318"/>
      <c r="C452" s="317"/>
      <c r="D452" s="317"/>
      <c r="E452" s="317"/>
      <c r="F452" s="317"/>
      <c r="G452" s="317"/>
      <c r="H452" s="317"/>
      <c r="I452" s="317"/>
      <c r="J452" s="317"/>
      <c r="K452" s="317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>
      <c r="A453" s="317"/>
      <c r="B453" s="318"/>
      <c r="C453" s="317"/>
      <c r="D453" s="317"/>
      <c r="E453" s="317"/>
      <c r="F453" s="317"/>
      <c r="G453" s="317"/>
      <c r="H453" s="317"/>
      <c r="I453" s="317"/>
      <c r="J453" s="317"/>
      <c r="K453" s="317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>
      <c r="A454" s="317"/>
      <c r="B454" s="318"/>
      <c r="C454" s="317"/>
      <c r="D454" s="317"/>
      <c r="E454" s="317"/>
      <c r="F454" s="317"/>
      <c r="G454" s="317"/>
      <c r="H454" s="317"/>
      <c r="I454" s="317"/>
      <c r="J454" s="317"/>
      <c r="K454" s="317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>
      <c r="A455" s="317"/>
      <c r="B455" s="318"/>
      <c r="C455" s="317"/>
      <c r="D455" s="317"/>
      <c r="E455" s="317"/>
      <c r="F455" s="317"/>
      <c r="G455" s="317"/>
      <c r="H455" s="317"/>
      <c r="I455" s="317"/>
      <c r="J455" s="317"/>
      <c r="K455" s="317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>
      <c r="A456" s="317"/>
      <c r="B456" s="318"/>
      <c r="C456" s="317"/>
      <c r="D456" s="317"/>
      <c r="E456" s="317"/>
      <c r="F456" s="317"/>
      <c r="G456" s="317"/>
      <c r="H456" s="317"/>
      <c r="I456" s="317"/>
      <c r="J456" s="317"/>
      <c r="K456" s="317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>
      <c r="A457" s="317"/>
      <c r="B457" s="318"/>
      <c r="C457" s="317"/>
      <c r="D457" s="317"/>
      <c r="E457" s="317"/>
      <c r="F457" s="317"/>
      <c r="G457" s="317"/>
      <c r="H457" s="317"/>
      <c r="I457" s="317"/>
      <c r="J457" s="317"/>
      <c r="K457" s="317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>
      <c r="A458" s="317"/>
      <c r="B458" s="318"/>
      <c r="C458" s="317"/>
      <c r="D458" s="317"/>
      <c r="E458" s="317"/>
      <c r="F458" s="317"/>
      <c r="G458" s="317"/>
      <c r="H458" s="317"/>
      <c r="I458" s="317"/>
      <c r="J458" s="317"/>
      <c r="K458" s="317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>
      <c r="A459" s="317"/>
      <c r="B459" s="318"/>
      <c r="C459" s="317"/>
      <c r="D459" s="317"/>
      <c r="E459" s="317"/>
      <c r="F459" s="317"/>
      <c r="G459" s="317"/>
      <c r="H459" s="317"/>
      <c r="I459" s="317"/>
      <c r="J459" s="317"/>
      <c r="K459" s="317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>
      <c r="A460" s="317"/>
      <c r="B460" s="318"/>
      <c r="C460" s="317"/>
      <c r="D460" s="317"/>
      <c r="E460" s="317"/>
      <c r="F460" s="317"/>
      <c r="G460" s="317"/>
      <c r="H460" s="317"/>
      <c r="I460" s="317"/>
      <c r="J460" s="317"/>
      <c r="K460" s="317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>
      <c r="A461" s="317"/>
      <c r="B461" s="318"/>
      <c r="C461" s="317"/>
      <c r="D461" s="317"/>
      <c r="E461" s="317"/>
      <c r="F461" s="317"/>
      <c r="G461" s="317"/>
      <c r="H461" s="317"/>
      <c r="I461" s="317"/>
      <c r="J461" s="317"/>
      <c r="K461" s="317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>
      <c r="A462" s="317"/>
      <c r="B462" s="318"/>
      <c r="C462" s="317"/>
      <c r="D462" s="317"/>
      <c r="E462" s="317"/>
      <c r="F462" s="317"/>
      <c r="G462" s="317"/>
      <c r="H462" s="317"/>
      <c r="I462" s="317"/>
      <c r="J462" s="317"/>
      <c r="K462" s="317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>
      <c r="A463" s="317"/>
      <c r="B463" s="318"/>
      <c r="C463" s="317"/>
      <c r="D463" s="317"/>
      <c r="E463" s="317"/>
      <c r="F463" s="317"/>
      <c r="G463" s="317"/>
      <c r="H463" s="317"/>
      <c r="I463" s="317"/>
      <c r="J463" s="317"/>
      <c r="K463" s="317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>
      <c r="A464" s="317"/>
      <c r="B464" s="318"/>
      <c r="C464" s="317"/>
      <c r="D464" s="317"/>
      <c r="E464" s="317"/>
      <c r="F464" s="317"/>
      <c r="G464" s="317"/>
      <c r="H464" s="317"/>
      <c r="I464" s="317"/>
      <c r="J464" s="317"/>
      <c r="K464" s="317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>
      <c r="A465" s="317"/>
      <c r="B465" s="318"/>
      <c r="C465" s="317"/>
      <c r="D465" s="317"/>
      <c r="E465" s="317"/>
      <c r="F465" s="317"/>
      <c r="G465" s="317"/>
      <c r="H465" s="317"/>
      <c r="I465" s="317"/>
      <c r="J465" s="317"/>
      <c r="K465" s="317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>
      <c r="A466" s="317"/>
      <c r="B466" s="318"/>
      <c r="C466" s="317"/>
      <c r="D466" s="317"/>
      <c r="E466" s="317"/>
      <c r="F466" s="317"/>
      <c r="G466" s="317"/>
      <c r="H466" s="317"/>
      <c r="I466" s="317"/>
      <c r="J466" s="317"/>
      <c r="K466" s="317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>
      <c r="A467" s="317"/>
      <c r="B467" s="318"/>
      <c r="C467" s="317"/>
      <c r="D467" s="317"/>
      <c r="E467" s="317"/>
      <c r="F467" s="317"/>
      <c r="G467" s="317"/>
      <c r="H467" s="317"/>
      <c r="I467" s="317"/>
      <c r="J467" s="317"/>
      <c r="K467" s="317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>
      <c r="A468" s="317"/>
      <c r="B468" s="318"/>
      <c r="C468" s="317"/>
      <c r="D468" s="317"/>
      <c r="E468" s="317"/>
      <c r="F468" s="317"/>
      <c r="G468" s="317"/>
      <c r="H468" s="317"/>
      <c r="I468" s="317"/>
      <c r="J468" s="317"/>
      <c r="K468" s="317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>
      <c r="A469" s="317"/>
      <c r="B469" s="318"/>
      <c r="C469" s="317"/>
      <c r="D469" s="317"/>
      <c r="E469" s="317"/>
      <c r="F469" s="317"/>
      <c r="G469" s="317"/>
      <c r="H469" s="317"/>
      <c r="I469" s="317"/>
      <c r="J469" s="317"/>
      <c r="K469" s="317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>
      <c r="A470" s="317"/>
      <c r="B470" s="318"/>
      <c r="C470" s="317"/>
      <c r="D470" s="317"/>
      <c r="E470" s="317"/>
      <c r="F470" s="317"/>
      <c r="G470" s="317"/>
      <c r="H470" s="317"/>
      <c r="I470" s="317"/>
      <c r="J470" s="317"/>
      <c r="K470" s="317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>
      <c r="A471" s="317"/>
      <c r="B471" s="318"/>
      <c r="C471" s="317"/>
      <c r="D471" s="317"/>
      <c r="E471" s="317"/>
      <c r="F471" s="317"/>
      <c r="G471" s="317"/>
      <c r="H471" s="317"/>
      <c r="I471" s="317"/>
      <c r="J471" s="317"/>
      <c r="K471" s="317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>
      <c r="A472" s="317"/>
      <c r="B472" s="318"/>
      <c r="C472" s="317"/>
      <c r="D472" s="317"/>
      <c r="E472" s="317"/>
      <c r="F472" s="317"/>
      <c r="G472" s="317"/>
      <c r="H472" s="317"/>
      <c r="I472" s="317"/>
      <c r="J472" s="317"/>
      <c r="K472" s="317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>
      <c r="A473" s="317"/>
      <c r="B473" s="318"/>
      <c r="C473" s="317"/>
      <c r="D473" s="317"/>
      <c r="E473" s="317"/>
      <c r="F473" s="317"/>
      <c r="G473" s="317"/>
      <c r="H473" s="317"/>
      <c r="I473" s="317"/>
      <c r="J473" s="317"/>
      <c r="K473" s="317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>
      <c r="A474" s="317"/>
      <c r="B474" s="318"/>
      <c r="C474" s="317"/>
      <c r="D474" s="317"/>
      <c r="E474" s="317"/>
      <c r="F474" s="317"/>
      <c r="G474" s="317"/>
      <c r="H474" s="317"/>
      <c r="I474" s="317"/>
      <c r="J474" s="317"/>
      <c r="K474" s="317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>
      <c r="A475" s="317"/>
      <c r="B475" s="318"/>
      <c r="C475" s="317"/>
      <c r="D475" s="317"/>
      <c r="E475" s="317"/>
      <c r="F475" s="317"/>
      <c r="G475" s="317"/>
      <c r="H475" s="317"/>
      <c r="I475" s="317"/>
      <c r="J475" s="317"/>
      <c r="K475" s="317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>
      <c r="A476" s="317"/>
      <c r="B476" s="318"/>
      <c r="C476" s="317"/>
      <c r="D476" s="317"/>
      <c r="E476" s="317"/>
      <c r="F476" s="317"/>
      <c r="G476" s="317"/>
      <c r="H476" s="317"/>
      <c r="I476" s="317"/>
      <c r="J476" s="317"/>
      <c r="K476" s="317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>
      <c r="A477" s="317"/>
      <c r="B477" s="318"/>
      <c r="C477" s="317"/>
      <c r="D477" s="317"/>
      <c r="E477" s="317"/>
      <c r="F477" s="317"/>
      <c r="G477" s="317"/>
      <c r="H477" s="317"/>
      <c r="I477" s="317"/>
      <c r="J477" s="317"/>
      <c r="K477" s="317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>
      <c r="A478" s="317"/>
      <c r="B478" s="318"/>
      <c r="C478" s="317"/>
      <c r="D478" s="317"/>
      <c r="E478" s="317"/>
      <c r="F478" s="317"/>
      <c r="G478" s="317"/>
      <c r="H478" s="317"/>
      <c r="I478" s="317"/>
      <c r="J478" s="317"/>
      <c r="K478" s="317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>
      <c r="A479" s="317"/>
      <c r="B479" s="318"/>
      <c r="C479" s="317"/>
      <c r="D479" s="317"/>
      <c r="E479" s="317"/>
      <c r="F479" s="317"/>
      <c r="G479" s="317"/>
      <c r="H479" s="317"/>
      <c r="I479" s="317"/>
      <c r="J479" s="317"/>
      <c r="K479" s="317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>
      <c r="A480" s="317"/>
      <c r="B480" s="318"/>
      <c r="C480" s="317"/>
      <c r="D480" s="317"/>
      <c r="E480" s="317"/>
      <c r="F480" s="317"/>
      <c r="G480" s="317"/>
      <c r="H480" s="317"/>
      <c r="I480" s="317"/>
      <c r="J480" s="317"/>
      <c r="K480" s="317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>
      <c r="A481" s="317"/>
      <c r="B481" s="318"/>
      <c r="C481" s="317"/>
      <c r="D481" s="317"/>
      <c r="E481" s="317"/>
      <c r="F481" s="317"/>
      <c r="G481" s="317"/>
      <c r="H481" s="317"/>
      <c r="I481" s="317"/>
      <c r="J481" s="317"/>
      <c r="K481" s="317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>
      <c r="A482" s="317"/>
      <c r="B482" s="318"/>
      <c r="C482" s="317"/>
      <c r="D482" s="317"/>
      <c r="E482" s="317"/>
      <c r="F482" s="317"/>
      <c r="G482" s="317"/>
      <c r="H482" s="317"/>
      <c r="I482" s="317"/>
      <c r="J482" s="317"/>
      <c r="K482" s="317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>
      <c r="A483" s="317"/>
      <c r="B483" s="318"/>
      <c r="C483" s="317"/>
      <c r="D483" s="317"/>
      <c r="E483" s="317"/>
      <c r="F483" s="317"/>
      <c r="G483" s="317"/>
      <c r="H483" s="317"/>
      <c r="I483" s="317"/>
      <c r="J483" s="317"/>
      <c r="K483" s="317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>
      <c r="A484" s="317"/>
      <c r="B484" s="318"/>
      <c r="C484" s="317"/>
      <c r="D484" s="317"/>
      <c r="E484" s="317"/>
      <c r="F484" s="317"/>
      <c r="G484" s="317"/>
      <c r="H484" s="317"/>
      <c r="I484" s="317"/>
      <c r="J484" s="317"/>
      <c r="K484" s="317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>
      <c r="A485" s="317"/>
      <c r="B485" s="318"/>
      <c r="C485" s="317"/>
      <c r="D485" s="317"/>
      <c r="E485" s="317"/>
      <c r="F485" s="317"/>
      <c r="G485" s="317"/>
      <c r="H485" s="317"/>
      <c r="I485" s="317"/>
      <c r="J485" s="317"/>
      <c r="K485" s="317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>
      <c r="A486" s="317"/>
      <c r="B486" s="318"/>
      <c r="C486" s="317"/>
      <c r="D486" s="317"/>
      <c r="E486" s="317"/>
      <c r="F486" s="317"/>
      <c r="G486" s="317"/>
      <c r="H486" s="317"/>
      <c r="I486" s="317"/>
      <c r="J486" s="317"/>
      <c r="K486" s="317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>
      <c r="A487" s="317"/>
      <c r="B487" s="318"/>
      <c r="C487" s="317"/>
      <c r="D487" s="317"/>
      <c r="E487" s="317"/>
      <c r="F487" s="317"/>
      <c r="G487" s="317"/>
      <c r="H487" s="317"/>
      <c r="I487" s="317"/>
      <c r="J487" s="317"/>
      <c r="K487" s="317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>
      <c r="A488" s="317"/>
      <c r="B488" s="318"/>
      <c r="C488" s="317"/>
      <c r="D488" s="317"/>
      <c r="E488" s="317"/>
      <c r="F488" s="317"/>
      <c r="G488" s="317"/>
      <c r="H488" s="317"/>
      <c r="I488" s="317"/>
      <c r="J488" s="317"/>
      <c r="K488" s="317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>
      <c r="A489" s="317"/>
      <c r="B489" s="318"/>
      <c r="C489" s="317"/>
      <c r="D489" s="317"/>
      <c r="E489" s="317"/>
      <c r="F489" s="317"/>
      <c r="G489" s="317"/>
      <c r="H489" s="317"/>
      <c r="I489" s="317"/>
      <c r="J489" s="317"/>
      <c r="K489" s="317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>
      <c r="A490" s="317"/>
      <c r="B490" s="318"/>
      <c r="C490" s="317"/>
      <c r="D490" s="317"/>
      <c r="E490" s="317"/>
      <c r="F490" s="317"/>
      <c r="G490" s="317"/>
      <c r="H490" s="317"/>
      <c r="I490" s="317"/>
      <c r="J490" s="317"/>
      <c r="K490" s="317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>
      <c r="A491" s="317"/>
      <c r="B491" s="318"/>
      <c r="C491" s="317"/>
      <c r="D491" s="317"/>
      <c r="E491" s="317"/>
      <c r="F491" s="317"/>
      <c r="G491" s="317"/>
      <c r="H491" s="317"/>
      <c r="I491" s="317"/>
      <c r="J491" s="317"/>
      <c r="K491" s="317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>
      <c r="A492" s="317"/>
      <c r="B492" s="318"/>
      <c r="C492" s="317"/>
      <c r="D492" s="317"/>
      <c r="E492" s="317"/>
      <c r="F492" s="317"/>
      <c r="G492" s="317"/>
      <c r="H492" s="317"/>
      <c r="I492" s="317"/>
      <c r="J492" s="317"/>
      <c r="K492" s="317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>
      <c r="A493" s="317"/>
      <c r="B493" s="318"/>
      <c r="C493" s="317"/>
      <c r="D493" s="317"/>
      <c r="E493" s="317"/>
      <c r="F493" s="317"/>
      <c r="G493" s="317"/>
      <c r="H493" s="317"/>
      <c r="I493" s="317"/>
      <c r="J493" s="317"/>
      <c r="K493" s="317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>
      <c r="A494" s="317"/>
      <c r="B494" s="318"/>
      <c r="C494" s="317"/>
      <c r="D494" s="317"/>
      <c r="E494" s="317"/>
      <c r="F494" s="317"/>
      <c r="G494" s="317"/>
      <c r="H494" s="317"/>
      <c r="I494" s="317"/>
      <c r="J494" s="317"/>
      <c r="K494" s="317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>
      <c r="A495" s="317"/>
      <c r="B495" s="318"/>
      <c r="C495" s="317"/>
      <c r="D495" s="317"/>
      <c r="E495" s="317"/>
      <c r="F495" s="317"/>
      <c r="G495" s="317"/>
      <c r="H495" s="317"/>
      <c r="I495" s="317"/>
      <c r="J495" s="317"/>
      <c r="K495" s="317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>
      <c r="A496" s="317"/>
      <c r="B496" s="318"/>
      <c r="C496" s="317"/>
      <c r="D496" s="317"/>
      <c r="E496" s="317"/>
      <c r="F496" s="317"/>
      <c r="G496" s="317"/>
      <c r="H496" s="317"/>
      <c r="I496" s="317"/>
      <c r="J496" s="317"/>
      <c r="K496" s="317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>
      <c r="A497" s="317"/>
      <c r="B497" s="318"/>
      <c r="C497" s="317"/>
      <c r="D497" s="317"/>
      <c r="E497" s="317"/>
      <c r="F497" s="317"/>
      <c r="G497" s="317"/>
      <c r="H497" s="317"/>
      <c r="I497" s="317"/>
      <c r="J497" s="317"/>
      <c r="K497" s="317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>
      <c r="A498" s="317"/>
      <c r="B498" s="318"/>
      <c r="C498" s="317"/>
      <c r="D498" s="317"/>
      <c r="E498" s="317"/>
      <c r="F498" s="317"/>
      <c r="G498" s="317"/>
      <c r="H498" s="317"/>
      <c r="I498" s="317"/>
      <c r="J498" s="317"/>
      <c r="K498" s="317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>
      <c r="A499" s="317"/>
      <c r="B499" s="318"/>
      <c r="C499" s="317"/>
      <c r="D499" s="317"/>
      <c r="E499" s="317"/>
      <c r="F499" s="317"/>
      <c r="G499" s="317"/>
      <c r="H499" s="317"/>
      <c r="I499" s="317"/>
      <c r="J499" s="317"/>
      <c r="K499" s="317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>
      <c r="A500" s="317"/>
      <c r="B500" s="318"/>
      <c r="C500" s="317"/>
      <c r="D500" s="317"/>
      <c r="E500" s="317"/>
      <c r="F500" s="317"/>
      <c r="G500" s="317"/>
      <c r="H500" s="317"/>
      <c r="I500" s="317"/>
      <c r="J500" s="317"/>
      <c r="K500" s="317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>
      <c r="A501" s="317"/>
      <c r="B501" s="318"/>
      <c r="C501" s="317"/>
      <c r="D501" s="317"/>
      <c r="E501" s="317"/>
      <c r="F501" s="317"/>
      <c r="G501" s="317"/>
      <c r="H501" s="317"/>
      <c r="I501" s="317"/>
      <c r="J501" s="317"/>
      <c r="K501" s="317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>
      <c r="A502" s="317"/>
      <c r="B502" s="318"/>
      <c r="C502" s="317"/>
      <c r="D502" s="317"/>
      <c r="E502" s="317"/>
      <c r="F502" s="317"/>
      <c r="G502" s="317"/>
      <c r="H502" s="317"/>
      <c r="I502" s="317"/>
      <c r="J502" s="317"/>
      <c r="K502" s="317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>
      <c r="A503" s="317"/>
      <c r="B503" s="318"/>
      <c r="C503" s="317"/>
      <c r="D503" s="317"/>
      <c r="E503" s="317"/>
      <c r="F503" s="317"/>
      <c r="G503" s="317"/>
      <c r="H503" s="317"/>
      <c r="I503" s="317"/>
      <c r="J503" s="317"/>
      <c r="K503" s="317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>
      <c r="A504" s="317"/>
      <c r="B504" s="318"/>
      <c r="C504" s="317"/>
      <c r="D504" s="317"/>
      <c r="E504" s="317"/>
      <c r="F504" s="317"/>
      <c r="G504" s="317"/>
      <c r="H504" s="317"/>
      <c r="I504" s="317"/>
      <c r="J504" s="317"/>
      <c r="K504" s="317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>
      <c r="A505" s="317"/>
      <c r="B505" s="318"/>
      <c r="C505" s="317"/>
      <c r="D505" s="317"/>
      <c r="E505" s="317"/>
      <c r="F505" s="317"/>
      <c r="G505" s="317"/>
      <c r="H505" s="317"/>
      <c r="I505" s="317"/>
      <c r="J505" s="317"/>
      <c r="K505" s="317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>
      <c r="A506" s="317"/>
      <c r="B506" s="318"/>
      <c r="C506" s="317"/>
      <c r="D506" s="317"/>
      <c r="E506" s="317"/>
      <c r="F506" s="317"/>
      <c r="G506" s="317"/>
      <c r="H506" s="317"/>
      <c r="I506" s="317"/>
      <c r="J506" s="317"/>
      <c r="K506" s="317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>
      <c r="A507" s="317"/>
      <c r="B507" s="318"/>
      <c r="C507" s="317"/>
      <c r="D507" s="317"/>
      <c r="E507" s="317"/>
      <c r="F507" s="317"/>
      <c r="G507" s="317"/>
      <c r="H507" s="317"/>
      <c r="I507" s="317"/>
      <c r="J507" s="317"/>
      <c r="K507" s="317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>
      <c r="A508" s="317"/>
      <c r="B508" s="318"/>
      <c r="C508" s="317"/>
      <c r="D508" s="317"/>
      <c r="E508" s="317"/>
      <c r="F508" s="317"/>
      <c r="G508" s="317"/>
      <c r="H508" s="317"/>
      <c r="I508" s="317"/>
      <c r="J508" s="317"/>
      <c r="K508" s="317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>
      <c r="A509" s="317"/>
      <c r="B509" s="318"/>
      <c r="C509" s="317"/>
      <c r="D509" s="317"/>
      <c r="E509" s="317"/>
      <c r="F509" s="317"/>
      <c r="G509" s="317"/>
      <c r="H509" s="317"/>
      <c r="I509" s="317"/>
      <c r="J509" s="317"/>
      <c r="K509" s="317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>
      <c r="A510" s="317"/>
      <c r="B510" s="318"/>
      <c r="C510" s="317"/>
      <c r="D510" s="317"/>
      <c r="E510" s="317"/>
      <c r="F510" s="317"/>
      <c r="G510" s="317"/>
      <c r="H510" s="317"/>
      <c r="I510" s="317"/>
      <c r="J510" s="317"/>
      <c r="K510" s="317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>
      <c r="A511" s="317"/>
      <c r="B511" s="318"/>
      <c r="C511" s="317"/>
      <c r="D511" s="317"/>
      <c r="E511" s="317"/>
      <c r="F511" s="317"/>
      <c r="G511" s="317"/>
      <c r="H511" s="317"/>
      <c r="I511" s="317"/>
      <c r="J511" s="317"/>
      <c r="K511" s="317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>
      <c r="A512" s="317"/>
      <c r="B512" s="318"/>
      <c r="C512" s="317"/>
      <c r="D512" s="317"/>
      <c r="E512" s="317"/>
      <c r="F512" s="317"/>
      <c r="G512" s="317"/>
      <c r="H512" s="317"/>
      <c r="I512" s="317"/>
      <c r="J512" s="317"/>
      <c r="K512" s="317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>
      <c r="A513" s="317"/>
      <c r="B513" s="318"/>
      <c r="C513" s="317"/>
      <c r="D513" s="317"/>
      <c r="E513" s="317"/>
      <c r="F513" s="317"/>
      <c r="G513" s="317"/>
      <c r="H513" s="317"/>
      <c r="I513" s="317"/>
      <c r="J513" s="317"/>
      <c r="K513" s="317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>
      <c r="A514" s="317"/>
      <c r="B514" s="318"/>
      <c r="C514" s="317"/>
      <c r="D514" s="317"/>
      <c r="E514" s="317"/>
      <c r="F514" s="317"/>
      <c r="G514" s="317"/>
      <c r="H514" s="317"/>
      <c r="I514" s="317"/>
      <c r="J514" s="317"/>
      <c r="K514" s="317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>
      <c r="A515" s="317"/>
      <c r="B515" s="318"/>
      <c r="C515" s="317"/>
      <c r="D515" s="317"/>
      <c r="E515" s="317"/>
      <c r="F515" s="317"/>
      <c r="G515" s="317"/>
      <c r="H515" s="317"/>
      <c r="I515" s="317"/>
      <c r="J515" s="317"/>
      <c r="K515" s="317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>
      <c r="A516" s="317"/>
      <c r="B516" s="318"/>
      <c r="C516" s="317"/>
      <c r="D516" s="317"/>
      <c r="E516" s="317"/>
      <c r="F516" s="317"/>
      <c r="G516" s="317"/>
      <c r="H516" s="317"/>
      <c r="I516" s="317"/>
      <c r="J516" s="317"/>
      <c r="K516" s="317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>
      <c r="A517" s="317"/>
      <c r="B517" s="318"/>
      <c r="C517" s="317"/>
      <c r="D517" s="317"/>
      <c r="E517" s="317"/>
      <c r="F517" s="317"/>
      <c r="G517" s="317"/>
      <c r="H517" s="317"/>
      <c r="I517" s="317"/>
      <c r="J517" s="317"/>
      <c r="K517" s="317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>
      <c r="A518" s="317"/>
      <c r="B518" s="318"/>
      <c r="C518" s="317"/>
      <c r="D518" s="317"/>
      <c r="E518" s="317"/>
      <c r="F518" s="317"/>
      <c r="G518" s="317"/>
      <c r="H518" s="317"/>
      <c r="I518" s="317"/>
      <c r="J518" s="317"/>
      <c r="K518" s="317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>
      <c r="A519" s="317"/>
      <c r="B519" s="318"/>
      <c r="C519" s="317"/>
      <c r="D519" s="317"/>
      <c r="E519" s="317"/>
      <c r="F519" s="317"/>
      <c r="G519" s="317"/>
      <c r="H519" s="317"/>
      <c r="I519" s="317"/>
      <c r="J519" s="317"/>
      <c r="K519" s="317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>
      <c r="A520" s="317"/>
      <c r="B520" s="318"/>
      <c r="C520" s="317"/>
      <c r="D520" s="317"/>
      <c r="E520" s="317"/>
      <c r="F520" s="317"/>
      <c r="G520" s="317"/>
      <c r="H520" s="317"/>
      <c r="I520" s="317"/>
      <c r="J520" s="317"/>
      <c r="K520" s="317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>
      <c r="A521" s="317"/>
      <c r="B521" s="318"/>
      <c r="C521" s="317"/>
      <c r="D521" s="317"/>
      <c r="E521" s="317"/>
      <c r="F521" s="317"/>
      <c r="G521" s="317"/>
      <c r="H521" s="317"/>
      <c r="I521" s="317"/>
      <c r="J521" s="317"/>
      <c r="K521" s="317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>
      <c r="A522" s="317"/>
      <c r="B522" s="318"/>
      <c r="C522" s="317"/>
      <c r="D522" s="317"/>
      <c r="E522" s="317"/>
      <c r="F522" s="317"/>
      <c r="G522" s="317"/>
      <c r="H522" s="317"/>
      <c r="I522" s="317"/>
      <c r="J522" s="317"/>
      <c r="K522" s="317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>
      <c r="A523" s="317"/>
      <c r="B523" s="318"/>
      <c r="C523" s="317"/>
      <c r="D523" s="317"/>
      <c r="E523" s="317"/>
      <c r="F523" s="317"/>
      <c r="G523" s="317"/>
      <c r="H523" s="317"/>
      <c r="I523" s="317"/>
      <c r="J523" s="317"/>
      <c r="K523" s="317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>
      <c r="A524" s="317"/>
      <c r="B524" s="318"/>
      <c r="C524" s="317"/>
      <c r="D524" s="317"/>
      <c r="E524" s="317"/>
      <c r="F524" s="317"/>
      <c r="G524" s="317"/>
      <c r="H524" s="317"/>
      <c r="I524" s="317"/>
      <c r="J524" s="317"/>
      <c r="K524" s="317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>
      <c r="A525" s="317"/>
      <c r="B525" s="318"/>
      <c r="C525" s="317"/>
      <c r="D525" s="317"/>
      <c r="E525" s="317"/>
      <c r="F525" s="317"/>
      <c r="G525" s="317"/>
      <c r="H525" s="317"/>
      <c r="I525" s="317"/>
      <c r="J525" s="317"/>
      <c r="K525" s="317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>
      <c r="A526" s="317"/>
      <c r="B526" s="318"/>
      <c r="C526" s="317"/>
      <c r="D526" s="317"/>
      <c r="E526" s="317"/>
      <c r="F526" s="317"/>
      <c r="G526" s="317"/>
      <c r="H526" s="317"/>
      <c r="I526" s="317"/>
      <c r="J526" s="317"/>
      <c r="K526" s="317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>
      <c r="A527" s="317"/>
      <c r="B527" s="318"/>
      <c r="C527" s="317"/>
      <c r="D527" s="317"/>
      <c r="E527" s="317"/>
      <c r="F527" s="317"/>
      <c r="G527" s="317"/>
      <c r="H527" s="317"/>
      <c r="I527" s="317"/>
      <c r="J527" s="317"/>
      <c r="K527" s="317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>
      <c r="A528" s="317"/>
      <c r="B528" s="318"/>
      <c r="C528" s="317"/>
      <c r="D528" s="317"/>
      <c r="E528" s="317"/>
      <c r="F528" s="317"/>
      <c r="G528" s="317"/>
      <c r="H528" s="317"/>
      <c r="I528" s="317"/>
      <c r="J528" s="317"/>
      <c r="K528" s="317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>
      <c r="A529" s="317"/>
      <c r="B529" s="318"/>
      <c r="C529" s="317"/>
      <c r="D529" s="317"/>
      <c r="E529" s="317"/>
      <c r="F529" s="317"/>
      <c r="G529" s="317"/>
      <c r="H529" s="317"/>
      <c r="I529" s="317"/>
      <c r="J529" s="317"/>
      <c r="K529" s="317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>
      <c r="A530" s="317"/>
      <c r="B530" s="318"/>
      <c r="C530" s="317"/>
      <c r="D530" s="317"/>
      <c r="E530" s="317"/>
      <c r="F530" s="317"/>
      <c r="G530" s="317"/>
      <c r="H530" s="317"/>
      <c r="I530" s="317"/>
      <c r="J530" s="317"/>
      <c r="K530" s="317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>
      <c r="A531" s="317"/>
      <c r="B531" s="318"/>
      <c r="C531" s="317"/>
      <c r="D531" s="317"/>
      <c r="E531" s="317"/>
      <c r="F531" s="317"/>
      <c r="G531" s="317"/>
      <c r="H531" s="317"/>
      <c r="I531" s="317"/>
      <c r="J531" s="317"/>
      <c r="K531" s="317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>
      <c r="A532" s="317"/>
      <c r="B532" s="318"/>
      <c r="C532" s="317"/>
      <c r="D532" s="317"/>
      <c r="E532" s="317"/>
      <c r="F532" s="317"/>
      <c r="G532" s="317"/>
      <c r="H532" s="317"/>
      <c r="I532" s="317"/>
      <c r="J532" s="317"/>
      <c r="K532" s="317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>
      <c r="A533" s="317"/>
      <c r="B533" s="318"/>
      <c r="C533" s="317"/>
      <c r="D533" s="317"/>
      <c r="E533" s="317"/>
      <c r="F533" s="317"/>
      <c r="G533" s="317"/>
      <c r="H533" s="317"/>
      <c r="I533" s="317"/>
      <c r="J533" s="317"/>
      <c r="K533" s="317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>
      <c r="A534" s="317"/>
      <c r="B534" s="318"/>
      <c r="C534" s="317"/>
      <c r="D534" s="317"/>
      <c r="E534" s="317"/>
      <c r="F534" s="317"/>
      <c r="G534" s="317"/>
      <c r="H534" s="317"/>
      <c r="I534" s="317"/>
      <c r="J534" s="317"/>
      <c r="K534" s="317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>
      <c r="A535" s="317"/>
      <c r="B535" s="318"/>
      <c r="C535" s="317"/>
      <c r="D535" s="317"/>
      <c r="E535" s="317"/>
      <c r="F535" s="317"/>
      <c r="G535" s="317"/>
      <c r="H535" s="317"/>
      <c r="I535" s="317"/>
      <c r="J535" s="317"/>
      <c r="K535" s="317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>
      <c r="A536" s="317"/>
      <c r="B536" s="318"/>
      <c r="C536" s="317"/>
      <c r="D536" s="317"/>
      <c r="E536" s="317"/>
      <c r="F536" s="317"/>
      <c r="G536" s="317"/>
      <c r="H536" s="317"/>
      <c r="I536" s="317"/>
      <c r="J536" s="317"/>
      <c r="K536" s="317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>
      <c r="A537" s="317"/>
      <c r="B537" s="318"/>
      <c r="C537" s="317"/>
      <c r="D537" s="317"/>
      <c r="E537" s="317"/>
      <c r="F537" s="317"/>
      <c r="G537" s="317"/>
      <c r="H537" s="317"/>
      <c r="I537" s="317"/>
      <c r="J537" s="317"/>
      <c r="K537" s="317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>
      <c r="A538" s="317"/>
      <c r="B538" s="318"/>
      <c r="C538" s="317"/>
      <c r="D538" s="317"/>
      <c r="E538" s="317"/>
      <c r="F538" s="317"/>
      <c r="G538" s="317"/>
      <c r="H538" s="317"/>
      <c r="I538" s="317"/>
      <c r="J538" s="317"/>
      <c r="K538" s="317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>
      <c r="A539" s="317"/>
      <c r="B539" s="318"/>
      <c r="C539" s="317"/>
      <c r="D539" s="317"/>
      <c r="E539" s="317"/>
      <c r="F539" s="317"/>
      <c r="G539" s="317"/>
      <c r="H539" s="317"/>
      <c r="I539" s="317"/>
      <c r="J539" s="317"/>
      <c r="K539" s="317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>
      <c r="A540" s="317"/>
      <c r="B540" s="318"/>
      <c r="C540" s="317"/>
      <c r="D540" s="317"/>
      <c r="E540" s="317"/>
      <c r="F540" s="317"/>
      <c r="G540" s="317"/>
      <c r="H540" s="317"/>
      <c r="I540" s="317"/>
      <c r="J540" s="317"/>
      <c r="K540" s="317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>
      <c r="A541" s="317"/>
      <c r="B541" s="318"/>
      <c r="C541" s="317"/>
      <c r="D541" s="317"/>
      <c r="E541" s="317"/>
      <c r="F541" s="317"/>
      <c r="G541" s="317"/>
      <c r="H541" s="317"/>
      <c r="I541" s="317"/>
      <c r="J541" s="317"/>
      <c r="K541" s="317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>
      <c r="A542" s="317"/>
      <c r="B542" s="318"/>
      <c r="C542" s="317"/>
      <c r="D542" s="317"/>
      <c r="E542" s="317"/>
      <c r="F542" s="317"/>
      <c r="G542" s="317"/>
      <c r="H542" s="317"/>
      <c r="I542" s="317"/>
      <c r="J542" s="317"/>
      <c r="K542" s="317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>
      <c r="A543" s="317"/>
      <c r="B543" s="318"/>
      <c r="C543" s="317"/>
      <c r="D543" s="317"/>
      <c r="E543" s="317"/>
      <c r="F543" s="317"/>
      <c r="G543" s="317"/>
      <c r="H543" s="317"/>
      <c r="I543" s="317"/>
      <c r="J543" s="317"/>
      <c r="K543" s="317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>
      <c r="A544" s="317"/>
      <c r="B544" s="318"/>
      <c r="C544" s="317"/>
      <c r="D544" s="317"/>
      <c r="E544" s="317"/>
      <c r="F544" s="317"/>
      <c r="G544" s="317"/>
      <c r="H544" s="317"/>
      <c r="I544" s="317"/>
      <c r="J544" s="317"/>
      <c r="K544" s="317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>
      <c r="A545" s="317"/>
      <c r="B545" s="318"/>
      <c r="C545" s="317"/>
      <c r="D545" s="317"/>
      <c r="E545" s="317"/>
      <c r="F545" s="317"/>
      <c r="G545" s="317"/>
      <c r="H545" s="317"/>
      <c r="I545" s="317"/>
      <c r="J545" s="317"/>
      <c r="K545" s="317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>
      <c r="A546" s="317"/>
      <c r="B546" s="318"/>
      <c r="C546" s="317"/>
      <c r="D546" s="317"/>
      <c r="E546" s="317"/>
      <c r="F546" s="317"/>
      <c r="G546" s="317"/>
      <c r="H546" s="317"/>
      <c r="I546" s="317"/>
      <c r="J546" s="317"/>
      <c r="K546" s="317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>
      <c r="A547" s="317"/>
      <c r="B547" s="318"/>
      <c r="C547" s="317"/>
      <c r="D547" s="317"/>
      <c r="E547" s="317"/>
      <c r="F547" s="317"/>
      <c r="G547" s="317"/>
      <c r="H547" s="317"/>
      <c r="I547" s="317"/>
      <c r="J547" s="317"/>
      <c r="K547" s="317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>
      <c r="A548" s="317"/>
      <c r="B548" s="318"/>
      <c r="C548" s="317"/>
      <c r="D548" s="317"/>
      <c r="E548" s="317"/>
      <c r="F548" s="317"/>
      <c r="G548" s="317"/>
      <c r="H548" s="317"/>
      <c r="I548" s="317"/>
      <c r="J548" s="317"/>
      <c r="K548" s="317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>
      <c r="A549" s="317"/>
      <c r="B549" s="318"/>
      <c r="C549" s="317"/>
      <c r="D549" s="317"/>
      <c r="E549" s="317"/>
      <c r="F549" s="317"/>
      <c r="G549" s="317"/>
      <c r="H549" s="317"/>
      <c r="I549" s="317"/>
      <c r="J549" s="317"/>
      <c r="K549" s="317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>
      <c r="A550" s="317"/>
      <c r="B550" s="318"/>
      <c r="C550" s="317"/>
      <c r="D550" s="317"/>
      <c r="E550" s="317"/>
      <c r="F550" s="317"/>
      <c r="G550" s="317"/>
      <c r="H550" s="317"/>
      <c r="I550" s="317"/>
      <c r="J550" s="317"/>
      <c r="K550" s="317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>
      <c r="A551" s="317"/>
      <c r="B551" s="318"/>
      <c r="C551" s="317"/>
      <c r="D551" s="317"/>
      <c r="E551" s="317"/>
      <c r="F551" s="317"/>
      <c r="G551" s="317"/>
      <c r="H551" s="317"/>
      <c r="I551" s="317"/>
      <c r="J551" s="317"/>
      <c r="K551" s="317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>
      <c r="A552" s="317"/>
      <c r="B552" s="318"/>
      <c r="C552" s="317"/>
      <c r="D552" s="317"/>
      <c r="E552" s="317"/>
      <c r="F552" s="317"/>
      <c r="G552" s="317"/>
      <c r="H552" s="317"/>
      <c r="I552" s="317"/>
      <c r="J552" s="317"/>
      <c r="K552" s="317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>
      <c r="A553" s="317"/>
      <c r="B553" s="318"/>
      <c r="C553" s="317"/>
      <c r="D553" s="317"/>
      <c r="E553" s="317"/>
      <c r="F553" s="317"/>
      <c r="G553" s="317"/>
      <c r="H553" s="317"/>
      <c r="I553" s="317"/>
      <c r="J553" s="317"/>
      <c r="K553" s="317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>
      <c r="A554" s="317"/>
      <c r="B554" s="318"/>
      <c r="C554" s="317"/>
      <c r="D554" s="317"/>
      <c r="E554" s="317"/>
      <c r="F554" s="317"/>
      <c r="G554" s="317"/>
      <c r="H554" s="317"/>
      <c r="I554" s="317"/>
      <c r="J554" s="317"/>
      <c r="K554" s="317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>
      <c r="A555" s="317"/>
      <c r="B555" s="318"/>
      <c r="C555" s="317"/>
      <c r="D555" s="317"/>
      <c r="E555" s="317"/>
      <c r="F555" s="317"/>
      <c r="G555" s="317"/>
      <c r="H555" s="317"/>
      <c r="I555" s="317"/>
      <c r="J555" s="317"/>
      <c r="K555" s="317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>
      <c r="A556" s="317"/>
      <c r="B556" s="318"/>
      <c r="C556" s="317"/>
      <c r="D556" s="317"/>
      <c r="E556" s="317"/>
      <c r="F556" s="317"/>
      <c r="G556" s="317"/>
      <c r="H556" s="317"/>
      <c r="I556" s="317"/>
      <c r="J556" s="317"/>
      <c r="K556" s="317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>
      <c r="A557" s="317"/>
      <c r="B557" s="318"/>
      <c r="C557" s="317"/>
      <c r="D557" s="317"/>
      <c r="E557" s="317"/>
      <c r="F557" s="317"/>
      <c r="G557" s="317"/>
      <c r="H557" s="317"/>
      <c r="I557" s="317"/>
      <c r="J557" s="317"/>
      <c r="K557" s="317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>
      <c r="A558" s="317"/>
      <c r="B558" s="318"/>
      <c r="C558" s="317"/>
      <c r="D558" s="317"/>
      <c r="E558" s="317"/>
      <c r="F558" s="317"/>
      <c r="G558" s="317"/>
      <c r="H558" s="317"/>
      <c r="I558" s="317"/>
      <c r="J558" s="317"/>
      <c r="K558" s="317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>
      <c r="A559" s="317"/>
      <c r="B559" s="318"/>
      <c r="C559" s="317"/>
      <c r="D559" s="317"/>
      <c r="E559" s="317"/>
      <c r="F559" s="317"/>
      <c r="G559" s="317"/>
      <c r="H559" s="317"/>
      <c r="I559" s="317"/>
      <c r="J559" s="317"/>
      <c r="K559" s="317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>
      <c r="A560" s="317"/>
      <c r="B560" s="318"/>
      <c r="C560" s="317"/>
      <c r="D560" s="317"/>
      <c r="E560" s="317"/>
      <c r="F560" s="317"/>
      <c r="G560" s="317"/>
      <c r="H560" s="317"/>
      <c r="I560" s="317"/>
      <c r="J560" s="317"/>
      <c r="K560" s="317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>
      <c r="A561" s="317"/>
      <c r="B561" s="318"/>
      <c r="C561" s="317"/>
      <c r="D561" s="317"/>
      <c r="E561" s="317"/>
      <c r="F561" s="317"/>
      <c r="G561" s="317"/>
      <c r="H561" s="317"/>
      <c r="I561" s="317"/>
      <c r="J561" s="317"/>
      <c r="K561" s="317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>
      <c r="A562" s="317"/>
      <c r="B562" s="318"/>
      <c r="C562" s="317"/>
      <c r="D562" s="317"/>
      <c r="E562" s="317"/>
      <c r="F562" s="317"/>
      <c r="G562" s="317"/>
      <c r="H562" s="317"/>
      <c r="I562" s="317"/>
      <c r="J562" s="317"/>
      <c r="K562" s="317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>
      <c r="A563" s="317"/>
      <c r="B563" s="318"/>
      <c r="C563" s="317"/>
      <c r="D563" s="317"/>
      <c r="E563" s="317"/>
      <c r="F563" s="317"/>
      <c r="G563" s="317"/>
      <c r="H563" s="317"/>
      <c r="I563" s="317"/>
      <c r="J563" s="317"/>
      <c r="K563" s="317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>
      <c r="A564" s="317"/>
      <c r="B564" s="318"/>
      <c r="C564" s="317"/>
      <c r="D564" s="317"/>
      <c r="E564" s="317"/>
      <c r="F564" s="317"/>
      <c r="G564" s="317"/>
      <c r="H564" s="317"/>
      <c r="I564" s="317"/>
      <c r="J564" s="317"/>
      <c r="K564" s="317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>
      <c r="A565" s="317"/>
      <c r="B565" s="318"/>
      <c r="C565" s="317"/>
      <c r="D565" s="317"/>
      <c r="E565" s="317"/>
      <c r="F565" s="317"/>
      <c r="G565" s="317"/>
      <c r="H565" s="317"/>
      <c r="I565" s="317"/>
      <c r="J565" s="317"/>
      <c r="K565" s="317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>
      <c r="A566" s="317"/>
      <c r="B566" s="318"/>
      <c r="C566" s="317"/>
      <c r="D566" s="317"/>
      <c r="E566" s="317"/>
      <c r="F566" s="317"/>
      <c r="G566" s="317"/>
      <c r="H566" s="317"/>
      <c r="I566" s="317"/>
      <c r="J566" s="317"/>
      <c r="K566" s="317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>
      <c r="A567" s="317"/>
      <c r="B567" s="318"/>
      <c r="C567" s="317"/>
      <c r="D567" s="317"/>
      <c r="E567" s="317"/>
      <c r="F567" s="317"/>
      <c r="G567" s="317"/>
      <c r="H567" s="317"/>
      <c r="I567" s="317"/>
      <c r="J567" s="317"/>
      <c r="K567" s="317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>
      <c r="A568" s="317"/>
      <c r="B568" s="318"/>
      <c r="C568" s="317"/>
      <c r="D568" s="317"/>
      <c r="E568" s="317"/>
      <c r="F568" s="317"/>
      <c r="G568" s="317"/>
      <c r="H568" s="317"/>
      <c r="I568" s="317"/>
      <c r="J568" s="317"/>
      <c r="K568" s="317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>
      <c r="A569" s="317"/>
      <c r="B569" s="318"/>
      <c r="C569" s="317"/>
      <c r="D569" s="317"/>
      <c r="E569" s="317"/>
      <c r="F569" s="317"/>
      <c r="G569" s="317"/>
      <c r="H569" s="317"/>
      <c r="I569" s="317"/>
      <c r="J569" s="317"/>
      <c r="K569" s="317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>
      <c r="A570" s="317"/>
      <c r="B570" s="318"/>
      <c r="C570" s="317"/>
      <c r="D570" s="317"/>
      <c r="E570" s="317"/>
      <c r="F570" s="317"/>
      <c r="G570" s="317"/>
      <c r="H570" s="317"/>
      <c r="I570" s="317"/>
      <c r="J570" s="317"/>
      <c r="K570" s="317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>
      <c r="A571" s="317"/>
      <c r="B571" s="318"/>
      <c r="C571" s="317"/>
      <c r="D571" s="317"/>
      <c r="E571" s="317"/>
      <c r="F571" s="317"/>
      <c r="G571" s="317"/>
      <c r="H571" s="317"/>
      <c r="I571" s="317"/>
      <c r="J571" s="317"/>
      <c r="K571" s="317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>
      <c r="A572" s="317"/>
      <c r="B572" s="318"/>
      <c r="C572" s="317"/>
      <c r="D572" s="317"/>
      <c r="E572" s="317"/>
      <c r="F572" s="317"/>
      <c r="G572" s="317"/>
      <c r="H572" s="317"/>
      <c r="I572" s="317"/>
      <c r="J572" s="317"/>
      <c r="K572" s="317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>
      <c r="A573" s="317"/>
      <c r="B573" s="318"/>
      <c r="C573" s="317"/>
      <c r="D573" s="317"/>
      <c r="E573" s="317"/>
      <c r="F573" s="317"/>
      <c r="G573" s="317"/>
      <c r="H573" s="317"/>
      <c r="I573" s="317"/>
      <c r="J573" s="317"/>
      <c r="K573" s="317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>
      <c r="A574" s="317"/>
      <c r="B574" s="318"/>
      <c r="C574" s="317"/>
      <c r="D574" s="317"/>
      <c r="E574" s="317"/>
      <c r="F574" s="317"/>
      <c r="G574" s="317"/>
      <c r="H574" s="317"/>
      <c r="I574" s="317"/>
      <c r="J574" s="317"/>
      <c r="K574" s="317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>
      <c r="A575" s="317"/>
      <c r="B575" s="318"/>
      <c r="C575" s="317"/>
      <c r="D575" s="317"/>
      <c r="E575" s="317"/>
      <c r="F575" s="317"/>
      <c r="G575" s="317"/>
      <c r="H575" s="317"/>
      <c r="I575" s="317"/>
      <c r="J575" s="317"/>
      <c r="K575" s="317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>
      <c r="A576" s="317"/>
      <c r="B576" s="318"/>
      <c r="C576" s="317"/>
      <c r="D576" s="317"/>
      <c r="E576" s="317"/>
      <c r="F576" s="317"/>
      <c r="G576" s="317"/>
      <c r="H576" s="317"/>
      <c r="I576" s="317"/>
      <c r="J576" s="317"/>
      <c r="K576" s="317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>
      <c r="A577" s="317"/>
      <c r="B577" s="318"/>
      <c r="C577" s="317"/>
      <c r="D577" s="317"/>
      <c r="E577" s="317"/>
      <c r="F577" s="317"/>
      <c r="G577" s="317"/>
      <c r="H577" s="317"/>
      <c r="I577" s="317"/>
      <c r="J577" s="317"/>
      <c r="K577" s="317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>
      <c r="A578" s="317"/>
      <c r="B578" s="318"/>
      <c r="C578" s="317"/>
      <c r="D578" s="317"/>
      <c r="E578" s="317"/>
      <c r="F578" s="317"/>
      <c r="G578" s="317"/>
      <c r="H578" s="317"/>
      <c r="I578" s="317"/>
      <c r="J578" s="317"/>
      <c r="K578" s="317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>
      <c r="A579" s="317"/>
      <c r="B579" s="318"/>
      <c r="C579" s="317"/>
      <c r="D579" s="317"/>
      <c r="E579" s="317"/>
      <c r="F579" s="317"/>
      <c r="G579" s="317"/>
      <c r="H579" s="317"/>
      <c r="I579" s="317"/>
      <c r="J579" s="317"/>
      <c r="K579" s="317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>
      <c r="A580" s="317"/>
      <c r="B580" s="318"/>
      <c r="C580" s="317"/>
      <c r="D580" s="317"/>
      <c r="E580" s="317"/>
      <c r="F580" s="317"/>
      <c r="G580" s="317"/>
      <c r="H580" s="317"/>
      <c r="I580" s="317"/>
      <c r="J580" s="317"/>
      <c r="K580" s="317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>
      <c r="A581" s="317"/>
      <c r="B581" s="318"/>
      <c r="C581" s="317"/>
      <c r="D581" s="317"/>
      <c r="E581" s="317"/>
      <c r="F581" s="317"/>
      <c r="G581" s="317"/>
      <c r="H581" s="317"/>
      <c r="I581" s="317"/>
      <c r="J581" s="317"/>
      <c r="K581" s="317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>
      <c r="A582" s="317"/>
      <c r="B582" s="318"/>
      <c r="C582" s="317"/>
      <c r="D582" s="317"/>
      <c r="E582" s="317"/>
      <c r="F582" s="317"/>
      <c r="G582" s="317"/>
      <c r="H582" s="317"/>
      <c r="I582" s="317"/>
      <c r="J582" s="317"/>
      <c r="K582" s="317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>
      <c r="A583" s="317"/>
      <c r="B583" s="318"/>
      <c r="C583" s="317"/>
      <c r="D583" s="317"/>
      <c r="E583" s="317"/>
      <c r="F583" s="317"/>
      <c r="G583" s="317"/>
      <c r="H583" s="317"/>
      <c r="I583" s="317"/>
      <c r="J583" s="317"/>
      <c r="K583" s="317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>
      <c r="A584" s="317"/>
      <c r="B584" s="318"/>
      <c r="C584" s="317"/>
      <c r="D584" s="317"/>
      <c r="E584" s="317"/>
      <c r="F584" s="317"/>
      <c r="G584" s="317"/>
      <c r="H584" s="317"/>
      <c r="I584" s="317"/>
      <c r="J584" s="317"/>
      <c r="K584" s="317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>
      <c r="A585" s="317"/>
      <c r="B585" s="318"/>
      <c r="C585" s="317"/>
      <c r="D585" s="317"/>
      <c r="E585" s="317"/>
      <c r="F585" s="317"/>
      <c r="G585" s="317"/>
      <c r="H585" s="317"/>
      <c r="I585" s="317"/>
      <c r="J585" s="317"/>
      <c r="K585" s="317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>
      <c r="A586" s="317"/>
      <c r="B586" s="318"/>
      <c r="C586" s="317"/>
      <c r="D586" s="317"/>
      <c r="E586" s="317"/>
      <c r="F586" s="317"/>
      <c r="G586" s="317"/>
      <c r="H586" s="317"/>
      <c r="I586" s="317"/>
      <c r="J586" s="317"/>
      <c r="K586" s="317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>
      <c r="A587" s="317"/>
      <c r="B587" s="318"/>
      <c r="C587" s="317"/>
      <c r="D587" s="317"/>
      <c r="E587" s="317"/>
      <c r="F587" s="317"/>
      <c r="G587" s="317"/>
      <c r="H587" s="317"/>
      <c r="I587" s="317"/>
      <c r="J587" s="317"/>
      <c r="K587" s="317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>
      <c r="A588" s="317"/>
      <c r="B588" s="318"/>
      <c r="C588" s="317"/>
      <c r="D588" s="317"/>
      <c r="E588" s="317"/>
      <c r="F588" s="317"/>
      <c r="G588" s="317"/>
      <c r="H588" s="317"/>
      <c r="I588" s="317"/>
      <c r="J588" s="317"/>
      <c r="K588" s="317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>
      <c r="A589" s="317"/>
      <c r="B589" s="318"/>
      <c r="C589" s="317"/>
      <c r="D589" s="317"/>
      <c r="E589" s="317"/>
      <c r="F589" s="317"/>
      <c r="G589" s="317"/>
      <c r="H589" s="317"/>
      <c r="I589" s="317"/>
      <c r="J589" s="317"/>
      <c r="K589" s="317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>
      <c r="A590" s="317"/>
      <c r="B590" s="318"/>
      <c r="C590" s="317"/>
      <c r="D590" s="317"/>
      <c r="E590" s="317"/>
      <c r="F590" s="317"/>
      <c r="G590" s="317"/>
      <c r="H590" s="317"/>
      <c r="I590" s="317"/>
      <c r="J590" s="317"/>
      <c r="K590" s="317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>
      <c r="A591" s="317"/>
      <c r="B591" s="318"/>
      <c r="C591" s="317"/>
      <c r="D591" s="317"/>
      <c r="E591" s="317"/>
      <c r="F591" s="317"/>
      <c r="G591" s="317"/>
      <c r="H591" s="317"/>
      <c r="I591" s="317"/>
      <c r="J591" s="317"/>
      <c r="K591" s="317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>
      <c r="A592" s="317"/>
      <c r="B592" s="318"/>
      <c r="C592" s="317"/>
      <c r="D592" s="317"/>
      <c r="E592" s="317"/>
      <c r="F592" s="317"/>
      <c r="G592" s="317"/>
      <c r="H592" s="317"/>
      <c r="I592" s="317"/>
      <c r="J592" s="317"/>
      <c r="K592" s="317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>
      <c r="A593" s="317"/>
      <c r="B593" s="318"/>
      <c r="C593" s="317"/>
      <c r="D593" s="317"/>
      <c r="E593" s="317"/>
      <c r="F593" s="317"/>
      <c r="G593" s="317"/>
      <c r="H593" s="317"/>
      <c r="I593" s="317"/>
      <c r="J593" s="317"/>
      <c r="K593" s="317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>
      <c r="A594" s="317"/>
      <c r="B594" s="318"/>
      <c r="C594" s="317"/>
      <c r="D594" s="317"/>
      <c r="E594" s="317"/>
      <c r="F594" s="317"/>
      <c r="G594" s="317"/>
      <c r="H594" s="317"/>
      <c r="I594" s="317"/>
      <c r="J594" s="317"/>
      <c r="K594" s="317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>
      <c r="A595" s="317"/>
      <c r="B595" s="318"/>
      <c r="C595" s="317"/>
      <c r="D595" s="317"/>
      <c r="E595" s="317"/>
      <c r="F595" s="317"/>
      <c r="G595" s="317"/>
      <c r="H595" s="317"/>
      <c r="I595" s="317"/>
      <c r="J595" s="317"/>
      <c r="K595" s="317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>
      <c r="A596" s="317"/>
      <c r="B596" s="318"/>
      <c r="C596" s="317"/>
      <c r="D596" s="317"/>
      <c r="E596" s="317"/>
      <c r="F596" s="317"/>
      <c r="G596" s="317"/>
      <c r="H596" s="317"/>
      <c r="I596" s="317"/>
      <c r="J596" s="317"/>
      <c r="K596" s="317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>
      <c r="A597" s="317"/>
      <c r="B597" s="318"/>
      <c r="C597" s="317"/>
      <c r="D597" s="317"/>
      <c r="E597" s="317"/>
      <c r="F597" s="317"/>
      <c r="G597" s="317"/>
      <c r="H597" s="317"/>
      <c r="I597" s="317"/>
      <c r="J597" s="317"/>
      <c r="K597" s="317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>
      <c r="A598" s="317"/>
      <c r="B598" s="318"/>
      <c r="C598" s="317"/>
      <c r="D598" s="317"/>
      <c r="E598" s="317"/>
      <c r="F598" s="317"/>
      <c r="G598" s="317"/>
      <c r="H598" s="317"/>
      <c r="I598" s="317"/>
      <c r="J598" s="317"/>
      <c r="K598" s="317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>
      <c r="A599" s="317"/>
      <c r="B599" s="318"/>
      <c r="C599" s="317"/>
      <c r="D599" s="317"/>
      <c r="E599" s="317"/>
      <c r="F599" s="317"/>
      <c r="G599" s="317"/>
      <c r="H599" s="317"/>
      <c r="I599" s="317"/>
      <c r="J599" s="317"/>
      <c r="K599" s="317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>
      <c r="A600" s="317"/>
      <c r="B600" s="318"/>
      <c r="C600" s="317"/>
      <c r="D600" s="317"/>
      <c r="E600" s="317"/>
      <c r="F600" s="317"/>
      <c r="G600" s="317"/>
      <c r="H600" s="317"/>
      <c r="I600" s="317"/>
      <c r="J600" s="317"/>
      <c r="K600" s="317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>
      <c r="A601" s="317"/>
      <c r="B601" s="318"/>
      <c r="C601" s="317"/>
      <c r="D601" s="317"/>
      <c r="E601" s="317"/>
      <c r="F601" s="317"/>
      <c r="G601" s="317"/>
      <c r="H601" s="317"/>
      <c r="I601" s="317"/>
      <c r="J601" s="317"/>
      <c r="K601" s="317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>
      <c r="A602" s="317"/>
      <c r="B602" s="318"/>
      <c r="C602" s="317"/>
      <c r="D602" s="317"/>
      <c r="E602" s="317"/>
      <c r="F602" s="317"/>
      <c r="G602" s="317"/>
      <c r="H602" s="317"/>
      <c r="I602" s="317"/>
      <c r="J602" s="317"/>
      <c r="K602" s="317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>
      <c r="A603" s="317"/>
      <c r="B603" s="318"/>
      <c r="C603" s="317"/>
      <c r="D603" s="317"/>
      <c r="E603" s="317"/>
      <c r="F603" s="317"/>
      <c r="G603" s="317"/>
      <c r="H603" s="317"/>
      <c r="I603" s="317"/>
      <c r="J603" s="317"/>
      <c r="K603" s="317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>
      <c r="A604" s="317"/>
      <c r="B604" s="318"/>
      <c r="C604" s="317"/>
      <c r="D604" s="317"/>
      <c r="E604" s="317"/>
      <c r="F604" s="317"/>
      <c r="G604" s="317"/>
      <c r="H604" s="317"/>
      <c r="I604" s="317"/>
      <c r="J604" s="317"/>
      <c r="K604" s="317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>
      <c r="A605" s="317"/>
      <c r="B605" s="318"/>
      <c r="C605" s="317"/>
      <c r="D605" s="317"/>
      <c r="E605" s="317"/>
      <c r="F605" s="317"/>
      <c r="G605" s="317"/>
      <c r="H605" s="317"/>
      <c r="I605" s="317"/>
      <c r="J605" s="317"/>
      <c r="K605" s="317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>
      <c r="A606" s="317"/>
      <c r="B606" s="318"/>
      <c r="C606" s="317"/>
      <c r="D606" s="317"/>
      <c r="E606" s="317"/>
      <c r="F606" s="317"/>
      <c r="G606" s="317"/>
      <c r="H606" s="317"/>
      <c r="I606" s="317"/>
      <c r="J606" s="317"/>
      <c r="K606" s="317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>
      <c r="A607" s="317"/>
      <c r="B607" s="318"/>
      <c r="C607" s="317"/>
      <c r="D607" s="317"/>
      <c r="E607" s="317"/>
      <c r="F607" s="317"/>
      <c r="G607" s="317"/>
      <c r="H607" s="317"/>
      <c r="I607" s="317"/>
      <c r="J607" s="317"/>
      <c r="K607" s="317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>
      <c r="A608" s="317"/>
      <c r="B608" s="318"/>
      <c r="C608" s="317"/>
      <c r="D608" s="317"/>
      <c r="E608" s="317"/>
      <c r="F608" s="317"/>
      <c r="G608" s="317"/>
      <c r="H608" s="317"/>
      <c r="I608" s="317"/>
      <c r="J608" s="317"/>
      <c r="K608" s="317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>
      <c r="A609" s="317"/>
      <c r="B609" s="318"/>
      <c r="C609" s="317"/>
      <c r="D609" s="317"/>
      <c r="E609" s="317"/>
      <c r="F609" s="317"/>
      <c r="G609" s="317"/>
      <c r="H609" s="317"/>
      <c r="I609" s="317"/>
      <c r="J609" s="317"/>
      <c r="K609" s="317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>
      <c r="A610" s="317"/>
      <c r="B610" s="318"/>
      <c r="C610" s="317"/>
      <c r="D610" s="317"/>
      <c r="E610" s="317"/>
      <c r="F610" s="317"/>
      <c r="G610" s="317"/>
      <c r="H610" s="317"/>
      <c r="I610" s="317"/>
      <c r="J610" s="317"/>
      <c r="K610" s="317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>
      <c r="A611" s="317"/>
      <c r="B611" s="318"/>
      <c r="C611" s="317"/>
      <c r="D611" s="317"/>
      <c r="E611" s="317"/>
      <c r="F611" s="317"/>
      <c r="G611" s="317"/>
      <c r="H611" s="317"/>
      <c r="I611" s="317"/>
      <c r="J611" s="317"/>
      <c r="K611" s="317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>
      <c r="A612" s="317"/>
      <c r="B612" s="318"/>
      <c r="C612" s="317"/>
      <c r="D612" s="317"/>
      <c r="E612" s="317"/>
      <c r="F612" s="317"/>
      <c r="G612" s="317"/>
      <c r="H612" s="317"/>
      <c r="I612" s="317"/>
      <c r="J612" s="317"/>
      <c r="K612" s="317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>
      <c r="A613" s="317"/>
      <c r="B613" s="318"/>
      <c r="C613" s="317"/>
      <c r="D613" s="317"/>
      <c r="E613" s="317"/>
      <c r="F613" s="317"/>
      <c r="G613" s="317"/>
      <c r="H613" s="317"/>
      <c r="I613" s="317"/>
      <c r="J613" s="317"/>
      <c r="K613" s="317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>
      <c r="A614" s="317"/>
      <c r="B614" s="318"/>
      <c r="C614" s="317"/>
      <c r="D614" s="317"/>
      <c r="E614" s="317"/>
      <c r="F614" s="317"/>
      <c r="G614" s="317"/>
      <c r="H614" s="317"/>
      <c r="I614" s="317"/>
      <c r="J614" s="317"/>
      <c r="K614" s="317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>
      <c r="A615" s="317"/>
      <c r="B615" s="318"/>
      <c r="C615" s="317"/>
      <c r="D615" s="317"/>
      <c r="E615" s="317"/>
      <c r="F615" s="317"/>
      <c r="G615" s="317"/>
      <c r="H615" s="317"/>
      <c r="I615" s="317"/>
      <c r="J615" s="317"/>
      <c r="K615" s="317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>
      <c r="A616" s="317"/>
      <c r="B616" s="318"/>
      <c r="C616" s="317"/>
      <c r="D616" s="317"/>
      <c r="E616" s="317"/>
      <c r="F616" s="317"/>
      <c r="G616" s="317"/>
      <c r="H616" s="317"/>
      <c r="I616" s="317"/>
      <c r="J616" s="317"/>
      <c r="K616" s="317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>
      <c r="A617" s="317"/>
      <c r="B617" s="318"/>
      <c r="C617" s="317"/>
      <c r="D617" s="317"/>
      <c r="E617" s="317"/>
      <c r="F617" s="317"/>
      <c r="G617" s="317"/>
      <c r="H617" s="317"/>
      <c r="I617" s="317"/>
      <c r="J617" s="317"/>
      <c r="K617" s="317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>
      <c r="A618" s="317"/>
      <c r="B618" s="318"/>
      <c r="C618" s="317"/>
      <c r="D618" s="317"/>
      <c r="E618" s="317"/>
      <c r="F618" s="317"/>
      <c r="G618" s="317"/>
      <c r="H618" s="317"/>
      <c r="I618" s="317"/>
      <c r="J618" s="317"/>
      <c r="K618" s="317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>
      <c r="A619" s="317"/>
      <c r="B619" s="318"/>
      <c r="C619" s="317"/>
      <c r="D619" s="317"/>
      <c r="E619" s="317"/>
      <c r="F619" s="317"/>
      <c r="G619" s="317"/>
      <c r="H619" s="317"/>
      <c r="I619" s="317"/>
      <c r="J619" s="317"/>
      <c r="K619" s="317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>
      <c r="A620" s="317"/>
      <c r="B620" s="318"/>
      <c r="C620" s="317"/>
      <c r="D620" s="317"/>
      <c r="E620" s="317"/>
      <c r="F620" s="317"/>
      <c r="G620" s="317"/>
      <c r="H620" s="317"/>
      <c r="I620" s="317"/>
      <c r="J620" s="317"/>
      <c r="K620" s="317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>
      <c r="A621" s="317"/>
      <c r="B621" s="318"/>
      <c r="C621" s="317"/>
      <c r="D621" s="317"/>
      <c r="E621" s="317"/>
      <c r="F621" s="317"/>
      <c r="G621" s="317"/>
      <c r="H621" s="317"/>
      <c r="I621" s="317"/>
      <c r="J621" s="317"/>
      <c r="K621" s="317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>
      <c r="A622" s="317"/>
      <c r="B622" s="318"/>
      <c r="C622" s="317"/>
      <c r="D622" s="317"/>
      <c r="E622" s="317"/>
      <c r="F622" s="317"/>
      <c r="G622" s="317"/>
      <c r="H622" s="317"/>
      <c r="I622" s="317"/>
      <c r="J622" s="317"/>
      <c r="K622" s="317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>
      <c r="A623" s="317"/>
      <c r="B623" s="318"/>
      <c r="C623" s="317"/>
      <c r="D623" s="317"/>
      <c r="E623" s="317"/>
      <c r="F623" s="317"/>
      <c r="G623" s="317"/>
      <c r="H623" s="317"/>
      <c r="I623" s="317"/>
      <c r="J623" s="317"/>
      <c r="K623" s="317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>
      <c r="A624" s="317"/>
      <c r="B624" s="318"/>
      <c r="C624" s="317"/>
      <c r="D624" s="317"/>
      <c r="E624" s="317"/>
      <c r="F624" s="317"/>
      <c r="G624" s="317"/>
      <c r="H624" s="317"/>
      <c r="I624" s="317"/>
      <c r="J624" s="317"/>
      <c r="K624" s="317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>
      <c r="A625" s="317"/>
      <c r="B625" s="318"/>
      <c r="C625" s="317"/>
      <c r="D625" s="317"/>
      <c r="E625" s="317"/>
      <c r="F625" s="317"/>
      <c r="G625" s="317"/>
      <c r="H625" s="317"/>
      <c r="I625" s="317"/>
      <c r="J625" s="317"/>
      <c r="K625" s="317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>
      <c r="A626" s="317"/>
      <c r="B626" s="318"/>
      <c r="C626" s="317"/>
      <c r="D626" s="317"/>
      <c r="E626" s="317"/>
      <c r="F626" s="317"/>
      <c r="G626" s="317"/>
      <c r="H626" s="317"/>
      <c r="I626" s="317"/>
      <c r="J626" s="317"/>
      <c r="K626" s="317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>
      <c r="A627" s="317"/>
      <c r="B627" s="318"/>
      <c r="C627" s="317"/>
      <c r="D627" s="317"/>
      <c r="E627" s="317"/>
      <c r="F627" s="317"/>
      <c r="G627" s="317"/>
      <c r="H627" s="317"/>
      <c r="I627" s="317"/>
      <c r="J627" s="317"/>
      <c r="K627" s="317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>
      <c r="A628" s="317"/>
      <c r="B628" s="318"/>
      <c r="C628" s="317"/>
      <c r="D628" s="317"/>
      <c r="E628" s="317"/>
      <c r="F628" s="317"/>
      <c r="G628" s="317"/>
      <c r="H628" s="317"/>
      <c r="I628" s="317"/>
      <c r="J628" s="317"/>
      <c r="K628" s="317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>
      <c r="A629" s="317"/>
      <c r="B629" s="318"/>
      <c r="C629" s="317"/>
      <c r="D629" s="317"/>
      <c r="E629" s="317"/>
      <c r="F629" s="317"/>
      <c r="G629" s="317"/>
      <c r="H629" s="317"/>
      <c r="I629" s="317"/>
      <c r="J629" s="317"/>
      <c r="K629" s="317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>
      <c r="A630" s="317"/>
      <c r="B630" s="318"/>
      <c r="C630" s="317"/>
      <c r="D630" s="317"/>
      <c r="E630" s="317"/>
      <c r="F630" s="317"/>
      <c r="G630" s="317"/>
      <c r="H630" s="317"/>
      <c r="I630" s="317"/>
      <c r="J630" s="317"/>
      <c r="K630" s="317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>
      <c r="A631" s="317"/>
      <c r="B631" s="318"/>
      <c r="C631" s="317"/>
      <c r="D631" s="317"/>
      <c r="E631" s="317"/>
      <c r="F631" s="317"/>
      <c r="G631" s="317"/>
      <c r="H631" s="317"/>
      <c r="I631" s="317"/>
      <c r="J631" s="317"/>
      <c r="K631" s="317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>
      <c r="A632" s="317"/>
      <c r="B632" s="318"/>
      <c r="C632" s="317"/>
      <c r="D632" s="317"/>
      <c r="E632" s="317"/>
      <c r="F632" s="317"/>
      <c r="G632" s="317"/>
      <c r="H632" s="317"/>
      <c r="I632" s="317"/>
      <c r="J632" s="317"/>
      <c r="K632" s="317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>
      <c r="A633" s="317"/>
      <c r="B633" s="318"/>
      <c r="C633" s="317"/>
      <c r="D633" s="317"/>
      <c r="E633" s="317"/>
      <c r="F633" s="317"/>
      <c r="G633" s="317"/>
      <c r="H633" s="317"/>
      <c r="I633" s="317"/>
      <c r="J633" s="317"/>
      <c r="K633" s="317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>
      <c r="A634" s="317"/>
      <c r="B634" s="318"/>
      <c r="C634" s="317"/>
      <c r="D634" s="317"/>
      <c r="E634" s="317"/>
      <c r="F634" s="317"/>
      <c r="G634" s="317"/>
      <c r="H634" s="317"/>
      <c r="I634" s="317"/>
      <c r="J634" s="317"/>
      <c r="K634" s="317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>
      <c r="A635" s="317"/>
      <c r="B635" s="318"/>
      <c r="C635" s="317"/>
      <c r="D635" s="317"/>
      <c r="E635" s="317"/>
      <c r="F635" s="317"/>
      <c r="G635" s="317"/>
      <c r="H635" s="317"/>
      <c r="I635" s="317"/>
      <c r="J635" s="317"/>
      <c r="K635" s="317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>
      <c r="A636" s="317"/>
      <c r="B636" s="318"/>
      <c r="C636" s="317"/>
      <c r="D636" s="317"/>
      <c r="E636" s="317"/>
      <c r="F636" s="317"/>
      <c r="G636" s="317"/>
      <c r="H636" s="317"/>
      <c r="I636" s="317"/>
      <c r="J636" s="317"/>
      <c r="K636" s="317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>
      <c r="A637" s="317"/>
      <c r="B637" s="318"/>
      <c r="C637" s="317"/>
      <c r="D637" s="317"/>
      <c r="E637" s="317"/>
      <c r="F637" s="317"/>
      <c r="G637" s="317"/>
      <c r="H637" s="317"/>
      <c r="I637" s="317"/>
      <c r="J637" s="317"/>
      <c r="K637" s="317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>
      <c r="A638" s="317"/>
      <c r="B638" s="318"/>
      <c r="C638" s="317"/>
      <c r="D638" s="317"/>
      <c r="E638" s="317"/>
      <c r="F638" s="317"/>
      <c r="G638" s="317"/>
      <c r="H638" s="317"/>
      <c r="I638" s="317"/>
      <c r="J638" s="317"/>
      <c r="K638" s="317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>
      <c r="A639" s="317"/>
      <c r="B639" s="318"/>
      <c r="C639" s="317"/>
      <c r="D639" s="317"/>
      <c r="E639" s="317"/>
      <c r="F639" s="317"/>
      <c r="G639" s="317"/>
      <c r="H639" s="317"/>
      <c r="I639" s="317"/>
      <c r="J639" s="317"/>
      <c r="K639" s="317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>
      <c r="A640" s="317"/>
      <c r="B640" s="318"/>
      <c r="C640" s="317"/>
      <c r="D640" s="317"/>
      <c r="E640" s="317"/>
      <c r="F640" s="317"/>
      <c r="G640" s="317"/>
      <c r="H640" s="317"/>
      <c r="I640" s="317"/>
      <c r="J640" s="317"/>
      <c r="K640" s="317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>
      <c r="A641" s="317"/>
      <c r="B641" s="318"/>
      <c r="C641" s="317"/>
      <c r="D641" s="317"/>
      <c r="E641" s="317"/>
      <c r="F641" s="317"/>
      <c r="G641" s="317"/>
      <c r="H641" s="317"/>
      <c r="I641" s="317"/>
      <c r="J641" s="317"/>
      <c r="K641" s="317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>
      <c r="A642" s="317"/>
      <c r="B642" s="318"/>
      <c r="C642" s="317"/>
      <c r="D642" s="317"/>
      <c r="E642" s="317"/>
      <c r="F642" s="317"/>
      <c r="G642" s="317"/>
      <c r="H642" s="317"/>
      <c r="I642" s="317"/>
      <c r="J642" s="317"/>
      <c r="K642" s="317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>
      <c r="A643" s="317"/>
      <c r="B643" s="318"/>
      <c r="C643" s="317"/>
      <c r="D643" s="317"/>
      <c r="E643" s="317"/>
      <c r="F643" s="317"/>
      <c r="G643" s="317"/>
      <c r="H643" s="317"/>
      <c r="I643" s="317"/>
      <c r="J643" s="317"/>
      <c r="K643" s="317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>
      <c r="A644" s="317"/>
      <c r="B644" s="318"/>
      <c r="C644" s="317"/>
      <c r="D644" s="317"/>
      <c r="E644" s="317"/>
      <c r="F644" s="317"/>
      <c r="G644" s="317"/>
      <c r="H644" s="317"/>
      <c r="I644" s="317"/>
      <c r="J644" s="317"/>
      <c r="K644" s="317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>
      <c r="A645" s="317"/>
      <c r="B645" s="318"/>
      <c r="C645" s="317"/>
      <c r="D645" s="317"/>
      <c r="E645" s="317"/>
      <c r="F645" s="317"/>
      <c r="G645" s="317"/>
      <c r="H645" s="317"/>
      <c r="I645" s="317"/>
      <c r="J645" s="317"/>
      <c r="K645" s="317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>
      <c r="A646" s="317"/>
      <c r="B646" s="318"/>
      <c r="C646" s="317"/>
      <c r="D646" s="317"/>
      <c r="E646" s="317"/>
      <c r="F646" s="317"/>
      <c r="G646" s="317"/>
      <c r="H646" s="317"/>
      <c r="I646" s="317"/>
      <c r="J646" s="317"/>
      <c r="K646" s="317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>
      <c r="A647" s="317"/>
      <c r="B647" s="318"/>
      <c r="C647" s="317"/>
      <c r="D647" s="317"/>
      <c r="E647" s="317"/>
      <c r="F647" s="317"/>
      <c r="G647" s="317"/>
      <c r="H647" s="317"/>
      <c r="I647" s="317"/>
      <c r="J647" s="317"/>
      <c r="K647" s="317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>
      <c r="A648" s="317"/>
      <c r="B648" s="318"/>
      <c r="C648" s="317"/>
      <c r="D648" s="317"/>
      <c r="E648" s="317"/>
      <c r="F648" s="317"/>
      <c r="G648" s="317"/>
      <c r="H648" s="317"/>
      <c r="I648" s="317"/>
      <c r="J648" s="317"/>
      <c r="K648" s="317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>
      <c r="A649" s="317"/>
      <c r="B649" s="318"/>
      <c r="C649" s="317"/>
      <c r="D649" s="317"/>
      <c r="E649" s="317"/>
      <c r="F649" s="317"/>
      <c r="G649" s="317"/>
      <c r="H649" s="317"/>
      <c r="I649" s="317"/>
      <c r="J649" s="317"/>
      <c r="K649" s="317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>
      <c r="A650" s="317"/>
      <c r="B650" s="318"/>
      <c r="C650" s="317"/>
      <c r="D650" s="317"/>
      <c r="E650" s="317"/>
      <c r="F650" s="317"/>
      <c r="G650" s="317"/>
      <c r="H650" s="317"/>
      <c r="I650" s="317"/>
      <c r="J650" s="317"/>
      <c r="K650" s="317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>
      <c r="A651" s="317"/>
      <c r="B651" s="318"/>
      <c r="C651" s="317"/>
      <c r="D651" s="317"/>
      <c r="E651" s="317"/>
      <c r="F651" s="317"/>
      <c r="G651" s="317"/>
      <c r="H651" s="317"/>
      <c r="I651" s="317"/>
      <c r="J651" s="317"/>
      <c r="K651" s="317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>
      <c r="A652" s="317"/>
      <c r="B652" s="318"/>
      <c r="C652" s="317"/>
      <c r="D652" s="317"/>
      <c r="E652" s="317"/>
      <c r="F652" s="317"/>
      <c r="G652" s="317"/>
      <c r="H652" s="317"/>
      <c r="I652" s="317"/>
      <c r="J652" s="317"/>
      <c r="K652" s="317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>
      <c r="A653" s="317"/>
      <c r="B653" s="318"/>
      <c r="C653" s="317"/>
      <c r="D653" s="317"/>
      <c r="E653" s="317"/>
      <c r="F653" s="317"/>
      <c r="G653" s="317"/>
      <c r="H653" s="317"/>
      <c r="I653" s="317"/>
      <c r="J653" s="317"/>
      <c r="K653" s="317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>
      <c r="A654" s="317"/>
      <c r="B654" s="318"/>
      <c r="C654" s="317"/>
      <c r="D654" s="317"/>
      <c r="E654" s="317"/>
      <c r="F654" s="317"/>
      <c r="G654" s="317"/>
      <c r="H654" s="317"/>
      <c r="I654" s="317"/>
      <c r="J654" s="317"/>
      <c r="K654" s="317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>
      <c r="A655" s="317"/>
      <c r="B655" s="318"/>
      <c r="C655" s="317"/>
      <c r="D655" s="317"/>
      <c r="E655" s="317"/>
      <c r="F655" s="317"/>
      <c r="G655" s="317"/>
      <c r="H655" s="317"/>
      <c r="I655" s="317"/>
      <c r="J655" s="317"/>
      <c r="K655" s="317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>
      <c r="A656" s="317"/>
      <c r="B656" s="318"/>
      <c r="C656" s="317"/>
      <c r="D656" s="317"/>
      <c r="E656" s="317"/>
      <c r="F656" s="317"/>
      <c r="G656" s="317"/>
      <c r="H656" s="317"/>
      <c r="I656" s="317"/>
      <c r="J656" s="317"/>
      <c r="K656" s="317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>
      <c r="A657" s="317"/>
      <c r="B657" s="318"/>
      <c r="C657" s="317"/>
      <c r="D657" s="317"/>
      <c r="E657" s="317"/>
      <c r="F657" s="317"/>
      <c r="G657" s="317"/>
      <c r="H657" s="317"/>
      <c r="I657" s="317"/>
      <c r="J657" s="317"/>
      <c r="K657" s="317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>
      <c r="A658" s="317"/>
      <c r="B658" s="318"/>
      <c r="C658" s="317"/>
      <c r="D658" s="317"/>
      <c r="E658" s="317"/>
      <c r="F658" s="317"/>
      <c r="G658" s="317"/>
      <c r="H658" s="317"/>
      <c r="I658" s="317"/>
      <c r="J658" s="317"/>
      <c r="K658" s="317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>
      <c r="A659" s="317"/>
      <c r="B659" s="318"/>
      <c r="C659" s="317"/>
      <c r="D659" s="317"/>
      <c r="E659" s="317"/>
      <c r="F659" s="317"/>
      <c r="G659" s="317"/>
      <c r="H659" s="317"/>
      <c r="I659" s="317"/>
      <c r="J659" s="317"/>
      <c r="K659" s="317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>
      <c r="A660" s="317"/>
      <c r="B660" s="318"/>
      <c r="C660" s="317"/>
      <c r="D660" s="317"/>
      <c r="E660" s="317"/>
      <c r="F660" s="317"/>
      <c r="G660" s="317"/>
      <c r="H660" s="317"/>
      <c r="I660" s="317"/>
      <c r="J660" s="317"/>
      <c r="K660" s="317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>
      <c r="A661" s="317"/>
      <c r="B661" s="318"/>
      <c r="C661" s="317"/>
      <c r="D661" s="317"/>
      <c r="E661" s="317"/>
      <c r="F661" s="317"/>
      <c r="G661" s="317"/>
      <c r="H661" s="317"/>
      <c r="I661" s="317"/>
      <c r="J661" s="317"/>
      <c r="K661" s="317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>
      <c r="A662" s="317"/>
      <c r="B662" s="318"/>
      <c r="C662" s="317"/>
      <c r="D662" s="317"/>
      <c r="E662" s="317"/>
      <c r="F662" s="317"/>
      <c r="G662" s="317"/>
      <c r="H662" s="317"/>
      <c r="I662" s="317"/>
      <c r="J662" s="317"/>
      <c r="K662" s="317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>
      <c r="A663" s="317"/>
      <c r="B663" s="318"/>
      <c r="C663" s="317"/>
      <c r="D663" s="317"/>
      <c r="E663" s="317"/>
      <c r="F663" s="317"/>
      <c r="G663" s="317"/>
      <c r="H663" s="317"/>
      <c r="I663" s="317"/>
      <c r="J663" s="317"/>
      <c r="K663" s="317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>
      <c r="A664" s="317"/>
      <c r="B664" s="318"/>
      <c r="C664" s="317"/>
      <c r="D664" s="317"/>
      <c r="E664" s="317"/>
      <c r="F664" s="317"/>
      <c r="G664" s="317"/>
      <c r="H664" s="317"/>
      <c r="I664" s="317"/>
      <c r="J664" s="317"/>
      <c r="K664" s="317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>
      <c r="A665" s="317"/>
      <c r="B665" s="318"/>
      <c r="C665" s="317"/>
      <c r="D665" s="317"/>
      <c r="E665" s="317"/>
      <c r="F665" s="317"/>
      <c r="G665" s="317"/>
      <c r="H665" s="317"/>
      <c r="I665" s="317"/>
      <c r="J665" s="317"/>
      <c r="K665" s="317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>
      <c r="A666" s="317"/>
      <c r="B666" s="318"/>
      <c r="C666" s="317"/>
      <c r="D666" s="317"/>
      <c r="E666" s="317"/>
      <c r="F666" s="317"/>
      <c r="G666" s="317"/>
      <c r="H666" s="317"/>
      <c r="I666" s="317"/>
      <c r="J666" s="317"/>
      <c r="K666" s="317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>
      <c r="A667" s="317"/>
      <c r="B667" s="318"/>
      <c r="C667" s="317"/>
      <c r="D667" s="317"/>
      <c r="E667" s="317"/>
      <c r="F667" s="317"/>
      <c r="G667" s="317"/>
      <c r="H667" s="317"/>
      <c r="I667" s="317"/>
      <c r="J667" s="317"/>
      <c r="K667" s="317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>
      <c r="A668" s="317"/>
      <c r="B668" s="318"/>
      <c r="C668" s="317"/>
      <c r="D668" s="317"/>
      <c r="E668" s="317"/>
      <c r="F668" s="317"/>
      <c r="G668" s="317"/>
      <c r="H668" s="317"/>
      <c r="I668" s="317"/>
      <c r="J668" s="317"/>
      <c r="K668" s="317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>
      <c r="A669" s="317"/>
      <c r="B669" s="318"/>
      <c r="C669" s="317"/>
      <c r="D669" s="317"/>
      <c r="E669" s="317"/>
      <c r="F669" s="317"/>
      <c r="G669" s="317"/>
      <c r="H669" s="317"/>
      <c r="I669" s="317"/>
      <c r="J669" s="317"/>
      <c r="K669" s="317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>
      <c r="A670" s="317"/>
      <c r="B670" s="318"/>
      <c r="C670" s="317"/>
      <c r="D670" s="317"/>
      <c r="E670" s="317"/>
      <c r="F670" s="317"/>
      <c r="G670" s="317"/>
      <c r="H670" s="317"/>
      <c r="I670" s="317"/>
      <c r="J670" s="317"/>
      <c r="K670" s="317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>
      <c r="A671" s="317"/>
      <c r="B671" s="318"/>
      <c r="C671" s="317"/>
      <c r="D671" s="317"/>
      <c r="E671" s="317"/>
      <c r="F671" s="317"/>
      <c r="G671" s="317"/>
      <c r="H671" s="317"/>
      <c r="I671" s="317"/>
      <c r="J671" s="317"/>
      <c r="K671" s="317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>
      <c r="A672" s="317"/>
      <c r="B672" s="318"/>
      <c r="C672" s="317"/>
      <c r="D672" s="317"/>
      <c r="E672" s="317"/>
      <c r="F672" s="317"/>
      <c r="G672" s="317"/>
      <c r="H672" s="317"/>
      <c r="I672" s="317"/>
      <c r="J672" s="317"/>
      <c r="K672" s="317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>
      <c r="A673" s="317"/>
      <c r="B673" s="318"/>
      <c r="C673" s="317"/>
      <c r="D673" s="317"/>
      <c r="E673" s="317"/>
      <c r="F673" s="317"/>
      <c r="G673" s="317"/>
      <c r="H673" s="317"/>
      <c r="I673" s="317"/>
      <c r="J673" s="317"/>
      <c r="K673" s="317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>
      <c r="A674" s="317"/>
      <c r="B674" s="318"/>
      <c r="C674" s="317"/>
      <c r="D674" s="317"/>
      <c r="E674" s="317"/>
      <c r="F674" s="317"/>
      <c r="G674" s="317"/>
      <c r="H674" s="317"/>
      <c r="I674" s="317"/>
      <c r="J674" s="317"/>
      <c r="K674" s="317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>
      <c r="A675" s="317"/>
      <c r="B675" s="318"/>
      <c r="C675" s="317"/>
      <c r="D675" s="317"/>
      <c r="E675" s="317"/>
      <c r="F675" s="317"/>
      <c r="G675" s="317"/>
      <c r="H675" s="317"/>
      <c r="I675" s="317"/>
      <c r="J675" s="317"/>
      <c r="K675" s="317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>
      <c r="A676" s="317"/>
      <c r="B676" s="318"/>
      <c r="C676" s="317"/>
      <c r="D676" s="317"/>
      <c r="E676" s="317"/>
      <c r="F676" s="317"/>
      <c r="G676" s="317"/>
      <c r="H676" s="317"/>
      <c r="I676" s="317"/>
      <c r="J676" s="317"/>
      <c r="K676" s="317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>
      <c r="A677" s="317"/>
      <c r="B677" s="318"/>
      <c r="C677" s="317"/>
      <c r="D677" s="317"/>
      <c r="E677" s="317"/>
      <c r="F677" s="317"/>
      <c r="G677" s="317"/>
      <c r="H677" s="317"/>
      <c r="I677" s="317"/>
      <c r="J677" s="317"/>
      <c r="K677" s="317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>
      <c r="A678" s="317"/>
      <c r="B678" s="318"/>
      <c r="C678" s="317"/>
      <c r="D678" s="317"/>
      <c r="E678" s="317"/>
      <c r="F678" s="317"/>
      <c r="G678" s="317"/>
      <c r="H678" s="317"/>
      <c r="I678" s="317"/>
      <c r="J678" s="317"/>
      <c r="K678" s="317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>
      <c r="A679" s="317"/>
      <c r="B679" s="318"/>
      <c r="C679" s="317"/>
      <c r="D679" s="317"/>
      <c r="E679" s="317"/>
      <c r="F679" s="317"/>
      <c r="G679" s="317"/>
      <c r="H679" s="317"/>
      <c r="I679" s="317"/>
      <c r="J679" s="317"/>
      <c r="K679" s="317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>
      <c r="A680" s="317"/>
      <c r="B680" s="318"/>
      <c r="C680" s="317"/>
      <c r="D680" s="317"/>
      <c r="E680" s="317"/>
      <c r="F680" s="317"/>
      <c r="G680" s="317"/>
      <c r="H680" s="317"/>
      <c r="I680" s="317"/>
      <c r="J680" s="317"/>
      <c r="K680" s="317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>
      <c r="A681" s="317"/>
      <c r="B681" s="318"/>
      <c r="C681" s="317"/>
      <c r="D681" s="317"/>
      <c r="E681" s="317"/>
      <c r="F681" s="317"/>
      <c r="G681" s="317"/>
      <c r="H681" s="317"/>
      <c r="I681" s="317"/>
      <c r="J681" s="317"/>
      <c r="K681" s="317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>
      <c r="A682" s="317"/>
      <c r="B682" s="318"/>
      <c r="C682" s="317"/>
      <c r="D682" s="317"/>
      <c r="E682" s="317"/>
      <c r="F682" s="317"/>
      <c r="G682" s="317"/>
      <c r="H682" s="317"/>
      <c r="I682" s="317"/>
      <c r="J682" s="317"/>
      <c r="K682" s="317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>
      <c r="A683" s="317"/>
      <c r="B683" s="318"/>
      <c r="C683" s="317"/>
      <c r="D683" s="317"/>
      <c r="E683" s="317"/>
      <c r="F683" s="317"/>
      <c r="G683" s="317"/>
      <c r="H683" s="317"/>
      <c r="I683" s="317"/>
      <c r="J683" s="317"/>
      <c r="K683" s="317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>
      <c r="A684" s="317"/>
      <c r="B684" s="318"/>
      <c r="C684" s="317"/>
      <c r="D684" s="317"/>
      <c r="E684" s="317"/>
      <c r="F684" s="317"/>
      <c r="G684" s="317"/>
      <c r="H684" s="317"/>
      <c r="I684" s="317"/>
      <c r="J684" s="317"/>
      <c r="K684" s="317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>
      <c r="A685" s="317"/>
      <c r="B685" s="318"/>
      <c r="C685" s="317"/>
      <c r="D685" s="317"/>
      <c r="E685" s="317"/>
      <c r="F685" s="317"/>
      <c r="G685" s="317"/>
      <c r="H685" s="317"/>
      <c r="I685" s="317"/>
      <c r="J685" s="317"/>
      <c r="K685" s="317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>
      <c r="A686" s="317"/>
      <c r="B686" s="318"/>
      <c r="C686" s="317"/>
      <c r="D686" s="317"/>
      <c r="E686" s="317"/>
      <c r="F686" s="317"/>
      <c r="G686" s="317"/>
      <c r="H686" s="317"/>
      <c r="I686" s="317"/>
      <c r="J686" s="317"/>
      <c r="K686" s="317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>
      <c r="A687" s="317"/>
      <c r="B687" s="318"/>
      <c r="C687" s="317"/>
      <c r="D687" s="317"/>
      <c r="E687" s="317"/>
      <c r="F687" s="317"/>
      <c r="G687" s="317"/>
      <c r="H687" s="317"/>
      <c r="I687" s="317"/>
      <c r="J687" s="317"/>
      <c r="K687" s="317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>
      <c r="A688" s="317"/>
      <c r="B688" s="318"/>
      <c r="C688" s="317"/>
      <c r="D688" s="317"/>
      <c r="E688" s="317"/>
      <c r="F688" s="317"/>
      <c r="G688" s="317"/>
      <c r="H688" s="317"/>
      <c r="I688" s="317"/>
      <c r="J688" s="317"/>
      <c r="K688" s="317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>
      <c r="A689" s="317"/>
      <c r="B689" s="318"/>
      <c r="C689" s="317"/>
      <c r="D689" s="317"/>
      <c r="E689" s="317"/>
      <c r="F689" s="317"/>
      <c r="G689" s="317"/>
      <c r="H689" s="317"/>
      <c r="I689" s="317"/>
      <c r="J689" s="317"/>
      <c r="K689" s="317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>
      <c r="A690" s="317"/>
      <c r="B690" s="318"/>
      <c r="C690" s="317"/>
      <c r="D690" s="317"/>
      <c r="E690" s="317"/>
      <c r="F690" s="317"/>
      <c r="G690" s="317"/>
      <c r="H690" s="317"/>
      <c r="I690" s="317"/>
      <c r="J690" s="317"/>
      <c r="K690" s="317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>
      <c r="A691" s="317"/>
      <c r="B691" s="318"/>
      <c r="C691" s="317"/>
      <c r="D691" s="317"/>
      <c r="E691" s="317"/>
      <c r="F691" s="317"/>
      <c r="G691" s="317"/>
      <c r="H691" s="317"/>
      <c r="I691" s="317"/>
      <c r="J691" s="317"/>
      <c r="K691" s="317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>
      <c r="A692" s="317"/>
      <c r="B692" s="318"/>
      <c r="C692" s="317"/>
      <c r="D692" s="317"/>
      <c r="E692" s="317"/>
      <c r="F692" s="317"/>
      <c r="G692" s="317"/>
      <c r="H692" s="317"/>
      <c r="I692" s="317"/>
      <c r="J692" s="317"/>
      <c r="K692" s="317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>
      <c r="A693" s="317"/>
      <c r="B693" s="318"/>
      <c r="C693" s="317"/>
      <c r="D693" s="317"/>
      <c r="E693" s="317"/>
      <c r="F693" s="317"/>
      <c r="G693" s="317"/>
      <c r="H693" s="317"/>
      <c r="I693" s="317"/>
      <c r="J693" s="317"/>
      <c r="K693" s="317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>
      <c r="A694" s="317"/>
      <c r="B694" s="318"/>
      <c r="C694" s="317"/>
      <c r="D694" s="317"/>
      <c r="E694" s="317"/>
      <c r="F694" s="317"/>
      <c r="G694" s="317"/>
      <c r="H694" s="317"/>
      <c r="I694" s="317"/>
      <c r="J694" s="317"/>
      <c r="K694" s="317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>
      <c r="A695" s="317"/>
      <c r="B695" s="318"/>
      <c r="C695" s="317"/>
      <c r="D695" s="317"/>
      <c r="E695" s="317"/>
      <c r="F695" s="317"/>
      <c r="G695" s="317"/>
      <c r="H695" s="317"/>
      <c r="I695" s="317"/>
      <c r="J695" s="317"/>
      <c r="K695" s="317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>
      <c r="A696" s="317"/>
      <c r="B696" s="318"/>
      <c r="C696" s="317"/>
      <c r="D696" s="317"/>
      <c r="E696" s="317"/>
      <c r="F696" s="317"/>
      <c r="G696" s="317"/>
      <c r="H696" s="317"/>
      <c r="I696" s="317"/>
      <c r="J696" s="317"/>
      <c r="K696" s="317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>
      <c r="A697" s="317"/>
      <c r="B697" s="318"/>
      <c r="C697" s="317"/>
      <c r="D697" s="317"/>
      <c r="E697" s="317"/>
      <c r="F697" s="317"/>
      <c r="G697" s="317"/>
      <c r="H697" s="317"/>
      <c r="I697" s="317"/>
      <c r="J697" s="317"/>
      <c r="K697" s="317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>
      <c r="A698" s="317"/>
      <c r="B698" s="318"/>
      <c r="C698" s="317"/>
      <c r="D698" s="317"/>
      <c r="E698" s="317"/>
      <c r="F698" s="317"/>
      <c r="G698" s="317"/>
      <c r="H698" s="317"/>
      <c r="I698" s="317"/>
      <c r="J698" s="317"/>
      <c r="K698" s="317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>
      <c r="A699" s="317"/>
      <c r="B699" s="318"/>
      <c r="C699" s="317"/>
      <c r="D699" s="317"/>
      <c r="E699" s="317"/>
      <c r="F699" s="317"/>
      <c r="G699" s="317"/>
      <c r="H699" s="317"/>
      <c r="I699" s="317"/>
      <c r="J699" s="317"/>
      <c r="K699" s="317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>
      <c r="A700" s="317"/>
      <c r="B700" s="318"/>
      <c r="C700" s="317"/>
      <c r="D700" s="317"/>
      <c r="E700" s="317"/>
      <c r="F700" s="317"/>
      <c r="G700" s="317"/>
      <c r="H700" s="317"/>
      <c r="I700" s="317"/>
      <c r="J700" s="317"/>
      <c r="K700" s="317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>
      <c r="A701" s="317"/>
      <c r="B701" s="318"/>
      <c r="C701" s="317"/>
      <c r="D701" s="317"/>
      <c r="E701" s="317"/>
      <c r="F701" s="317"/>
      <c r="G701" s="317"/>
      <c r="H701" s="317"/>
      <c r="I701" s="317"/>
      <c r="J701" s="317"/>
      <c r="K701" s="317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>
      <c r="A702" s="317"/>
      <c r="B702" s="318"/>
      <c r="C702" s="317"/>
      <c r="D702" s="317"/>
      <c r="E702" s="317"/>
      <c r="F702" s="317"/>
      <c r="G702" s="317"/>
      <c r="H702" s="317"/>
      <c r="I702" s="317"/>
      <c r="J702" s="317"/>
      <c r="K702" s="317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>
      <c r="A703" s="317"/>
      <c r="B703" s="318"/>
      <c r="C703" s="317"/>
      <c r="D703" s="317"/>
      <c r="E703" s="317"/>
      <c r="F703" s="317"/>
      <c r="G703" s="317"/>
      <c r="H703" s="317"/>
      <c r="I703" s="317"/>
      <c r="J703" s="317"/>
      <c r="K703" s="317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>
      <c r="A704" s="317"/>
      <c r="B704" s="318"/>
      <c r="C704" s="317"/>
      <c r="D704" s="317"/>
      <c r="E704" s="317"/>
      <c r="F704" s="317"/>
      <c r="G704" s="317"/>
      <c r="H704" s="317"/>
      <c r="I704" s="317"/>
      <c r="J704" s="317"/>
      <c r="K704" s="317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>
      <c r="A705" s="317"/>
      <c r="B705" s="318"/>
      <c r="C705" s="317"/>
      <c r="D705" s="317"/>
      <c r="E705" s="317"/>
      <c r="F705" s="317"/>
      <c r="G705" s="317"/>
      <c r="H705" s="317"/>
      <c r="I705" s="317"/>
      <c r="J705" s="317"/>
      <c r="K705" s="317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>
      <c r="A706" s="317"/>
      <c r="B706" s="318"/>
      <c r="C706" s="317"/>
      <c r="D706" s="317"/>
      <c r="E706" s="317"/>
      <c r="F706" s="317"/>
      <c r="G706" s="317"/>
      <c r="H706" s="317"/>
      <c r="I706" s="317"/>
      <c r="J706" s="317"/>
      <c r="K706" s="317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>
      <c r="A707" s="317"/>
      <c r="B707" s="318"/>
      <c r="C707" s="317"/>
      <c r="D707" s="317"/>
      <c r="E707" s="317"/>
      <c r="F707" s="317"/>
      <c r="G707" s="317"/>
      <c r="H707" s="317"/>
      <c r="I707" s="317"/>
      <c r="J707" s="317"/>
      <c r="K707" s="317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>
      <c r="A708" s="317"/>
      <c r="B708" s="318"/>
      <c r="C708" s="317"/>
      <c r="D708" s="317"/>
      <c r="E708" s="317"/>
      <c r="F708" s="317"/>
      <c r="G708" s="317"/>
      <c r="H708" s="317"/>
      <c r="I708" s="317"/>
      <c r="J708" s="317"/>
      <c r="K708" s="317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>
      <c r="A709" s="317"/>
      <c r="B709" s="318"/>
      <c r="C709" s="317"/>
      <c r="D709" s="317"/>
      <c r="E709" s="317"/>
      <c r="F709" s="317"/>
      <c r="G709" s="317"/>
      <c r="H709" s="317"/>
      <c r="I709" s="317"/>
      <c r="J709" s="317"/>
      <c r="K709" s="317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>
      <c r="A710" s="317"/>
      <c r="B710" s="318"/>
      <c r="C710" s="317"/>
      <c r="D710" s="317"/>
      <c r="E710" s="317"/>
      <c r="F710" s="317"/>
      <c r="G710" s="317"/>
      <c r="H710" s="317"/>
      <c r="I710" s="317"/>
      <c r="J710" s="317"/>
      <c r="K710" s="317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>
      <c r="A711" s="317"/>
      <c r="B711" s="318"/>
      <c r="C711" s="317"/>
      <c r="D711" s="317"/>
      <c r="E711" s="317"/>
      <c r="F711" s="317"/>
      <c r="G711" s="317"/>
      <c r="H711" s="317"/>
      <c r="I711" s="317"/>
      <c r="J711" s="317"/>
      <c r="K711" s="317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>
      <c r="A712" s="317"/>
      <c r="B712" s="318"/>
      <c r="C712" s="317"/>
      <c r="D712" s="317"/>
      <c r="E712" s="317"/>
      <c r="F712" s="317"/>
      <c r="G712" s="317"/>
      <c r="H712" s="317"/>
      <c r="I712" s="317"/>
      <c r="J712" s="317"/>
      <c r="K712" s="317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>
      <c r="A713" s="317"/>
      <c r="B713" s="318"/>
      <c r="C713" s="317"/>
      <c r="D713" s="317"/>
      <c r="E713" s="317"/>
      <c r="F713" s="317"/>
      <c r="G713" s="317"/>
      <c r="H713" s="317"/>
      <c r="I713" s="317"/>
      <c r="J713" s="317"/>
      <c r="K713" s="317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>
      <c r="A714" s="317"/>
      <c r="B714" s="318"/>
      <c r="C714" s="317"/>
      <c r="D714" s="317"/>
      <c r="E714" s="317"/>
      <c r="F714" s="317"/>
      <c r="G714" s="317"/>
      <c r="H714" s="317"/>
      <c r="I714" s="317"/>
      <c r="J714" s="317"/>
      <c r="K714" s="317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>
      <c r="A715" s="317"/>
      <c r="B715" s="318"/>
      <c r="C715" s="317"/>
      <c r="D715" s="317"/>
      <c r="E715" s="317"/>
      <c r="F715" s="317"/>
      <c r="G715" s="317"/>
      <c r="H715" s="317"/>
      <c r="I715" s="317"/>
      <c r="J715" s="317"/>
      <c r="K715" s="317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>
      <c r="A716" s="317"/>
      <c r="B716" s="318"/>
      <c r="C716" s="317"/>
      <c r="D716" s="317"/>
      <c r="E716" s="317"/>
      <c r="F716" s="317"/>
      <c r="G716" s="317"/>
      <c r="H716" s="317"/>
      <c r="I716" s="317"/>
      <c r="J716" s="317"/>
      <c r="K716" s="317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>
      <c r="A717" s="317"/>
      <c r="B717" s="318"/>
      <c r="C717" s="317"/>
      <c r="D717" s="317"/>
      <c r="E717" s="317"/>
      <c r="F717" s="317"/>
      <c r="G717" s="317"/>
      <c r="H717" s="317"/>
      <c r="I717" s="317"/>
      <c r="J717" s="317"/>
      <c r="K717" s="317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>
      <c r="A718" s="317"/>
      <c r="B718" s="318"/>
      <c r="C718" s="317"/>
      <c r="D718" s="317"/>
      <c r="E718" s="317"/>
      <c r="F718" s="317"/>
      <c r="G718" s="317"/>
      <c r="H718" s="317"/>
      <c r="I718" s="317"/>
      <c r="J718" s="317"/>
      <c r="K718" s="317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>
      <c r="A719" s="317"/>
      <c r="B719" s="318"/>
      <c r="C719" s="317"/>
      <c r="D719" s="317"/>
      <c r="E719" s="317"/>
      <c r="F719" s="317"/>
      <c r="G719" s="317"/>
      <c r="H719" s="317"/>
      <c r="I719" s="317"/>
      <c r="J719" s="317"/>
      <c r="K719" s="317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>
      <c r="A720" s="317"/>
      <c r="B720" s="318"/>
      <c r="C720" s="317"/>
      <c r="D720" s="317"/>
      <c r="E720" s="317"/>
      <c r="F720" s="317"/>
      <c r="G720" s="317"/>
      <c r="H720" s="317"/>
      <c r="I720" s="317"/>
      <c r="J720" s="317"/>
      <c r="K720" s="317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>
      <c r="A721" s="317"/>
      <c r="B721" s="318"/>
      <c r="C721" s="317"/>
      <c r="D721" s="317"/>
      <c r="E721" s="317"/>
      <c r="F721" s="317"/>
      <c r="G721" s="317"/>
      <c r="H721" s="317"/>
      <c r="I721" s="317"/>
      <c r="J721" s="317"/>
      <c r="K721" s="317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>
      <c r="A722" s="317"/>
      <c r="B722" s="318"/>
      <c r="C722" s="317"/>
      <c r="D722" s="317"/>
      <c r="E722" s="317"/>
      <c r="F722" s="317"/>
      <c r="G722" s="317"/>
      <c r="H722" s="317"/>
      <c r="I722" s="317"/>
      <c r="J722" s="317"/>
      <c r="K722" s="317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>
      <c r="A723" s="317"/>
      <c r="B723" s="318"/>
      <c r="C723" s="317"/>
      <c r="D723" s="317"/>
      <c r="E723" s="317"/>
      <c r="F723" s="317"/>
      <c r="G723" s="317"/>
      <c r="H723" s="317"/>
      <c r="I723" s="317"/>
      <c r="J723" s="317"/>
      <c r="K723" s="317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>
      <c r="A724" s="317"/>
      <c r="B724" s="318"/>
      <c r="C724" s="317"/>
      <c r="D724" s="317"/>
      <c r="E724" s="317"/>
      <c r="F724" s="317"/>
      <c r="G724" s="317"/>
      <c r="H724" s="317"/>
      <c r="I724" s="317"/>
      <c r="J724" s="317"/>
      <c r="K724" s="317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>
      <c r="A725" s="317"/>
      <c r="B725" s="318"/>
      <c r="C725" s="317"/>
      <c r="D725" s="317"/>
      <c r="E725" s="317"/>
      <c r="F725" s="317"/>
      <c r="G725" s="317"/>
      <c r="H725" s="317"/>
      <c r="I725" s="317"/>
      <c r="J725" s="317"/>
      <c r="K725" s="317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>
      <c r="A726" s="317"/>
      <c r="B726" s="318"/>
      <c r="C726" s="317"/>
      <c r="D726" s="317"/>
      <c r="E726" s="317"/>
      <c r="F726" s="317"/>
      <c r="G726" s="317"/>
      <c r="H726" s="317"/>
      <c r="I726" s="317"/>
      <c r="J726" s="317"/>
      <c r="K726" s="317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>
      <c r="A727" s="317"/>
      <c r="B727" s="318"/>
      <c r="C727" s="317"/>
      <c r="D727" s="317"/>
      <c r="E727" s="317"/>
      <c r="F727" s="317"/>
      <c r="G727" s="317"/>
      <c r="H727" s="317"/>
      <c r="I727" s="317"/>
      <c r="J727" s="317"/>
      <c r="K727" s="317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>
      <c r="A728" s="317"/>
      <c r="B728" s="318"/>
      <c r="C728" s="317"/>
      <c r="D728" s="317"/>
      <c r="E728" s="317"/>
      <c r="F728" s="317"/>
      <c r="G728" s="317"/>
      <c r="H728" s="317"/>
      <c r="I728" s="317"/>
      <c r="J728" s="317"/>
      <c r="K728" s="317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>
      <c r="A729" s="317"/>
      <c r="B729" s="318"/>
      <c r="C729" s="317"/>
      <c r="D729" s="317"/>
      <c r="E729" s="317"/>
      <c r="F729" s="317"/>
      <c r="G729" s="317"/>
      <c r="H729" s="317"/>
      <c r="I729" s="317"/>
      <c r="J729" s="317"/>
      <c r="K729" s="317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>
      <c r="A730" s="317"/>
      <c r="B730" s="318"/>
      <c r="C730" s="317"/>
      <c r="D730" s="317"/>
      <c r="E730" s="317"/>
      <c r="F730" s="317"/>
      <c r="G730" s="317"/>
      <c r="H730" s="317"/>
      <c r="I730" s="317"/>
      <c r="J730" s="317"/>
      <c r="K730" s="317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>
      <c r="A731" s="317"/>
      <c r="B731" s="318"/>
      <c r="C731" s="317"/>
      <c r="D731" s="317"/>
      <c r="E731" s="317"/>
      <c r="F731" s="317"/>
      <c r="G731" s="317"/>
      <c r="H731" s="317"/>
      <c r="I731" s="317"/>
      <c r="J731" s="317"/>
      <c r="K731" s="317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>
      <c r="A732" s="317"/>
      <c r="B732" s="318"/>
      <c r="C732" s="317"/>
      <c r="D732" s="317"/>
      <c r="E732" s="317"/>
      <c r="F732" s="317"/>
      <c r="G732" s="317"/>
      <c r="H732" s="317"/>
      <c r="I732" s="317"/>
      <c r="J732" s="317"/>
      <c r="K732" s="317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>
      <c r="A733" s="317"/>
      <c r="B733" s="318"/>
      <c r="C733" s="317"/>
      <c r="D733" s="317"/>
      <c r="E733" s="317"/>
      <c r="F733" s="317"/>
      <c r="G733" s="317"/>
      <c r="H733" s="317"/>
      <c r="I733" s="317"/>
      <c r="J733" s="317"/>
      <c r="K733" s="317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>
      <c r="A734" s="317"/>
      <c r="B734" s="318"/>
      <c r="C734" s="317"/>
      <c r="D734" s="317"/>
      <c r="E734" s="317"/>
      <c r="F734" s="317"/>
      <c r="G734" s="317"/>
      <c r="H734" s="317"/>
      <c r="I734" s="317"/>
      <c r="J734" s="317"/>
      <c r="K734" s="317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>
      <c r="A735" s="317"/>
      <c r="B735" s="318"/>
      <c r="C735" s="317"/>
      <c r="D735" s="317"/>
      <c r="E735" s="317"/>
      <c r="F735" s="317"/>
      <c r="G735" s="317"/>
      <c r="H735" s="317"/>
      <c r="I735" s="317"/>
      <c r="J735" s="317"/>
      <c r="K735" s="317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>
      <c r="A736" s="317"/>
      <c r="B736" s="318"/>
      <c r="C736" s="317"/>
      <c r="D736" s="317"/>
      <c r="E736" s="317"/>
      <c r="F736" s="317"/>
      <c r="G736" s="317"/>
      <c r="H736" s="317"/>
      <c r="I736" s="317"/>
      <c r="J736" s="317"/>
      <c r="K736" s="317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>
      <c r="A737" s="317"/>
      <c r="B737" s="318"/>
      <c r="C737" s="317"/>
      <c r="D737" s="317"/>
      <c r="E737" s="317"/>
      <c r="F737" s="317"/>
      <c r="G737" s="317"/>
      <c r="H737" s="317"/>
      <c r="I737" s="317"/>
      <c r="J737" s="317"/>
      <c r="K737" s="317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>
      <c r="A738" s="317"/>
      <c r="B738" s="318"/>
      <c r="C738" s="317"/>
      <c r="D738" s="317"/>
      <c r="E738" s="317"/>
      <c r="F738" s="317"/>
      <c r="G738" s="317"/>
      <c r="H738" s="317"/>
      <c r="I738" s="317"/>
      <c r="J738" s="317"/>
      <c r="K738" s="317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>
      <c r="A739" s="317"/>
      <c r="B739" s="318"/>
      <c r="C739" s="317"/>
      <c r="D739" s="317"/>
      <c r="E739" s="317"/>
      <c r="F739" s="317"/>
      <c r="G739" s="317"/>
      <c r="H739" s="317"/>
      <c r="I739" s="317"/>
      <c r="J739" s="317"/>
      <c r="K739" s="317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>
      <c r="A740" s="317"/>
      <c r="B740" s="318"/>
      <c r="C740" s="317"/>
      <c r="D740" s="317"/>
      <c r="E740" s="317"/>
      <c r="F740" s="317"/>
      <c r="G740" s="317"/>
      <c r="H740" s="317"/>
      <c r="I740" s="317"/>
      <c r="J740" s="317"/>
      <c r="K740" s="317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>
      <c r="A741" s="317"/>
      <c r="B741" s="318"/>
      <c r="C741" s="317"/>
      <c r="D741" s="317"/>
      <c r="E741" s="317"/>
      <c r="F741" s="317"/>
      <c r="G741" s="317"/>
      <c r="H741" s="317"/>
      <c r="I741" s="317"/>
      <c r="J741" s="317"/>
      <c r="K741" s="317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>
      <c r="A742" s="317"/>
      <c r="B742" s="318"/>
      <c r="C742" s="317"/>
      <c r="D742" s="317"/>
      <c r="E742" s="317"/>
      <c r="F742" s="317"/>
      <c r="G742" s="317"/>
      <c r="H742" s="317"/>
      <c r="I742" s="317"/>
      <c r="J742" s="317"/>
      <c r="K742" s="317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>
      <c r="A743" s="317"/>
      <c r="B743" s="318"/>
      <c r="C743" s="317"/>
      <c r="D743" s="317"/>
      <c r="E743" s="317"/>
      <c r="F743" s="317"/>
      <c r="G743" s="317"/>
      <c r="H743" s="317"/>
      <c r="I743" s="317"/>
      <c r="J743" s="317"/>
      <c r="K743" s="317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>
      <c r="A744" s="317"/>
      <c r="B744" s="318"/>
      <c r="C744" s="317"/>
      <c r="D744" s="317"/>
      <c r="E744" s="317"/>
      <c r="F744" s="317"/>
      <c r="G744" s="317"/>
      <c r="H744" s="317"/>
      <c r="I744" s="317"/>
      <c r="J744" s="317"/>
      <c r="K744" s="317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>
      <c r="A745" s="317"/>
      <c r="B745" s="318"/>
      <c r="C745" s="317"/>
      <c r="D745" s="317"/>
      <c r="E745" s="317"/>
      <c r="F745" s="317"/>
      <c r="G745" s="317"/>
      <c r="H745" s="317"/>
      <c r="I745" s="317"/>
      <c r="J745" s="317"/>
      <c r="K745" s="317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>
      <c r="A746" s="317"/>
      <c r="B746" s="318"/>
      <c r="C746" s="317"/>
      <c r="D746" s="317"/>
      <c r="E746" s="317"/>
      <c r="F746" s="317"/>
      <c r="G746" s="317"/>
      <c r="H746" s="317"/>
      <c r="I746" s="317"/>
      <c r="J746" s="317"/>
      <c r="K746" s="317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>
      <c r="A747" s="317"/>
      <c r="B747" s="318"/>
      <c r="C747" s="317"/>
      <c r="D747" s="317"/>
      <c r="E747" s="317"/>
      <c r="F747" s="317"/>
      <c r="G747" s="317"/>
      <c r="H747" s="317"/>
      <c r="I747" s="317"/>
      <c r="J747" s="317"/>
      <c r="K747" s="317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>
      <c r="A748" s="317"/>
      <c r="B748" s="318"/>
      <c r="C748" s="317"/>
      <c r="D748" s="317"/>
      <c r="E748" s="317"/>
      <c r="F748" s="317"/>
      <c r="G748" s="317"/>
      <c r="H748" s="317"/>
      <c r="I748" s="317"/>
      <c r="J748" s="317"/>
      <c r="K748" s="317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>
      <c r="A749" s="317"/>
      <c r="B749" s="318"/>
      <c r="C749" s="317"/>
      <c r="D749" s="317"/>
      <c r="E749" s="317"/>
      <c r="F749" s="317"/>
      <c r="G749" s="317"/>
      <c r="H749" s="317"/>
      <c r="I749" s="317"/>
      <c r="J749" s="317"/>
      <c r="K749" s="317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>
      <c r="A750" s="317"/>
      <c r="B750" s="318"/>
      <c r="C750" s="317"/>
      <c r="D750" s="317"/>
      <c r="E750" s="317"/>
      <c r="F750" s="317"/>
      <c r="G750" s="317"/>
      <c r="H750" s="317"/>
      <c r="I750" s="317"/>
      <c r="J750" s="317"/>
      <c r="K750" s="317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>
      <c r="A751" s="317"/>
      <c r="B751" s="318"/>
      <c r="C751" s="317"/>
      <c r="D751" s="317"/>
      <c r="E751" s="317"/>
      <c r="F751" s="317"/>
      <c r="G751" s="317"/>
      <c r="H751" s="317"/>
      <c r="I751" s="317"/>
      <c r="J751" s="317"/>
      <c r="K751" s="317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>
      <c r="A752" s="317"/>
      <c r="B752" s="318"/>
      <c r="C752" s="317"/>
      <c r="D752" s="317"/>
      <c r="E752" s="317"/>
      <c r="F752" s="317"/>
      <c r="G752" s="317"/>
      <c r="H752" s="317"/>
      <c r="I752" s="317"/>
      <c r="J752" s="317"/>
      <c r="K752" s="317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>
      <c r="A753" s="317"/>
      <c r="B753" s="318"/>
      <c r="C753" s="317"/>
      <c r="D753" s="317"/>
      <c r="E753" s="317"/>
      <c r="F753" s="317"/>
      <c r="G753" s="317"/>
      <c r="H753" s="317"/>
      <c r="I753" s="317"/>
      <c r="J753" s="317"/>
      <c r="K753" s="317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>
      <c r="A754" s="317"/>
      <c r="B754" s="318"/>
      <c r="C754" s="317"/>
      <c r="D754" s="317"/>
      <c r="E754" s="317"/>
      <c r="F754" s="317"/>
      <c r="G754" s="317"/>
      <c r="H754" s="317"/>
      <c r="I754" s="317"/>
      <c r="J754" s="317"/>
      <c r="K754" s="317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>
      <c r="A755" s="317"/>
      <c r="B755" s="318"/>
      <c r="C755" s="317"/>
      <c r="D755" s="317"/>
      <c r="E755" s="317"/>
      <c r="F755" s="317"/>
      <c r="G755" s="317"/>
      <c r="H755" s="317"/>
      <c r="I755" s="317"/>
      <c r="J755" s="317"/>
      <c r="K755" s="317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>
      <c r="A756" s="317"/>
      <c r="B756" s="318"/>
      <c r="C756" s="317"/>
      <c r="D756" s="317"/>
      <c r="E756" s="317"/>
      <c r="F756" s="317"/>
      <c r="G756" s="317"/>
      <c r="H756" s="317"/>
      <c r="I756" s="317"/>
      <c r="J756" s="317"/>
      <c r="K756" s="317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>
      <c r="A757" s="317"/>
      <c r="B757" s="318"/>
      <c r="C757" s="317"/>
      <c r="D757" s="317"/>
      <c r="E757" s="317"/>
      <c r="F757" s="317"/>
      <c r="G757" s="317"/>
      <c r="H757" s="317"/>
      <c r="I757" s="317"/>
      <c r="J757" s="317"/>
      <c r="K757" s="317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>
      <c r="A758" s="317"/>
      <c r="B758" s="318"/>
      <c r="C758" s="317"/>
      <c r="D758" s="317"/>
      <c r="E758" s="317"/>
      <c r="F758" s="317"/>
      <c r="G758" s="317"/>
      <c r="H758" s="317"/>
      <c r="I758" s="317"/>
      <c r="J758" s="317"/>
      <c r="K758" s="317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>
      <c r="A759" s="317"/>
      <c r="B759" s="318"/>
      <c r="C759" s="317"/>
      <c r="D759" s="317"/>
      <c r="E759" s="317"/>
      <c r="F759" s="317"/>
      <c r="G759" s="317"/>
      <c r="H759" s="317"/>
      <c r="I759" s="317"/>
      <c r="J759" s="317"/>
      <c r="K759" s="317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>
      <c r="A760" s="317"/>
      <c r="B760" s="318"/>
      <c r="C760" s="317"/>
      <c r="D760" s="317"/>
      <c r="E760" s="317"/>
      <c r="F760" s="317"/>
      <c r="G760" s="317"/>
      <c r="H760" s="317"/>
      <c r="I760" s="317"/>
      <c r="J760" s="317"/>
      <c r="K760" s="317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>
      <c r="A761" s="317"/>
      <c r="B761" s="318"/>
      <c r="C761" s="317"/>
      <c r="D761" s="317"/>
      <c r="E761" s="317"/>
      <c r="F761" s="317"/>
      <c r="G761" s="317"/>
      <c r="H761" s="317"/>
      <c r="I761" s="317"/>
      <c r="J761" s="317"/>
      <c r="K761" s="317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>
      <c r="A762" s="317"/>
      <c r="B762" s="318"/>
      <c r="C762" s="317"/>
      <c r="D762" s="317"/>
      <c r="E762" s="317"/>
      <c r="F762" s="317"/>
      <c r="G762" s="317"/>
      <c r="H762" s="317"/>
      <c r="I762" s="317"/>
      <c r="J762" s="317"/>
      <c r="K762" s="317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>
      <c r="A763" s="317"/>
      <c r="B763" s="318"/>
      <c r="C763" s="317"/>
      <c r="D763" s="317"/>
      <c r="E763" s="317"/>
      <c r="F763" s="317"/>
      <c r="G763" s="317"/>
      <c r="H763" s="317"/>
      <c r="I763" s="317"/>
      <c r="J763" s="317"/>
      <c r="K763" s="317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>
      <c r="A764" s="317"/>
      <c r="B764" s="318"/>
      <c r="C764" s="317"/>
      <c r="D764" s="317"/>
      <c r="E764" s="317"/>
      <c r="F764" s="317"/>
      <c r="G764" s="317"/>
      <c r="H764" s="317"/>
      <c r="I764" s="317"/>
      <c r="J764" s="317"/>
      <c r="K764" s="317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>
      <c r="A765" s="317"/>
      <c r="B765" s="318"/>
      <c r="C765" s="317"/>
      <c r="D765" s="317"/>
      <c r="E765" s="317"/>
      <c r="F765" s="317"/>
      <c r="G765" s="317"/>
      <c r="H765" s="317"/>
      <c r="I765" s="317"/>
      <c r="J765" s="317"/>
      <c r="K765" s="317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>
      <c r="A766" s="317"/>
      <c r="B766" s="318"/>
      <c r="C766" s="317"/>
      <c r="D766" s="317"/>
      <c r="E766" s="317"/>
      <c r="F766" s="317"/>
      <c r="G766" s="317"/>
      <c r="H766" s="317"/>
      <c r="I766" s="317"/>
      <c r="J766" s="317"/>
      <c r="K766" s="317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>
      <c r="A767" s="317"/>
      <c r="B767" s="318"/>
      <c r="C767" s="317"/>
      <c r="D767" s="317"/>
      <c r="E767" s="317"/>
      <c r="F767" s="317"/>
      <c r="G767" s="317"/>
      <c r="H767" s="317"/>
      <c r="I767" s="317"/>
      <c r="J767" s="317"/>
      <c r="K767" s="317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>
      <c r="A768" s="317"/>
      <c r="B768" s="318"/>
      <c r="C768" s="317"/>
      <c r="D768" s="317"/>
      <c r="E768" s="317"/>
      <c r="F768" s="317"/>
      <c r="G768" s="317"/>
      <c r="H768" s="317"/>
      <c r="I768" s="317"/>
      <c r="J768" s="317"/>
      <c r="K768" s="317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>
      <c r="A769" s="317"/>
      <c r="B769" s="318"/>
      <c r="C769" s="317"/>
      <c r="D769" s="317"/>
      <c r="E769" s="317"/>
      <c r="F769" s="317"/>
      <c r="G769" s="317"/>
      <c r="H769" s="317"/>
      <c r="I769" s="317"/>
      <c r="J769" s="317"/>
      <c r="K769" s="317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>
      <c r="A770" s="317"/>
      <c r="B770" s="318"/>
      <c r="C770" s="317"/>
      <c r="D770" s="317"/>
      <c r="E770" s="317"/>
      <c r="F770" s="317"/>
      <c r="G770" s="317"/>
      <c r="H770" s="317"/>
      <c r="I770" s="317"/>
      <c r="J770" s="317"/>
      <c r="K770" s="317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>
      <c r="A771" s="317"/>
      <c r="B771" s="318"/>
      <c r="C771" s="317"/>
      <c r="D771" s="317"/>
      <c r="E771" s="317"/>
      <c r="F771" s="317"/>
      <c r="G771" s="317"/>
      <c r="H771" s="317"/>
      <c r="I771" s="317"/>
      <c r="J771" s="317"/>
      <c r="K771" s="317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>
      <c r="A772" s="317"/>
      <c r="B772" s="318"/>
      <c r="C772" s="317"/>
      <c r="D772" s="317"/>
      <c r="E772" s="317"/>
      <c r="F772" s="317"/>
      <c r="G772" s="317"/>
      <c r="H772" s="317"/>
      <c r="I772" s="317"/>
      <c r="J772" s="317"/>
      <c r="K772" s="317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>
      <c r="A773" s="317"/>
      <c r="B773" s="318"/>
      <c r="C773" s="317"/>
      <c r="D773" s="317"/>
      <c r="E773" s="317"/>
      <c r="F773" s="317"/>
      <c r="G773" s="317"/>
      <c r="H773" s="317"/>
      <c r="I773" s="317"/>
      <c r="J773" s="317"/>
      <c r="K773" s="317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>
      <c r="A774" s="317"/>
      <c r="B774" s="318"/>
      <c r="C774" s="317"/>
      <c r="D774" s="317"/>
      <c r="E774" s="317"/>
      <c r="F774" s="317"/>
      <c r="G774" s="317"/>
      <c r="H774" s="317"/>
      <c r="I774" s="317"/>
      <c r="J774" s="317"/>
      <c r="K774" s="317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>
      <c r="A775" s="317"/>
      <c r="B775" s="318"/>
      <c r="C775" s="317"/>
      <c r="D775" s="317"/>
      <c r="E775" s="317"/>
      <c r="F775" s="317"/>
      <c r="G775" s="317"/>
      <c r="H775" s="317"/>
      <c r="I775" s="317"/>
      <c r="J775" s="317"/>
      <c r="K775" s="317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>
      <c r="A776" s="317"/>
      <c r="B776" s="318"/>
      <c r="C776" s="317"/>
      <c r="D776" s="317"/>
      <c r="E776" s="317"/>
      <c r="F776" s="317"/>
      <c r="G776" s="317"/>
      <c r="H776" s="317"/>
      <c r="I776" s="317"/>
      <c r="J776" s="317"/>
      <c r="K776" s="317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>
      <c r="A777" s="317"/>
      <c r="B777" s="318"/>
      <c r="C777" s="317"/>
      <c r="D777" s="317"/>
      <c r="E777" s="317"/>
      <c r="F777" s="317"/>
      <c r="G777" s="317"/>
      <c r="H777" s="317"/>
      <c r="I777" s="317"/>
      <c r="J777" s="317"/>
      <c r="K777" s="317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>
      <c r="A778" s="317"/>
      <c r="B778" s="318"/>
      <c r="C778" s="317"/>
      <c r="D778" s="317"/>
      <c r="E778" s="317"/>
      <c r="F778" s="317"/>
      <c r="G778" s="317"/>
      <c r="H778" s="317"/>
      <c r="I778" s="317"/>
      <c r="J778" s="317"/>
      <c r="K778" s="317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>
      <c r="A779" s="317"/>
      <c r="B779" s="318"/>
      <c r="C779" s="317"/>
      <c r="D779" s="317"/>
      <c r="E779" s="317"/>
      <c r="F779" s="317"/>
      <c r="G779" s="317"/>
      <c r="H779" s="317"/>
      <c r="I779" s="317"/>
      <c r="J779" s="317"/>
      <c r="K779" s="317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>
      <c r="A780" s="317"/>
      <c r="B780" s="318"/>
      <c r="C780" s="317"/>
      <c r="D780" s="317"/>
      <c r="E780" s="317"/>
      <c r="F780" s="317"/>
      <c r="G780" s="317"/>
      <c r="H780" s="317"/>
      <c r="I780" s="317"/>
      <c r="J780" s="317"/>
      <c r="K780" s="317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>
      <c r="A781" s="317"/>
      <c r="B781" s="318"/>
      <c r="C781" s="317"/>
      <c r="D781" s="317"/>
      <c r="E781" s="317"/>
      <c r="F781" s="317"/>
      <c r="G781" s="317"/>
      <c r="H781" s="317"/>
      <c r="I781" s="317"/>
      <c r="J781" s="317"/>
      <c r="K781" s="317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>
      <c r="A782" s="317"/>
      <c r="B782" s="318"/>
      <c r="C782" s="317"/>
      <c r="D782" s="317"/>
      <c r="E782" s="317"/>
      <c r="F782" s="317"/>
      <c r="G782" s="317"/>
      <c r="H782" s="317"/>
      <c r="I782" s="317"/>
      <c r="J782" s="317"/>
      <c r="K782" s="317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>
      <c r="A783" s="317"/>
      <c r="B783" s="318"/>
      <c r="C783" s="317"/>
      <c r="D783" s="317"/>
      <c r="E783" s="317"/>
      <c r="F783" s="317"/>
      <c r="G783" s="317"/>
      <c r="H783" s="317"/>
      <c r="I783" s="317"/>
      <c r="J783" s="317"/>
      <c r="K783" s="317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>
      <c r="A784" s="317"/>
      <c r="B784" s="318"/>
      <c r="C784" s="317"/>
      <c r="D784" s="317"/>
      <c r="E784" s="317"/>
      <c r="F784" s="317"/>
      <c r="G784" s="317"/>
      <c r="H784" s="317"/>
      <c r="I784" s="317"/>
      <c r="J784" s="317"/>
      <c r="K784" s="317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>
      <c r="A785" s="317"/>
      <c r="B785" s="318"/>
      <c r="C785" s="317"/>
      <c r="D785" s="317"/>
      <c r="E785" s="317"/>
      <c r="F785" s="317"/>
      <c r="G785" s="317"/>
      <c r="H785" s="317"/>
      <c r="I785" s="317"/>
      <c r="J785" s="317"/>
      <c r="K785" s="317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>
      <c r="A786" s="317"/>
      <c r="B786" s="318"/>
      <c r="C786" s="317"/>
      <c r="D786" s="317"/>
      <c r="E786" s="317"/>
      <c r="F786" s="317"/>
      <c r="G786" s="317"/>
      <c r="H786" s="317"/>
      <c r="I786" s="317"/>
      <c r="J786" s="317"/>
      <c r="K786" s="317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>
      <c r="A787" s="317"/>
      <c r="B787" s="318"/>
      <c r="C787" s="317"/>
      <c r="D787" s="317"/>
      <c r="E787" s="317"/>
      <c r="F787" s="317"/>
      <c r="G787" s="317"/>
      <c r="H787" s="317"/>
      <c r="I787" s="317"/>
      <c r="J787" s="317"/>
      <c r="K787" s="317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>
      <c r="A788" s="317"/>
      <c r="B788" s="318"/>
      <c r="C788" s="317"/>
      <c r="D788" s="317"/>
      <c r="E788" s="317"/>
      <c r="F788" s="317"/>
      <c r="G788" s="317"/>
      <c r="H788" s="317"/>
      <c r="I788" s="317"/>
      <c r="J788" s="317"/>
      <c r="K788" s="317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>
      <c r="A789" s="317"/>
      <c r="B789" s="318"/>
      <c r="C789" s="317"/>
      <c r="D789" s="317"/>
      <c r="E789" s="317"/>
      <c r="F789" s="317"/>
      <c r="G789" s="317"/>
      <c r="H789" s="317"/>
      <c r="I789" s="317"/>
      <c r="J789" s="317"/>
      <c r="K789" s="317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>
      <c r="A790" s="317"/>
      <c r="B790" s="318"/>
      <c r="C790" s="317"/>
      <c r="D790" s="317"/>
      <c r="E790" s="317"/>
      <c r="F790" s="317"/>
      <c r="G790" s="317"/>
      <c r="H790" s="317"/>
      <c r="I790" s="317"/>
      <c r="J790" s="317"/>
      <c r="K790" s="317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>
      <c r="A791" s="317"/>
      <c r="B791" s="318"/>
      <c r="C791" s="317"/>
      <c r="D791" s="317"/>
      <c r="E791" s="317"/>
      <c r="F791" s="317"/>
      <c r="G791" s="317"/>
      <c r="H791" s="317"/>
      <c r="I791" s="317"/>
      <c r="J791" s="317"/>
      <c r="K791" s="317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>
      <c r="A792" s="317"/>
      <c r="B792" s="318"/>
      <c r="C792" s="317"/>
      <c r="D792" s="317"/>
      <c r="E792" s="317"/>
      <c r="F792" s="317"/>
      <c r="G792" s="317"/>
      <c r="H792" s="317"/>
      <c r="I792" s="317"/>
      <c r="J792" s="317"/>
      <c r="K792" s="317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>
      <c r="A793" s="317"/>
      <c r="B793" s="318"/>
      <c r="C793" s="317"/>
      <c r="D793" s="317"/>
      <c r="E793" s="317"/>
      <c r="F793" s="317"/>
      <c r="G793" s="317"/>
      <c r="H793" s="317"/>
      <c r="I793" s="317"/>
      <c r="J793" s="317"/>
      <c r="K793" s="317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>
      <c r="A794" s="317"/>
      <c r="B794" s="318"/>
      <c r="C794" s="317"/>
      <c r="D794" s="317"/>
      <c r="E794" s="317"/>
      <c r="F794" s="317"/>
      <c r="G794" s="317"/>
      <c r="H794" s="317"/>
      <c r="I794" s="317"/>
      <c r="J794" s="317"/>
      <c r="K794" s="317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>
      <c r="A795" s="317"/>
      <c r="B795" s="318"/>
      <c r="C795" s="317"/>
      <c r="D795" s="317"/>
      <c r="E795" s="317"/>
      <c r="F795" s="317"/>
      <c r="G795" s="317"/>
      <c r="H795" s="317"/>
      <c r="I795" s="317"/>
      <c r="J795" s="317"/>
      <c r="K795" s="317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>
      <c r="A796" s="317"/>
      <c r="B796" s="318"/>
      <c r="C796" s="317"/>
      <c r="D796" s="317"/>
      <c r="E796" s="317"/>
      <c r="F796" s="317"/>
      <c r="G796" s="317"/>
      <c r="H796" s="317"/>
      <c r="I796" s="317"/>
      <c r="J796" s="317"/>
      <c r="K796" s="317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>
      <c r="A797" s="317"/>
      <c r="B797" s="318"/>
      <c r="C797" s="317"/>
      <c r="D797" s="317"/>
      <c r="E797" s="317"/>
      <c r="F797" s="317"/>
      <c r="G797" s="317"/>
      <c r="H797" s="317"/>
      <c r="I797" s="317"/>
      <c r="J797" s="317"/>
      <c r="K797" s="317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>
      <c r="A798" s="317"/>
      <c r="B798" s="318"/>
      <c r="C798" s="317"/>
      <c r="D798" s="317"/>
      <c r="E798" s="317"/>
      <c r="F798" s="317"/>
      <c r="G798" s="317"/>
      <c r="H798" s="317"/>
      <c r="I798" s="317"/>
      <c r="J798" s="317"/>
      <c r="K798" s="317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>
      <c r="A799" s="317"/>
      <c r="B799" s="318"/>
      <c r="C799" s="317"/>
      <c r="D799" s="317"/>
      <c r="E799" s="317"/>
      <c r="F799" s="317"/>
      <c r="G799" s="317"/>
      <c r="H799" s="317"/>
      <c r="I799" s="317"/>
      <c r="J799" s="317"/>
      <c r="K799" s="317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>
      <c r="A800" s="317"/>
      <c r="B800" s="318"/>
      <c r="C800" s="317"/>
      <c r="D800" s="317"/>
      <c r="E800" s="317"/>
      <c r="F800" s="317"/>
      <c r="G800" s="317"/>
      <c r="H800" s="317"/>
      <c r="I800" s="317"/>
      <c r="J800" s="317"/>
      <c r="K800" s="317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>
      <c r="A801" s="317"/>
      <c r="B801" s="318"/>
      <c r="C801" s="317"/>
      <c r="D801" s="317"/>
      <c r="E801" s="317"/>
      <c r="F801" s="317"/>
      <c r="G801" s="317"/>
      <c r="H801" s="317"/>
      <c r="I801" s="317"/>
      <c r="J801" s="317"/>
      <c r="K801" s="317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>
      <c r="A802" s="317"/>
      <c r="B802" s="318"/>
      <c r="C802" s="317"/>
      <c r="D802" s="317"/>
      <c r="E802" s="317"/>
      <c r="F802" s="317"/>
      <c r="G802" s="317"/>
      <c r="H802" s="317"/>
      <c r="I802" s="317"/>
      <c r="J802" s="317"/>
      <c r="K802" s="317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>
      <c r="A803" s="317"/>
      <c r="B803" s="318"/>
      <c r="C803" s="317"/>
      <c r="D803" s="317"/>
      <c r="E803" s="317"/>
      <c r="F803" s="317"/>
      <c r="G803" s="317"/>
      <c r="H803" s="317"/>
      <c r="I803" s="317"/>
      <c r="J803" s="317"/>
      <c r="K803" s="317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>
      <c r="A804" s="317"/>
      <c r="B804" s="318"/>
      <c r="C804" s="317"/>
      <c r="D804" s="317"/>
      <c r="E804" s="317"/>
      <c r="F804" s="317"/>
      <c r="G804" s="317"/>
      <c r="H804" s="317"/>
      <c r="I804" s="317"/>
      <c r="J804" s="317"/>
      <c r="K804" s="317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>
      <c r="A805" s="317"/>
      <c r="B805" s="318"/>
      <c r="C805" s="317"/>
      <c r="D805" s="317"/>
      <c r="E805" s="317"/>
      <c r="F805" s="317"/>
      <c r="G805" s="317"/>
      <c r="H805" s="317"/>
      <c r="I805" s="317"/>
      <c r="J805" s="317"/>
      <c r="K805" s="317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>
      <c r="A806" s="317"/>
      <c r="B806" s="318"/>
      <c r="C806" s="317"/>
      <c r="D806" s="317"/>
      <c r="E806" s="317"/>
      <c r="F806" s="317"/>
      <c r="G806" s="317"/>
      <c r="H806" s="317"/>
      <c r="I806" s="317"/>
      <c r="J806" s="317"/>
      <c r="K806" s="317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>
      <c r="A807" s="317"/>
      <c r="B807" s="318"/>
      <c r="C807" s="317"/>
      <c r="D807" s="317"/>
      <c r="E807" s="317"/>
      <c r="F807" s="317"/>
      <c r="G807" s="317"/>
      <c r="H807" s="317"/>
      <c r="I807" s="317"/>
      <c r="J807" s="317"/>
      <c r="K807" s="317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>
      <c r="A808" s="317"/>
      <c r="B808" s="318"/>
      <c r="C808" s="317"/>
      <c r="D808" s="317"/>
      <c r="E808" s="317"/>
      <c r="F808" s="317"/>
      <c r="G808" s="317"/>
      <c r="H808" s="317"/>
      <c r="I808" s="317"/>
      <c r="J808" s="317"/>
      <c r="K808" s="317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>
      <c r="A809" s="317"/>
      <c r="B809" s="318"/>
      <c r="C809" s="317"/>
      <c r="D809" s="317"/>
      <c r="E809" s="317"/>
      <c r="F809" s="317"/>
      <c r="G809" s="317"/>
      <c r="H809" s="317"/>
      <c r="I809" s="317"/>
      <c r="J809" s="317"/>
      <c r="K809" s="317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>
      <c r="A810" s="317"/>
      <c r="B810" s="318"/>
      <c r="C810" s="317"/>
      <c r="D810" s="317"/>
      <c r="E810" s="317"/>
      <c r="F810" s="317"/>
      <c r="G810" s="317"/>
      <c r="H810" s="317"/>
      <c r="I810" s="317"/>
      <c r="J810" s="317"/>
      <c r="K810" s="317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>
      <c r="A811" s="317"/>
      <c r="B811" s="318"/>
      <c r="C811" s="317"/>
      <c r="D811" s="317"/>
      <c r="E811" s="317"/>
      <c r="F811" s="317"/>
      <c r="G811" s="317"/>
      <c r="H811" s="317"/>
      <c r="I811" s="317"/>
      <c r="J811" s="317"/>
      <c r="K811" s="317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>
      <c r="A812" s="317"/>
      <c r="B812" s="318"/>
      <c r="C812" s="317"/>
      <c r="D812" s="317"/>
      <c r="E812" s="317"/>
      <c r="F812" s="317"/>
      <c r="G812" s="317"/>
      <c r="H812" s="317"/>
      <c r="I812" s="317"/>
      <c r="J812" s="317"/>
      <c r="K812" s="317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>
      <c r="A813" s="317"/>
      <c r="B813" s="318"/>
      <c r="C813" s="317"/>
      <c r="D813" s="317"/>
      <c r="E813" s="317"/>
      <c r="F813" s="317"/>
      <c r="G813" s="317"/>
      <c r="H813" s="317"/>
      <c r="I813" s="317"/>
      <c r="J813" s="317"/>
      <c r="K813" s="317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>
      <c r="A814" s="317"/>
      <c r="B814" s="318"/>
      <c r="C814" s="317"/>
      <c r="D814" s="317"/>
      <c r="E814" s="317"/>
      <c r="F814" s="317"/>
      <c r="G814" s="317"/>
      <c r="H814" s="317"/>
      <c r="I814" s="317"/>
      <c r="J814" s="317"/>
      <c r="K814" s="317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>
      <c r="A815" s="317"/>
      <c r="B815" s="318"/>
      <c r="C815" s="317"/>
      <c r="D815" s="317"/>
      <c r="E815" s="317"/>
      <c r="F815" s="317"/>
      <c r="G815" s="317"/>
      <c r="H815" s="317"/>
      <c r="I815" s="317"/>
      <c r="J815" s="317"/>
      <c r="K815" s="317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>
      <c r="A816" s="317"/>
      <c r="B816" s="318"/>
      <c r="C816" s="317"/>
      <c r="D816" s="317"/>
      <c r="E816" s="317"/>
      <c r="F816" s="317"/>
      <c r="G816" s="317"/>
      <c r="H816" s="317"/>
      <c r="I816" s="317"/>
      <c r="J816" s="317"/>
      <c r="K816" s="317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>
      <c r="A817" s="317"/>
      <c r="B817" s="318"/>
      <c r="C817" s="317"/>
      <c r="D817" s="317"/>
      <c r="E817" s="317"/>
      <c r="F817" s="317"/>
      <c r="G817" s="317"/>
      <c r="H817" s="317"/>
      <c r="I817" s="317"/>
      <c r="J817" s="317"/>
      <c r="K817" s="317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>
      <c r="A818" s="317"/>
      <c r="B818" s="318"/>
      <c r="C818" s="317"/>
      <c r="D818" s="317"/>
      <c r="E818" s="317"/>
      <c r="F818" s="317"/>
      <c r="G818" s="317"/>
      <c r="H818" s="317"/>
      <c r="I818" s="317"/>
      <c r="J818" s="317"/>
      <c r="K818" s="317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>
      <c r="A819" s="317"/>
      <c r="B819" s="318"/>
      <c r="C819" s="317"/>
      <c r="D819" s="317"/>
      <c r="E819" s="317"/>
      <c r="F819" s="317"/>
      <c r="G819" s="317"/>
      <c r="H819" s="317"/>
      <c r="I819" s="317"/>
      <c r="J819" s="317"/>
      <c r="K819" s="317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>
      <c r="A820" s="317"/>
      <c r="B820" s="318"/>
      <c r="C820" s="317"/>
      <c r="D820" s="317"/>
      <c r="E820" s="317"/>
      <c r="F820" s="317"/>
      <c r="G820" s="317"/>
      <c r="H820" s="317"/>
      <c r="I820" s="317"/>
      <c r="J820" s="317"/>
      <c r="K820" s="317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>
      <c r="A821" s="317"/>
      <c r="B821" s="318"/>
      <c r="C821" s="317"/>
      <c r="D821" s="317"/>
      <c r="E821" s="317"/>
      <c r="F821" s="317"/>
      <c r="G821" s="317"/>
      <c r="H821" s="317"/>
      <c r="I821" s="317"/>
      <c r="J821" s="317"/>
      <c r="K821" s="317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>
      <c r="A822" s="317"/>
      <c r="B822" s="318"/>
      <c r="C822" s="317"/>
      <c r="D822" s="317"/>
      <c r="E822" s="317"/>
      <c r="F822" s="317"/>
      <c r="G822" s="317"/>
      <c r="H822" s="317"/>
      <c r="I822" s="317"/>
      <c r="J822" s="317"/>
      <c r="K822" s="317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>
      <c r="A823" s="317"/>
      <c r="B823" s="318"/>
      <c r="C823" s="317"/>
      <c r="D823" s="317"/>
      <c r="E823" s="317"/>
      <c r="F823" s="317"/>
      <c r="G823" s="317"/>
      <c r="H823" s="317"/>
      <c r="I823" s="317"/>
      <c r="J823" s="317"/>
      <c r="K823" s="317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>
      <c r="A824" s="317"/>
      <c r="B824" s="318"/>
      <c r="C824" s="317"/>
      <c r="D824" s="317"/>
      <c r="E824" s="317"/>
      <c r="F824" s="317"/>
      <c r="G824" s="317"/>
      <c r="H824" s="317"/>
      <c r="I824" s="317"/>
      <c r="J824" s="317"/>
      <c r="K824" s="317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>
      <c r="A825" s="317"/>
      <c r="B825" s="318"/>
      <c r="C825" s="317"/>
      <c r="D825" s="317"/>
      <c r="E825" s="317"/>
      <c r="F825" s="317"/>
      <c r="G825" s="317"/>
      <c r="H825" s="317"/>
      <c r="I825" s="317"/>
      <c r="J825" s="317"/>
      <c r="K825" s="317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>
      <c r="A826" s="317"/>
      <c r="B826" s="318"/>
      <c r="C826" s="317"/>
      <c r="D826" s="317"/>
      <c r="E826" s="317"/>
      <c r="F826" s="317"/>
      <c r="G826" s="317"/>
      <c r="H826" s="317"/>
      <c r="I826" s="317"/>
      <c r="J826" s="317"/>
      <c r="K826" s="317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>
      <c r="A827" s="317"/>
      <c r="B827" s="318"/>
      <c r="C827" s="317"/>
      <c r="D827" s="317"/>
      <c r="E827" s="317"/>
      <c r="F827" s="317"/>
      <c r="G827" s="317"/>
      <c r="H827" s="317"/>
      <c r="I827" s="317"/>
      <c r="J827" s="317"/>
      <c r="K827" s="317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>
      <c r="A828" s="317"/>
      <c r="B828" s="318"/>
      <c r="C828" s="317"/>
      <c r="D828" s="317"/>
      <c r="E828" s="317"/>
      <c r="F828" s="317"/>
      <c r="G828" s="317"/>
      <c r="H828" s="317"/>
      <c r="I828" s="317"/>
      <c r="J828" s="317"/>
      <c r="K828" s="317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>
      <c r="A829" s="317"/>
      <c r="B829" s="318"/>
      <c r="C829" s="317"/>
      <c r="D829" s="317"/>
      <c r="E829" s="317"/>
      <c r="F829" s="317"/>
      <c r="G829" s="317"/>
      <c r="H829" s="317"/>
      <c r="I829" s="317"/>
      <c r="J829" s="317"/>
      <c r="K829" s="317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>
      <c r="A830" s="317"/>
      <c r="B830" s="318"/>
      <c r="C830" s="317"/>
      <c r="D830" s="317"/>
      <c r="E830" s="317"/>
      <c r="F830" s="317"/>
      <c r="G830" s="317"/>
      <c r="H830" s="317"/>
      <c r="I830" s="317"/>
      <c r="J830" s="317"/>
      <c r="K830" s="317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>
      <c r="A831" s="317"/>
      <c r="B831" s="318"/>
      <c r="C831" s="317"/>
      <c r="D831" s="317"/>
      <c r="E831" s="317"/>
      <c r="F831" s="317"/>
      <c r="G831" s="317"/>
      <c r="H831" s="317"/>
      <c r="I831" s="317"/>
      <c r="J831" s="317"/>
      <c r="K831" s="317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>
      <c r="A832" s="317"/>
      <c r="B832" s="318"/>
      <c r="C832" s="317"/>
      <c r="D832" s="317"/>
      <c r="E832" s="317"/>
      <c r="F832" s="317"/>
      <c r="G832" s="317"/>
      <c r="H832" s="317"/>
      <c r="I832" s="317"/>
      <c r="J832" s="317"/>
      <c r="K832" s="317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>
      <c r="A833" s="317"/>
      <c r="B833" s="318"/>
      <c r="C833" s="317"/>
      <c r="D833" s="317"/>
      <c r="E833" s="317"/>
      <c r="F833" s="317"/>
      <c r="G833" s="317"/>
      <c r="H833" s="317"/>
      <c r="I833" s="317"/>
      <c r="J833" s="317"/>
      <c r="K833" s="317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>
      <c r="A834" s="317"/>
      <c r="B834" s="318"/>
      <c r="C834" s="317"/>
      <c r="D834" s="317"/>
      <c r="E834" s="317"/>
      <c r="F834" s="317"/>
      <c r="G834" s="317"/>
      <c r="H834" s="317"/>
      <c r="I834" s="317"/>
      <c r="J834" s="317"/>
      <c r="K834" s="317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>
      <c r="A835" s="317"/>
      <c r="B835" s="318"/>
      <c r="C835" s="317"/>
      <c r="D835" s="317"/>
      <c r="E835" s="317"/>
      <c r="F835" s="317"/>
      <c r="G835" s="317"/>
      <c r="H835" s="317"/>
      <c r="I835" s="317"/>
      <c r="J835" s="317"/>
      <c r="K835" s="317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>
      <c r="A836" s="317"/>
      <c r="B836" s="318"/>
      <c r="C836" s="317"/>
      <c r="D836" s="317"/>
      <c r="E836" s="317"/>
      <c r="F836" s="317"/>
      <c r="G836" s="317"/>
      <c r="H836" s="317"/>
      <c r="I836" s="317"/>
      <c r="J836" s="317"/>
      <c r="K836" s="317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>
      <c r="A837" s="317"/>
      <c r="B837" s="318"/>
      <c r="C837" s="317"/>
      <c r="D837" s="317"/>
      <c r="E837" s="317"/>
      <c r="F837" s="317"/>
      <c r="G837" s="317"/>
      <c r="H837" s="317"/>
      <c r="I837" s="317"/>
      <c r="J837" s="317"/>
      <c r="K837" s="317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>
      <c r="A838" s="317"/>
      <c r="B838" s="318"/>
      <c r="C838" s="317"/>
      <c r="D838" s="317"/>
      <c r="E838" s="317"/>
      <c r="F838" s="317"/>
      <c r="G838" s="317"/>
      <c r="H838" s="317"/>
      <c r="I838" s="317"/>
      <c r="J838" s="317"/>
      <c r="K838" s="317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>
      <c r="A839" s="317"/>
      <c r="B839" s="318"/>
      <c r="C839" s="317"/>
      <c r="D839" s="317"/>
      <c r="E839" s="317"/>
      <c r="F839" s="317"/>
      <c r="G839" s="317"/>
      <c r="H839" s="317"/>
      <c r="I839" s="317"/>
      <c r="J839" s="317"/>
      <c r="K839" s="317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>
      <c r="A840" s="317"/>
      <c r="B840" s="318"/>
      <c r="C840" s="317"/>
      <c r="D840" s="317"/>
      <c r="E840" s="317"/>
      <c r="F840" s="317"/>
      <c r="G840" s="317"/>
      <c r="H840" s="317"/>
      <c r="I840" s="317"/>
      <c r="J840" s="317"/>
      <c r="K840" s="317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>
      <c r="A841" s="317"/>
      <c r="B841" s="318"/>
      <c r="C841" s="317"/>
      <c r="D841" s="317"/>
      <c r="E841" s="317"/>
      <c r="F841" s="317"/>
      <c r="G841" s="317"/>
      <c r="H841" s="317"/>
      <c r="I841" s="317"/>
      <c r="J841" s="317"/>
      <c r="K841" s="317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>
      <c r="A842" s="317"/>
      <c r="B842" s="318"/>
      <c r="C842" s="317"/>
      <c r="D842" s="317"/>
      <c r="E842" s="317"/>
      <c r="F842" s="317"/>
      <c r="G842" s="317"/>
      <c r="H842" s="317"/>
      <c r="I842" s="317"/>
      <c r="J842" s="317"/>
      <c r="K842" s="317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>
      <c r="A843" s="317"/>
      <c r="B843" s="318"/>
      <c r="C843" s="317"/>
      <c r="D843" s="317"/>
      <c r="E843" s="317"/>
      <c r="F843" s="317"/>
      <c r="G843" s="317"/>
      <c r="H843" s="317"/>
      <c r="I843" s="317"/>
      <c r="J843" s="317"/>
      <c r="K843" s="317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>
      <c r="A844" s="317"/>
      <c r="B844" s="318"/>
      <c r="C844" s="317"/>
      <c r="D844" s="317"/>
      <c r="E844" s="317"/>
      <c r="F844" s="317"/>
      <c r="G844" s="317"/>
      <c r="H844" s="317"/>
      <c r="I844" s="317"/>
      <c r="J844" s="317"/>
      <c r="K844" s="317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>
      <c r="A845" s="317"/>
      <c r="B845" s="318"/>
      <c r="C845" s="317"/>
      <c r="D845" s="317"/>
      <c r="E845" s="317"/>
      <c r="F845" s="317"/>
      <c r="G845" s="317"/>
      <c r="H845" s="317"/>
      <c r="I845" s="317"/>
      <c r="J845" s="317"/>
      <c r="K845" s="317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>
      <c r="A846" s="317"/>
      <c r="B846" s="318"/>
      <c r="C846" s="317"/>
      <c r="D846" s="317"/>
      <c r="E846" s="317"/>
      <c r="F846" s="317"/>
      <c r="G846" s="317"/>
      <c r="H846" s="317"/>
      <c r="I846" s="317"/>
      <c r="J846" s="317"/>
      <c r="K846" s="317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>
      <c r="A847" s="317"/>
      <c r="B847" s="318"/>
      <c r="C847" s="317"/>
      <c r="D847" s="317"/>
      <c r="E847" s="317"/>
      <c r="F847" s="317"/>
      <c r="G847" s="317"/>
      <c r="H847" s="317"/>
      <c r="I847" s="317"/>
      <c r="J847" s="317"/>
      <c r="K847" s="317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>
      <c r="A848" s="317"/>
      <c r="B848" s="318"/>
      <c r="C848" s="317"/>
      <c r="D848" s="317"/>
      <c r="E848" s="317"/>
      <c r="F848" s="317"/>
      <c r="G848" s="317"/>
      <c r="H848" s="317"/>
      <c r="I848" s="317"/>
      <c r="J848" s="317"/>
      <c r="K848" s="317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>
      <c r="A849" s="317"/>
      <c r="B849" s="318"/>
      <c r="C849" s="317"/>
      <c r="D849" s="317"/>
      <c r="E849" s="317"/>
      <c r="F849" s="317"/>
      <c r="G849" s="317"/>
      <c r="H849" s="317"/>
      <c r="I849" s="317"/>
      <c r="J849" s="317"/>
      <c r="K849" s="317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>
      <c r="A850" s="317"/>
      <c r="B850" s="318"/>
      <c r="C850" s="317"/>
      <c r="D850" s="317"/>
      <c r="E850" s="317"/>
      <c r="F850" s="317"/>
      <c r="G850" s="317"/>
      <c r="H850" s="317"/>
      <c r="I850" s="317"/>
      <c r="J850" s="317"/>
      <c r="K850" s="317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>
      <c r="A851" s="317"/>
      <c r="B851" s="318"/>
      <c r="C851" s="317"/>
      <c r="D851" s="317"/>
      <c r="E851" s="317"/>
      <c r="F851" s="317"/>
      <c r="G851" s="317"/>
      <c r="H851" s="317"/>
      <c r="I851" s="317"/>
      <c r="J851" s="317"/>
      <c r="K851" s="317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>
      <c r="A852" s="317"/>
      <c r="B852" s="318"/>
      <c r="C852" s="317"/>
      <c r="D852" s="317"/>
      <c r="E852" s="317"/>
      <c r="F852" s="317"/>
      <c r="G852" s="317"/>
      <c r="H852" s="317"/>
      <c r="I852" s="317"/>
      <c r="J852" s="317"/>
      <c r="K852" s="317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>
      <c r="A853" s="317"/>
      <c r="B853" s="318"/>
      <c r="C853" s="317"/>
      <c r="D853" s="317"/>
      <c r="E853" s="317"/>
      <c r="F853" s="317"/>
      <c r="G853" s="317"/>
      <c r="H853" s="317"/>
      <c r="I853" s="317"/>
      <c r="J853" s="317"/>
      <c r="K853" s="317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  <row r="854">
      <c r="A854" s="317"/>
      <c r="B854" s="318"/>
      <c r="C854" s="317"/>
      <c r="D854" s="317"/>
      <c r="E854" s="317"/>
      <c r="F854" s="317"/>
      <c r="G854" s="317"/>
      <c r="H854" s="317"/>
      <c r="I854" s="317"/>
      <c r="J854" s="317"/>
      <c r="K854" s="317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</row>
    <row r="855">
      <c r="A855" s="317"/>
      <c r="B855" s="318"/>
      <c r="C855" s="317"/>
      <c r="D855" s="317"/>
      <c r="E855" s="317"/>
      <c r="F855" s="317"/>
      <c r="G855" s="317"/>
      <c r="H855" s="317"/>
      <c r="I855" s="317"/>
      <c r="J855" s="317"/>
      <c r="K855" s="317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</row>
    <row r="856">
      <c r="A856" s="317"/>
      <c r="B856" s="318"/>
      <c r="C856" s="317"/>
      <c r="D856" s="317"/>
      <c r="E856" s="317"/>
      <c r="F856" s="317"/>
      <c r="G856" s="317"/>
      <c r="H856" s="317"/>
      <c r="I856" s="317"/>
      <c r="J856" s="317"/>
      <c r="K856" s="317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</row>
    <row r="857">
      <c r="A857" s="317"/>
      <c r="B857" s="318"/>
      <c r="C857" s="317"/>
      <c r="D857" s="317"/>
      <c r="E857" s="317"/>
      <c r="F857" s="317"/>
      <c r="G857" s="317"/>
      <c r="H857" s="317"/>
      <c r="I857" s="317"/>
      <c r="J857" s="317"/>
      <c r="K857" s="317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</row>
    <row r="858">
      <c r="A858" s="317"/>
      <c r="B858" s="318"/>
      <c r="C858" s="317"/>
      <c r="D858" s="317"/>
      <c r="E858" s="317"/>
      <c r="F858" s="317"/>
      <c r="G858" s="317"/>
      <c r="H858" s="317"/>
      <c r="I858" s="317"/>
      <c r="J858" s="317"/>
      <c r="K858" s="317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</row>
    <row r="859">
      <c r="A859" s="317"/>
      <c r="B859" s="318"/>
      <c r="C859" s="317"/>
      <c r="D859" s="317"/>
      <c r="E859" s="317"/>
      <c r="F859" s="317"/>
      <c r="G859" s="317"/>
      <c r="H859" s="317"/>
      <c r="I859" s="317"/>
      <c r="J859" s="317"/>
      <c r="K859" s="317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</row>
    <row r="860">
      <c r="A860" s="317"/>
      <c r="B860" s="318"/>
      <c r="C860" s="317"/>
      <c r="D860" s="317"/>
      <c r="E860" s="317"/>
      <c r="F860" s="317"/>
      <c r="G860" s="317"/>
      <c r="H860" s="317"/>
      <c r="I860" s="317"/>
      <c r="J860" s="317"/>
      <c r="K860" s="317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</row>
    <row r="861">
      <c r="A861" s="317"/>
      <c r="B861" s="318"/>
      <c r="C861" s="317"/>
      <c r="D861" s="317"/>
      <c r="E861" s="317"/>
      <c r="F861" s="317"/>
      <c r="G861" s="317"/>
      <c r="H861" s="317"/>
      <c r="I861" s="317"/>
      <c r="J861" s="317"/>
      <c r="K861" s="317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</row>
    <row r="862">
      <c r="A862" s="317"/>
      <c r="B862" s="318"/>
      <c r="C862" s="317"/>
      <c r="D862" s="317"/>
      <c r="E862" s="317"/>
      <c r="F862" s="317"/>
      <c r="G862" s="317"/>
      <c r="H862" s="317"/>
      <c r="I862" s="317"/>
      <c r="J862" s="317"/>
      <c r="K862" s="317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</row>
    <row r="863">
      <c r="A863" s="317"/>
      <c r="B863" s="318"/>
      <c r="C863" s="317"/>
      <c r="D863" s="317"/>
      <c r="E863" s="317"/>
      <c r="F863" s="317"/>
      <c r="G863" s="317"/>
      <c r="H863" s="317"/>
      <c r="I863" s="317"/>
      <c r="J863" s="317"/>
      <c r="K863" s="317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</row>
    <row r="864">
      <c r="A864" s="317"/>
      <c r="B864" s="318"/>
      <c r="C864" s="317"/>
      <c r="D864" s="317"/>
      <c r="E864" s="317"/>
      <c r="F864" s="317"/>
      <c r="G864" s="317"/>
      <c r="H864" s="317"/>
      <c r="I864" s="317"/>
      <c r="J864" s="317"/>
      <c r="K864" s="317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</row>
    <row r="865">
      <c r="A865" s="317"/>
      <c r="B865" s="318"/>
      <c r="C865" s="317"/>
      <c r="D865" s="317"/>
      <c r="E865" s="317"/>
      <c r="F865" s="317"/>
      <c r="G865" s="317"/>
      <c r="H865" s="317"/>
      <c r="I865" s="317"/>
      <c r="J865" s="317"/>
      <c r="K865" s="317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</row>
    <row r="866">
      <c r="A866" s="317"/>
      <c r="B866" s="318"/>
      <c r="C866" s="317"/>
      <c r="D866" s="317"/>
      <c r="E866" s="317"/>
      <c r="F866" s="317"/>
      <c r="G866" s="317"/>
      <c r="H866" s="317"/>
      <c r="I866" s="317"/>
      <c r="J866" s="317"/>
      <c r="K866" s="317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</row>
    <row r="867">
      <c r="A867" s="317"/>
      <c r="B867" s="318"/>
      <c r="C867" s="317"/>
      <c r="D867" s="317"/>
      <c r="E867" s="317"/>
      <c r="F867" s="317"/>
      <c r="G867" s="317"/>
      <c r="H867" s="317"/>
      <c r="I867" s="317"/>
      <c r="J867" s="317"/>
      <c r="K867" s="317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</row>
    <row r="868">
      <c r="A868" s="317"/>
      <c r="B868" s="318"/>
      <c r="C868" s="317"/>
      <c r="D868" s="317"/>
      <c r="E868" s="317"/>
      <c r="F868" s="317"/>
      <c r="G868" s="317"/>
      <c r="H868" s="317"/>
      <c r="I868" s="317"/>
      <c r="J868" s="317"/>
      <c r="K868" s="317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</row>
    <row r="869">
      <c r="A869" s="317"/>
      <c r="B869" s="318"/>
      <c r="C869" s="317"/>
      <c r="D869" s="317"/>
      <c r="E869" s="317"/>
      <c r="F869" s="317"/>
      <c r="G869" s="317"/>
      <c r="H869" s="317"/>
      <c r="I869" s="317"/>
      <c r="J869" s="317"/>
      <c r="K869" s="317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</row>
    <row r="870">
      <c r="A870" s="317"/>
      <c r="B870" s="318"/>
      <c r="C870" s="317"/>
      <c r="D870" s="317"/>
      <c r="E870" s="317"/>
      <c r="F870" s="317"/>
      <c r="G870" s="317"/>
      <c r="H870" s="317"/>
      <c r="I870" s="317"/>
      <c r="J870" s="317"/>
      <c r="K870" s="317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</row>
    <row r="871">
      <c r="A871" s="317"/>
      <c r="B871" s="318"/>
      <c r="C871" s="317"/>
      <c r="D871" s="317"/>
      <c r="E871" s="317"/>
      <c r="F871" s="317"/>
      <c r="G871" s="317"/>
      <c r="H871" s="317"/>
      <c r="I871" s="317"/>
      <c r="J871" s="317"/>
      <c r="K871" s="317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</row>
    <row r="872">
      <c r="A872" s="317"/>
      <c r="B872" s="318"/>
      <c r="C872" s="317"/>
      <c r="D872" s="317"/>
      <c r="E872" s="317"/>
      <c r="F872" s="317"/>
      <c r="G872" s="317"/>
      <c r="H872" s="317"/>
      <c r="I872" s="317"/>
      <c r="J872" s="317"/>
      <c r="K872" s="317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</row>
    <row r="873">
      <c r="A873" s="317"/>
      <c r="B873" s="318"/>
      <c r="C873" s="317"/>
      <c r="D873" s="317"/>
      <c r="E873" s="317"/>
      <c r="F873" s="317"/>
      <c r="G873" s="317"/>
      <c r="H873" s="317"/>
      <c r="I873" s="317"/>
      <c r="J873" s="317"/>
      <c r="K873" s="317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</row>
    <row r="874">
      <c r="A874" s="317"/>
      <c r="B874" s="318"/>
      <c r="C874" s="317"/>
      <c r="D874" s="317"/>
      <c r="E874" s="317"/>
      <c r="F874" s="317"/>
      <c r="G874" s="317"/>
      <c r="H874" s="317"/>
      <c r="I874" s="317"/>
      <c r="J874" s="317"/>
      <c r="K874" s="317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</row>
    <row r="875">
      <c r="A875" s="317"/>
      <c r="B875" s="318"/>
      <c r="C875" s="317"/>
      <c r="D875" s="317"/>
      <c r="E875" s="317"/>
      <c r="F875" s="317"/>
      <c r="G875" s="317"/>
      <c r="H875" s="317"/>
      <c r="I875" s="317"/>
      <c r="J875" s="317"/>
      <c r="K875" s="317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</row>
    <row r="876">
      <c r="A876" s="317"/>
      <c r="B876" s="318"/>
      <c r="C876" s="317"/>
      <c r="D876" s="317"/>
      <c r="E876" s="317"/>
      <c r="F876" s="317"/>
      <c r="G876" s="317"/>
      <c r="H876" s="317"/>
      <c r="I876" s="317"/>
      <c r="J876" s="317"/>
      <c r="K876" s="317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</row>
    <row r="877">
      <c r="A877" s="317"/>
      <c r="B877" s="318"/>
      <c r="C877" s="317"/>
      <c r="D877" s="317"/>
      <c r="E877" s="317"/>
      <c r="F877" s="317"/>
      <c r="G877" s="317"/>
      <c r="H877" s="317"/>
      <c r="I877" s="317"/>
      <c r="J877" s="317"/>
      <c r="K877" s="317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</row>
    <row r="878">
      <c r="A878" s="317"/>
      <c r="B878" s="318"/>
      <c r="C878" s="317"/>
      <c r="D878" s="317"/>
      <c r="E878" s="317"/>
      <c r="F878" s="317"/>
      <c r="G878" s="317"/>
      <c r="H878" s="317"/>
      <c r="I878" s="317"/>
      <c r="J878" s="317"/>
      <c r="K878" s="317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</row>
    <row r="879">
      <c r="A879" s="317"/>
      <c r="B879" s="318"/>
      <c r="C879" s="317"/>
      <c r="D879" s="317"/>
      <c r="E879" s="317"/>
      <c r="F879" s="317"/>
      <c r="G879" s="317"/>
      <c r="H879" s="317"/>
      <c r="I879" s="317"/>
      <c r="J879" s="317"/>
      <c r="K879" s="317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</row>
    <row r="880">
      <c r="A880" s="317"/>
      <c r="B880" s="318"/>
      <c r="C880" s="317"/>
      <c r="D880" s="317"/>
      <c r="E880" s="317"/>
      <c r="F880" s="317"/>
      <c r="G880" s="317"/>
      <c r="H880" s="317"/>
      <c r="I880" s="317"/>
      <c r="J880" s="317"/>
      <c r="K880" s="317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</row>
    <row r="881">
      <c r="A881" s="317"/>
      <c r="B881" s="318"/>
      <c r="C881" s="317"/>
      <c r="D881" s="317"/>
      <c r="E881" s="317"/>
      <c r="F881" s="317"/>
      <c r="G881" s="317"/>
      <c r="H881" s="317"/>
      <c r="I881" s="317"/>
      <c r="J881" s="317"/>
      <c r="K881" s="317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</row>
    <row r="882">
      <c r="A882" s="317"/>
      <c r="B882" s="318"/>
      <c r="C882" s="317"/>
      <c r="D882" s="317"/>
      <c r="E882" s="317"/>
      <c r="F882" s="317"/>
      <c r="G882" s="317"/>
      <c r="H882" s="317"/>
      <c r="I882" s="317"/>
      <c r="J882" s="317"/>
      <c r="K882" s="317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</row>
    <row r="883">
      <c r="A883" s="317"/>
      <c r="B883" s="318"/>
      <c r="C883" s="317"/>
      <c r="D883" s="317"/>
      <c r="E883" s="317"/>
      <c r="F883" s="317"/>
      <c r="G883" s="317"/>
      <c r="H883" s="317"/>
      <c r="I883" s="317"/>
      <c r="J883" s="317"/>
      <c r="K883" s="317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</row>
    <row r="884">
      <c r="A884" s="317"/>
      <c r="B884" s="318"/>
      <c r="C884" s="317"/>
      <c r="D884" s="317"/>
      <c r="E884" s="317"/>
      <c r="F884" s="317"/>
      <c r="G884" s="317"/>
      <c r="H884" s="317"/>
      <c r="I884" s="317"/>
      <c r="J884" s="317"/>
      <c r="K884" s="317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</row>
    <row r="885">
      <c r="A885" s="317"/>
      <c r="B885" s="318"/>
      <c r="C885" s="317"/>
      <c r="D885" s="317"/>
      <c r="E885" s="317"/>
      <c r="F885" s="317"/>
      <c r="G885" s="317"/>
      <c r="H885" s="317"/>
      <c r="I885" s="317"/>
      <c r="J885" s="317"/>
      <c r="K885" s="317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</row>
    <row r="886">
      <c r="A886" s="317"/>
      <c r="B886" s="318"/>
      <c r="C886" s="317"/>
      <c r="D886" s="317"/>
      <c r="E886" s="317"/>
      <c r="F886" s="317"/>
      <c r="G886" s="317"/>
      <c r="H886" s="317"/>
      <c r="I886" s="317"/>
      <c r="J886" s="317"/>
      <c r="K886" s="317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</row>
    <row r="887">
      <c r="A887" s="317"/>
      <c r="B887" s="318"/>
      <c r="C887" s="317"/>
      <c r="D887" s="317"/>
      <c r="E887" s="317"/>
      <c r="F887" s="317"/>
      <c r="G887" s="317"/>
      <c r="H887" s="317"/>
      <c r="I887" s="317"/>
      <c r="J887" s="317"/>
      <c r="K887" s="317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</row>
    <row r="888">
      <c r="A888" s="317"/>
      <c r="B888" s="318"/>
      <c r="C888" s="317"/>
      <c r="D888" s="317"/>
      <c r="E888" s="317"/>
      <c r="F888" s="317"/>
      <c r="G888" s="317"/>
      <c r="H888" s="317"/>
      <c r="I888" s="317"/>
      <c r="J888" s="317"/>
      <c r="K888" s="317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</row>
    <row r="889">
      <c r="A889" s="317"/>
      <c r="B889" s="318"/>
      <c r="C889" s="317"/>
      <c r="D889" s="317"/>
      <c r="E889" s="317"/>
      <c r="F889" s="317"/>
      <c r="G889" s="317"/>
      <c r="H889" s="317"/>
      <c r="I889" s="317"/>
      <c r="J889" s="317"/>
      <c r="K889" s="317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</row>
    <row r="890">
      <c r="A890" s="317"/>
      <c r="B890" s="318"/>
      <c r="C890" s="317"/>
      <c r="D890" s="317"/>
      <c r="E890" s="317"/>
      <c r="F890" s="317"/>
      <c r="G890" s="317"/>
      <c r="H890" s="317"/>
      <c r="I890" s="317"/>
      <c r="J890" s="317"/>
      <c r="K890" s="317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</row>
    <row r="891">
      <c r="A891" s="317"/>
      <c r="B891" s="318"/>
      <c r="C891" s="317"/>
      <c r="D891" s="317"/>
      <c r="E891" s="317"/>
      <c r="F891" s="317"/>
      <c r="G891" s="317"/>
      <c r="H891" s="317"/>
      <c r="I891" s="317"/>
      <c r="J891" s="317"/>
      <c r="K891" s="317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</row>
    <row r="892">
      <c r="A892" s="317"/>
      <c r="B892" s="318"/>
      <c r="C892" s="317"/>
      <c r="D892" s="317"/>
      <c r="E892" s="317"/>
      <c r="F892" s="317"/>
      <c r="G892" s="317"/>
      <c r="H892" s="317"/>
      <c r="I892" s="317"/>
      <c r="J892" s="317"/>
      <c r="K892" s="317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</row>
    <row r="893">
      <c r="A893" s="317"/>
      <c r="B893" s="318"/>
      <c r="C893" s="317"/>
      <c r="D893" s="317"/>
      <c r="E893" s="317"/>
      <c r="F893" s="317"/>
      <c r="G893" s="317"/>
      <c r="H893" s="317"/>
      <c r="I893" s="317"/>
      <c r="J893" s="317"/>
      <c r="K893" s="317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</row>
    <row r="894">
      <c r="A894" s="317"/>
      <c r="B894" s="318"/>
      <c r="C894" s="317"/>
      <c r="D894" s="317"/>
      <c r="E894" s="317"/>
      <c r="F894" s="317"/>
      <c r="G894" s="317"/>
      <c r="H894" s="317"/>
      <c r="I894" s="317"/>
      <c r="J894" s="317"/>
      <c r="K894" s="317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</row>
    <row r="895">
      <c r="A895" s="317"/>
      <c r="B895" s="318"/>
      <c r="C895" s="317"/>
      <c r="D895" s="317"/>
      <c r="E895" s="317"/>
      <c r="F895" s="317"/>
      <c r="G895" s="317"/>
      <c r="H895" s="317"/>
      <c r="I895" s="317"/>
      <c r="J895" s="317"/>
      <c r="K895" s="317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</row>
    <row r="896">
      <c r="A896" s="317"/>
      <c r="B896" s="318"/>
      <c r="C896" s="317"/>
      <c r="D896" s="317"/>
      <c r="E896" s="317"/>
      <c r="F896" s="317"/>
      <c r="G896" s="317"/>
      <c r="H896" s="317"/>
      <c r="I896" s="317"/>
      <c r="J896" s="317"/>
      <c r="K896" s="317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</row>
    <row r="897">
      <c r="A897" s="317"/>
      <c r="B897" s="318"/>
      <c r="C897" s="317"/>
      <c r="D897" s="317"/>
      <c r="E897" s="317"/>
      <c r="F897" s="317"/>
      <c r="G897" s="317"/>
      <c r="H897" s="317"/>
      <c r="I897" s="317"/>
      <c r="J897" s="317"/>
      <c r="K897" s="317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</row>
    <row r="898">
      <c r="A898" s="317"/>
      <c r="B898" s="318"/>
      <c r="C898" s="317"/>
      <c r="D898" s="317"/>
      <c r="E898" s="317"/>
      <c r="F898" s="317"/>
      <c r="G898" s="317"/>
      <c r="H898" s="317"/>
      <c r="I898" s="317"/>
      <c r="J898" s="317"/>
      <c r="K898" s="317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</row>
    <row r="899">
      <c r="A899" s="317"/>
      <c r="B899" s="318"/>
      <c r="C899" s="317"/>
      <c r="D899" s="317"/>
      <c r="E899" s="317"/>
      <c r="F899" s="317"/>
      <c r="G899" s="317"/>
      <c r="H899" s="317"/>
      <c r="I899" s="317"/>
      <c r="J899" s="317"/>
      <c r="K899" s="317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</row>
    <row r="900">
      <c r="A900" s="317"/>
      <c r="B900" s="318"/>
      <c r="C900" s="317"/>
      <c r="D900" s="317"/>
      <c r="E900" s="317"/>
      <c r="F900" s="317"/>
      <c r="G900" s="317"/>
      <c r="H900" s="317"/>
      <c r="I900" s="317"/>
      <c r="J900" s="317"/>
      <c r="K900" s="317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</row>
    <row r="901">
      <c r="A901" s="317"/>
      <c r="B901" s="318"/>
      <c r="C901" s="317"/>
      <c r="D901" s="317"/>
      <c r="E901" s="317"/>
      <c r="F901" s="317"/>
      <c r="G901" s="317"/>
      <c r="H901" s="317"/>
      <c r="I901" s="317"/>
      <c r="J901" s="317"/>
      <c r="K901" s="317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</row>
    <row r="902">
      <c r="A902" s="317"/>
      <c r="B902" s="318"/>
      <c r="C902" s="317"/>
      <c r="D902" s="317"/>
      <c r="E902" s="317"/>
      <c r="F902" s="317"/>
      <c r="G902" s="317"/>
      <c r="H902" s="317"/>
      <c r="I902" s="317"/>
      <c r="J902" s="317"/>
      <c r="K902" s="317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</row>
    <row r="903">
      <c r="A903" s="317"/>
      <c r="B903" s="318"/>
      <c r="C903" s="317"/>
      <c r="D903" s="317"/>
      <c r="E903" s="317"/>
      <c r="F903" s="317"/>
      <c r="G903" s="317"/>
      <c r="H903" s="317"/>
      <c r="I903" s="317"/>
      <c r="J903" s="317"/>
      <c r="K903" s="317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</row>
    <row r="904">
      <c r="A904" s="317"/>
      <c r="B904" s="318"/>
      <c r="C904" s="317"/>
      <c r="D904" s="317"/>
      <c r="E904" s="317"/>
      <c r="F904" s="317"/>
      <c r="G904" s="317"/>
      <c r="H904" s="317"/>
      <c r="I904" s="317"/>
      <c r="J904" s="317"/>
      <c r="K904" s="317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</row>
    <row r="905">
      <c r="A905" s="317"/>
      <c r="B905" s="318"/>
      <c r="C905" s="317"/>
      <c r="D905" s="317"/>
      <c r="E905" s="317"/>
      <c r="F905" s="317"/>
      <c r="G905" s="317"/>
      <c r="H905" s="317"/>
      <c r="I905" s="317"/>
      <c r="J905" s="317"/>
      <c r="K905" s="317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</row>
    <row r="906">
      <c r="A906" s="317"/>
      <c r="B906" s="318"/>
      <c r="C906" s="317"/>
      <c r="D906" s="317"/>
      <c r="E906" s="317"/>
      <c r="F906" s="317"/>
      <c r="G906" s="317"/>
      <c r="H906" s="317"/>
      <c r="I906" s="317"/>
      <c r="J906" s="317"/>
      <c r="K906" s="317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</row>
    <row r="907">
      <c r="A907" s="317"/>
      <c r="B907" s="318"/>
      <c r="C907" s="317"/>
      <c r="D907" s="317"/>
      <c r="E907" s="317"/>
      <c r="F907" s="317"/>
      <c r="G907" s="317"/>
      <c r="H907" s="317"/>
      <c r="I907" s="317"/>
      <c r="J907" s="317"/>
      <c r="K907" s="317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</row>
    <row r="908">
      <c r="A908" s="317"/>
      <c r="B908" s="318"/>
      <c r="C908" s="317"/>
      <c r="D908" s="317"/>
      <c r="E908" s="317"/>
      <c r="F908" s="317"/>
      <c r="G908" s="317"/>
      <c r="H908" s="317"/>
      <c r="I908" s="317"/>
      <c r="J908" s="317"/>
      <c r="K908" s="317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</row>
    <row r="909">
      <c r="A909" s="317"/>
      <c r="B909" s="318"/>
      <c r="C909" s="317"/>
      <c r="D909" s="317"/>
      <c r="E909" s="317"/>
      <c r="F909" s="317"/>
      <c r="G909" s="317"/>
      <c r="H909" s="317"/>
      <c r="I909" s="317"/>
      <c r="J909" s="317"/>
      <c r="K909" s="317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</row>
    <row r="910">
      <c r="A910" s="317"/>
      <c r="B910" s="318"/>
      <c r="C910" s="317"/>
      <c r="D910" s="317"/>
      <c r="E910" s="317"/>
      <c r="F910" s="317"/>
      <c r="G910" s="317"/>
      <c r="H910" s="317"/>
      <c r="I910" s="317"/>
      <c r="J910" s="317"/>
      <c r="K910" s="317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</row>
    <row r="911">
      <c r="A911" s="317"/>
      <c r="B911" s="318"/>
      <c r="C911" s="317"/>
      <c r="D911" s="317"/>
      <c r="E911" s="317"/>
      <c r="F911" s="317"/>
      <c r="G911" s="317"/>
      <c r="H911" s="317"/>
      <c r="I911" s="317"/>
      <c r="J911" s="317"/>
      <c r="K911" s="317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</row>
    <row r="912">
      <c r="A912" s="317"/>
      <c r="B912" s="318"/>
      <c r="C912" s="317"/>
      <c r="D912" s="317"/>
      <c r="E912" s="317"/>
      <c r="F912" s="317"/>
      <c r="G912" s="317"/>
      <c r="H912" s="317"/>
      <c r="I912" s="317"/>
      <c r="J912" s="317"/>
      <c r="K912" s="317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</row>
    <row r="913">
      <c r="A913" s="317"/>
      <c r="B913" s="318"/>
      <c r="C913" s="317"/>
      <c r="D913" s="317"/>
      <c r="E913" s="317"/>
      <c r="F913" s="317"/>
      <c r="G913" s="317"/>
      <c r="H913" s="317"/>
      <c r="I913" s="317"/>
      <c r="J913" s="317"/>
      <c r="K913" s="317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</row>
    <row r="914">
      <c r="A914" s="317"/>
      <c r="B914" s="318"/>
      <c r="C914" s="317"/>
      <c r="D914" s="317"/>
      <c r="E914" s="317"/>
      <c r="F914" s="317"/>
      <c r="G914" s="317"/>
      <c r="H914" s="317"/>
      <c r="I914" s="317"/>
      <c r="J914" s="317"/>
      <c r="K914" s="317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</row>
    <row r="915">
      <c r="A915" s="317"/>
      <c r="B915" s="318"/>
      <c r="C915" s="317"/>
      <c r="D915" s="317"/>
      <c r="E915" s="317"/>
      <c r="F915" s="317"/>
      <c r="G915" s="317"/>
      <c r="H915" s="317"/>
      <c r="I915" s="317"/>
      <c r="J915" s="317"/>
      <c r="K915" s="317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</row>
    <row r="916">
      <c r="A916" s="317"/>
      <c r="B916" s="318"/>
      <c r="C916" s="317"/>
      <c r="D916" s="317"/>
      <c r="E916" s="317"/>
      <c r="F916" s="317"/>
      <c r="G916" s="317"/>
      <c r="H916" s="317"/>
      <c r="I916" s="317"/>
      <c r="J916" s="317"/>
      <c r="K916" s="317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</row>
    <row r="917">
      <c r="A917" s="317"/>
      <c r="B917" s="318"/>
      <c r="C917" s="317"/>
      <c r="D917" s="317"/>
      <c r="E917" s="317"/>
      <c r="F917" s="317"/>
      <c r="G917" s="317"/>
      <c r="H917" s="317"/>
      <c r="I917" s="317"/>
      <c r="J917" s="317"/>
      <c r="K917" s="317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</row>
    <row r="918">
      <c r="A918" s="317"/>
      <c r="B918" s="318"/>
      <c r="C918" s="317"/>
      <c r="D918" s="317"/>
      <c r="E918" s="317"/>
      <c r="F918" s="317"/>
      <c r="G918" s="317"/>
      <c r="H918" s="317"/>
      <c r="I918" s="317"/>
      <c r="J918" s="317"/>
      <c r="K918" s="317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</row>
    <row r="919">
      <c r="A919" s="317"/>
      <c r="B919" s="318"/>
      <c r="C919" s="317"/>
      <c r="D919" s="317"/>
      <c r="E919" s="317"/>
      <c r="F919" s="317"/>
      <c r="G919" s="317"/>
      <c r="H919" s="317"/>
      <c r="I919" s="317"/>
      <c r="J919" s="317"/>
      <c r="K919" s="317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</row>
    <row r="920">
      <c r="A920" s="317"/>
      <c r="B920" s="318"/>
      <c r="C920" s="317"/>
      <c r="D920" s="317"/>
      <c r="E920" s="317"/>
      <c r="F920" s="317"/>
      <c r="G920" s="317"/>
      <c r="H920" s="317"/>
      <c r="I920" s="317"/>
      <c r="J920" s="317"/>
      <c r="K920" s="317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</row>
    <row r="921">
      <c r="A921" s="317"/>
      <c r="B921" s="318"/>
      <c r="C921" s="317"/>
      <c r="D921" s="317"/>
      <c r="E921" s="317"/>
      <c r="F921" s="317"/>
      <c r="G921" s="317"/>
      <c r="H921" s="317"/>
      <c r="I921" s="317"/>
      <c r="J921" s="317"/>
      <c r="K921" s="317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</row>
    <row r="922">
      <c r="A922" s="317"/>
      <c r="B922" s="318"/>
      <c r="C922" s="317"/>
      <c r="D922" s="317"/>
      <c r="E922" s="317"/>
      <c r="F922" s="317"/>
      <c r="G922" s="317"/>
      <c r="H922" s="317"/>
      <c r="I922" s="317"/>
      <c r="J922" s="317"/>
      <c r="K922" s="317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</row>
    <row r="923">
      <c r="A923" s="317"/>
      <c r="B923" s="318"/>
      <c r="C923" s="317"/>
      <c r="D923" s="317"/>
      <c r="E923" s="317"/>
      <c r="F923" s="317"/>
      <c r="G923" s="317"/>
      <c r="H923" s="317"/>
      <c r="I923" s="317"/>
      <c r="J923" s="317"/>
      <c r="K923" s="317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</row>
    <row r="924">
      <c r="A924" s="317"/>
      <c r="B924" s="318"/>
      <c r="C924" s="317"/>
      <c r="D924" s="317"/>
      <c r="E924" s="317"/>
      <c r="F924" s="317"/>
      <c r="G924" s="317"/>
      <c r="H924" s="317"/>
      <c r="I924" s="317"/>
      <c r="J924" s="317"/>
      <c r="K924" s="317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</row>
    <row r="925">
      <c r="A925" s="317"/>
      <c r="B925" s="318"/>
      <c r="C925" s="317"/>
      <c r="D925" s="317"/>
      <c r="E925" s="317"/>
      <c r="F925" s="317"/>
      <c r="G925" s="317"/>
      <c r="H925" s="317"/>
      <c r="I925" s="317"/>
      <c r="J925" s="317"/>
      <c r="K925" s="317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</row>
    <row r="926">
      <c r="A926" s="317"/>
      <c r="B926" s="318"/>
      <c r="C926" s="317"/>
      <c r="D926" s="317"/>
      <c r="E926" s="317"/>
      <c r="F926" s="317"/>
      <c r="G926" s="317"/>
      <c r="H926" s="317"/>
      <c r="I926" s="317"/>
      <c r="J926" s="317"/>
      <c r="K926" s="317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</row>
    <row r="927">
      <c r="A927" s="317"/>
      <c r="B927" s="318"/>
      <c r="C927" s="317"/>
      <c r="D927" s="317"/>
      <c r="E927" s="317"/>
      <c r="F927" s="317"/>
      <c r="G927" s="317"/>
      <c r="H927" s="317"/>
      <c r="I927" s="317"/>
      <c r="J927" s="317"/>
      <c r="K927" s="317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</row>
    <row r="928">
      <c r="A928" s="317"/>
      <c r="B928" s="318"/>
      <c r="C928" s="317"/>
      <c r="D928" s="317"/>
      <c r="E928" s="317"/>
      <c r="F928" s="317"/>
      <c r="G928" s="317"/>
      <c r="H928" s="317"/>
      <c r="I928" s="317"/>
      <c r="J928" s="317"/>
      <c r="K928" s="317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</row>
    <row r="929">
      <c r="A929" s="317"/>
      <c r="B929" s="318"/>
      <c r="C929" s="317"/>
      <c r="D929" s="317"/>
      <c r="E929" s="317"/>
      <c r="F929" s="317"/>
      <c r="G929" s="317"/>
      <c r="H929" s="317"/>
      <c r="I929" s="317"/>
      <c r="J929" s="317"/>
      <c r="K929" s="317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</row>
    <row r="930">
      <c r="A930" s="317"/>
      <c r="B930" s="318"/>
      <c r="C930" s="317"/>
      <c r="D930" s="317"/>
      <c r="E930" s="317"/>
      <c r="F930" s="317"/>
      <c r="G930" s="317"/>
      <c r="H930" s="317"/>
      <c r="I930" s="317"/>
      <c r="J930" s="317"/>
      <c r="K930" s="317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</row>
    <row r="931">
      <c r="A931" s="317"/>
      <c r="B931" s="318"/>
      <c r="C931" s="317"/>
      <c r="D931" s="317"/>
      <c r="E931" s="317"/>
      <c r="F931" s="317"/>
      <c r="G931" s="317"/>
      <c r="H931" s="317"/>
      <c r="I931" s="317"/>
      <c r="J931" s="317"/>
      <c r="K931" s="317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</row>
    <row r="932">
      <c r="A932" s="317"/>
      <c r="B932" s="318"/>
      <c r="C932" s="317"/>
      <c r="D932" s="317"/>
      <c r="E932" s="317"/>
      <c r="F932" s="317"/>
      <c r="G932" s="317"/>
      <c r="H932" s="317"/>
      <c r="I932" s="317"/>
      <c r="J932" s="317"/>
      <c r="K932" s="317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</row>
    <row r="933">
      <c r="A933" s="317"/>
      <c r="B933" s="318"/>
      <c r="C933" s="317"/>
      <c r="D933" s="317"/>
      <c r="E933" s="317"/>
      <c r="F933" s="317"/>
      <c r="G933" s="317"/>
      <c r="H933" s="317"/>
      <c r="I933" s="317"/>
      <c r="J933" s="317"/>
      <c r="K933" s="317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</row>
    <row r="934">
      <c r="A934" s="317"/>
      <c r="B934" s="318"/>
      <c r="C934" s="317"/>
      <c r="D934" s="317"/>
      <c r="E934" s="317"/>
      <c r="F934" s="317"/>
      <c r="G934" s="317"/>
      <c r="H934" s="317"/>
      <c r="I934" s="317"/>
      <c r="J934" s="317"/>
      <c r="K934" s="317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</row>
    <row r="935">
      <c r="A935" s="317"/>
      <c r="B935" s="318"/>
      <c r="C935" s="317"/>
      <c r="D935" s="317"/>
      <c r="E935" s="317"/>
      <c r="F935" s="317"/>
      <c r="G935" s="317"/>
      <c r="H935" s="317"/>
      <c r="I935" s="317"/>
      <c r="J935" s="317"/>
      <c r="K935" s="317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</row>
    <row r="936">
      <c r="A936" s="317"/>
      <c r="B936" s="318"/>
      <c r="C936" s="317"/>
      <c r="D936" s="317"/>
      <c r="E936" s="317"/>
      <c r="F936" s="317"/>
      <c r="G936" s="317"/>
      <c r="H936" s="317"/>
      <c r="I936" s="317"/>
      <c r="J936" s="317"/>
      <c r="K936" s="317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</row>
    <row r="937">
      <c r="A937" s="317"/>
      <c r="B937" s="318"/>
      <c r="C937" s="317"/>
      <c r="D937" s="317"/>
      <c r="E937" s="317"/>
      <c r="F937" s="317"/>
      <c r="G937" s="317"/>
      <c r="H937" s="317"/>
      <c r="I937" s="317"/>
      <c r="J937" s="317"/>
      <c r="K937" s="317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</row>
    <row r="938">
      <c r="A938" s="317"/>
      <c r="B938" s="318"/>
      <c r="C938" s="317"/>
      <c r="D938" s="317"/>
      <c r="E938" s="317"/>
      <c r="F938" s="317"/>
      <c r="G938" s="317"/>
      <c r="H938" s="317"/>
      <c r="I938" s="317"/>
      <c r="J938" s="317"/>
      <c r="K938" s="317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</row>
    <row r="939">
      <c r="A939" s="317"/>
      <c r="B939" s="318"/>
      <c r="C939" s="317"/>
      <c r="D939" s="317"/>
      <c r="E939" s="317"/>
      <c r="F939" s="317"/>
      <c r="G939" s="317"/>
      <c r="H939" s="317"/>
      <c r="I939" s="317"/>
      <c r="J939" s="317"/>
      <c r="K939" s="317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</row>
    <row r="940">
      <c r="A940" s="317"/>
      <c r="B940" s="318"/>
      <c r="C940" s="317"/>
      <c r="D940" s="317"/>
      <c r="E940" s="317"/>
      <c r="F940" s="317"/>
      <c r="G940" s="317"/>
      <c r="H940" s="317"/>
      <c r="I940" s="317"/>
      <c r="J940" s="317"/>
      <c r="K940" s="317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</row>
    <row r="941">
      <c r="A941" s="317"/>
      <c r="B941" s="318"/>
      <c r="C941" s="317"/>
      <c r="D941" s="317"/>
      <c r="E941" s="317"/>
      <c r="F941" s="317"/>
      <c r="G941" s="317"/>
      <c r="H941" s="317"/>
      <c r="I941" s="317"/>
      <c r="J941" s="317"/>
      <c r="K941" s="317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</row>
    <row r="942">
      <c r="A942" s="317"/>
      <c r="B942" s="318"/>
      <c r="C942" s="317"/>
      <c r="D942" s="317"/>
      <c r="E942" s="317"/>
      <c r="F942" s="317"/>
      <c r="G942" s="317"/>
      <c r="H942" s="317"/>
      <c r="I942" s="317"/>
      <c r="J942" s="317"/>
      <c r="K942" s="317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</row>
    <row r="943">
      <c r="A943" s="317"/>
      <c r="B943" s="318"/>
      <c r="C943" s="317"/>
      <c r="D943" s="317"/>
      <c r="E943" s="317"/>
      <c r="F943" s="317"/>
      <c r="G943" s="317"/>
      <c r="H943" s="317"/>
      <c r="I943" s="317"/>
      <c r="J943" s="317"/>
      <c r="K943" s="317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</row>
    <row r="944">
      <c r="A944" s="317"/>
      <c r="B944" s="318"/>
      <c r="C944" s="317"/>
      <c r="D944" s="317"/>
      <c r="E944" s="317"/>
      <c r="F944" s="317"/>
      <c r="G944" s="317"/>
      <c r="H944" s="317"/>
      <c r="I944" s="317"/>
      <c r="J944" s="317"/>
      <c r="K944" s="317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</row>
    <row r="945">
      <c r="A945" s="317"/>
      <c r="B945" s="318"/>
      <c r="C945" s="317"/>
      <c r="D945" s="317"/>
      <c r="E945" s="317"/>
      <c r="F945" s="317"/>
      <c r="G945" s="317"/>
      <c r="H945" s="317"/>
      <c r="I945" s="317"/>
      <c r="J945" s="317"/>
      <c r="K945" s="317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</row>
    <row r="946">
      <c r="A946" s="317"/>
      <c r="B946" s="318"/>
      <c r="C946" s="317"/>
      <c r="D946" s="317"/>
      <c r="E946" s="317"/>
      <c r="F946" s="317"/>
      <c r="G946" s="317"/>
      <c r="H946" s="317"/>
      <c r="I946" s="317"/>
      <c r="J946" s="317"/>
      <c r="K946" s="317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</row>
    <row r="947">
      <c r="A947" s="317"/>
      <c r="B947" s="318"/>
      <c r="C947" s="317"/>
      <c r="D947" s="317"/>
      <c r="E947" s="317"/>
      <c r="F947" s="317"/>
      <c r="G947" s="317"/>
      <c r="H947" s="317"/>
      <c r="I947" s="317"/>
      <c r="J947" s="317"/>
      <c r="K947" s="317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</row>
    <row r="948">
      <c r="A948" s="317"/>
      <c r="B948" s="318"/>
      <c r="C948" s="317"/>
      <c r="D948" s="317"/>
      <c r="E948" s="317"/>
      <c r="F948" s="317"/>
      <c r="G948" s="317"/>
      <c r="H948" s="317"/>
      <c r="I948" s="317"/>
      <c r="J948" s="317"/>
      <c r="K948" s="317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</row>
    <row r="949">
      <c r="A949" s="317"/>
      <c r="B949" s="318"/>
      <c r="C949" s="317"/>
      <c r="D949" s="317"/>
      <c r="E949" s="317"/>
      <c r="F949" s="317"/>
      <c r="G949" s="317"/>
      <c r="H949" s="317"/>
      <c r="I949" s="317"/>
      <c r="J949" s="317"/>
      <c r="K949" s="317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</row>
    <row r="950">
      <c r="A950" s="317"/>
      <c r="B950" s="318"/>
      <c r="C950" s="317"/>
      <c r="D950" s="317"/>
      <c r="E950" s="317"/>
      <c r="F950" s="317"/>
      <c r="G950" s="317"/>
      <c r="H950" s="317"/>
      <c r="I950" s="317"/>
      <c r="J950" s="317"/>
      <c r="K950" s="317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</row>
    <row r="951">
      <c r="A951" s="317"/>
      <c r="B951" s="318"/>
      <c r="C951" s="317"/>
      <c r="D951" s="317"/>
      <c r="E951" s="317"/>
      <c r="F951" s="317"/>
      <c r="G951" s="317"/>
      <c r="H951" s="317"/>
      <c r="I951" s="317"/>
      <c r="J951" s="317"/>
      <c r="K951" s="317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</row>
    <row r="952">
      <c r="A952" s="317"/>
      <c r="B952" s="318"/>
      <c r="C952" s="317"/>
      <c r="D952" s="317"/>
      <c r="E952" s="317"/>
      <c r="F952" s="317"/>
      <c r="G952" s="317"/>
      <c r="H952" s="317"/>
      <c r="I952" s="317"/>
      <c r="J952" s="317"/>
      <c r="K952" s="317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</row>
    <row r="953">
      <c r="A953" s="317"/>
      <c r="B953" s="318"/>
      <c r="C953" s="317"/>
      <c r="D953" s="317"/>
      <c r="E953" s="317"/>
      <c r="F953" s="317"/>
      <c r="G953" s="317"/>
      <c r="H953" s="317"/>
      <c r="I953" s="317"/>
      <c r="J953" s="317"/>
      <c r="K953" s="317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</row>
    <row r="954">
      <c r="A954" s="317"/>
      <c r="B954" s="318"/>
      <c r="C954" s="317"/>
      <c r="D954" s="317"/>
      <c r="E954" s="317"/>
      <c r="F954" s="317"/>
      <c r="G954" s="317"/>
      <c r="H954" s="317"/>
      <c r="I954" s="317"/>
      <c r="J954" s="317"/>
      <c r="K954" s="317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</row>
    <row r="955">
      <c r="A955" s="317"/>
      <c r="B955" s="318"/>
      <c r="C955" s="317"/>
      <c r="D955" s="317"/>
      <c r="E955" s="317"/>
      <c r="F955" s="317"/>
      <c r="G955" s="317"/>
      <c r="H955" s="317"/>
      <c r="I955" s="317"/>
      <c r="J955" s="317"/>
      <c r="K955" s="317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</row>
    <row r="956">
      <c r="A956" s="317"/>
      <c r="B956" s="318"/>
      <c r="C956" s="317"/>
      <c r="D956" s="317"/>
      <c r="E956" s="317"/>
      <c r="F956" s="317"/>
      <c r="G956" s="317"/>
      <c r="H956" s="317"/>
      <c r="I956" s="317"/>
      <c r="J956" s="317"/>
      <c r="K956" s="317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</row>
    <row r="957">
      <c r="A957" s="317"/>
      <c r="B957" s="318"/>
      <c r="C957" s="317"/>
      <c r="D957" s="317"/>
      <c r="E957" s="317"/>
      <c r="F957" s="317"/>
      <c r="G957" s="317"/>
      <c r="H957" s="317"/>
      <c r="I957" s="317"/>
      <c r="J957" s="317"/>
      <c r="K957" s="317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</row>
    <row r="958">
      <c r="A958" s="317"/>
      <c r="B958" s="318"/>
      <c r="C958" s="317"/>
      <c r="D958" s="317"/>
      <c r="E958" s="317"/>
      <c r="F958" s="317"/>
      <c r="G958" s="317"/>
      <c r="H958" s="317"/>
      <c r="I958" s="317"/>
      <c r="J958" s="317"/>
      <c r="K958" s="317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</row>
    <row r="959">
      <c r="A959" s="317"/>
      <c r="B959" s="318"/>
      <c r="C959" s="317"/>
      <c r="D959" s="317"/>
      <c r="E959" s="317"/>
      <c r="F959" s="317"/>
      <c r="G959" s="317"/>
      <c r="H959" s="317"/>
      <c r="I959" s="317"/>
      <c r="J959" s="317"/>
      <c r="K959" s="317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</row>
    <row r="960">
      <c r="A960" s="317"/>
      <c r="B960" s="318"/>
      <c r="C960" s="317"/>
      <c r="D960" s="317"/>
      <c r="E960" s="317"/>
      <c r="F960" s="317"/>
      <c r="G960" s="317"/>
      <c r="H960" s="317"/>
      <c r="I960" s="317"/>
      <c r="J960" s="317"/>
      <c r="K960" s="317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</row>
    <row r="961">
      <c r="A961" s="317"/>
      <c r="B961" s="318"/>
      <c r="C961" s="317"/>
      <c r="D961" s="317"/>
      <c r="E961" s="317"/>
      <c r="F961" s="317"/>
      <c r="G961" s="317"/>
      <c r="H961" s="317"/>
      <c r="I961" s="317"/>
      <c r="J961" s="317"/>
      <c r="K961" s="317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</row>
    <row r="962">
      <c r="A962" s="317"/>
      <c r="B962" s="318"/>
      <c r="C962" s="317"/>
      <c r="D962" s="317"/>
      <c r="E962" s="317"/>
      <c r="F962" s="317"/>
      <c r="G962" s="317"/>
      <c r="H962" s="317"/>
      <c r="I962" s="317"/>
      <c r="J962" s="317"/>
      <c r="K962" s="317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</row>
    <row r="963">
      <c r="A963" s="317"/>
      <c r="B963" s="318"/>
      <c r="C963" s="317"/>
      <c r="D963" s="317"/>
      <c r="E963" s="317"/>
      <c r="F963" s="317"/>
      <c r="G963" s="317"/>
      <c r="H963" s="317"/>
      <c r="I963" s="317"/>
      <c r="J963" s="317"/>
      <c r="K963" s="317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</row>
    <row r="964">
      <c r="A964" s="317"/>
      <c r="B964" s="318"/>
      <c r="C964" s="317"/>
      <c r="D964" s="317"/>
      <c r="E964" s="317"/>
      <c r="F964" s="317"/>
      <c r="G964" s="317"/>
      <c r="H964" s="317"/>
      <c r="I964" s="317"/>
      <c r="J964" s="317"/>
      <c r="K964" s="317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</row>
    <row r="965">
      <c r="A965" s="317"/>
      <c r="B965" s="318"/>
      <c r="C965" s="317"/>
      <c r="D965" s="317"/>
      <c r="E965" s="317"/>
      <c r="F965" s="317"/>
      <c r="G965" s="317"/>
      <c r="H965" s="317"/>
      <c r="I965" s="317"/>
      <c r="J965" s="317"/>
      <c r="K965" s="317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</row>
    <row r="966">
      <c r="A966" s="317"/>
      <c r="B966" s="318"/>
      <c r="C966" s="317"/>
      <c r="D966" s="317"/>
      <c r="E966" s="317"/>
      <c r="F966" s="317"/>
      <c r="G966" s="317"/>
      <c r="H966" s="317"/>
      <c r="I966" s="317"/>
      <c r="J966" s="317"/>
      <c r="K966" s="317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</row>
    <row r="967">
      <c r="A967" s="317"/>
      <c r="B967" s="318"/>
      <c r="C967" s="317"/>
      <c r="D967" s="317"/>
      <c r="E967" s="317"/>
      <c r="F967" s="317"/>
      <c r="G967" s="317"/>
      <c r="H967" s="317"/>
      <c r="I967" s="317"/>
      <c r="J967" s="317"/>
      <c r="K967" s="317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</row>
    <row r="968">
      <c r="A968" s="317"/>
      <c r="B968" s="318"/>
      <c r="C968" s="317"/>
      <c r="D968" s="317"/>
      <c r="E968" s="317"/>
      <c r="F968" s="317"/>
      <c r="G968" s="317"/>
      <c r="H968" s="317"/>
      <c r="I968" s="317"/>
      <c r="J968" s="317"/>
      <c r="K968" s="317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</row>
    <row r="969">
      <c r="A969" s="317"/>
      <c r="B969" s="318"/>
      <c r="C969" s="317"/>
      <c r="D969" s="317"/>
      <c r="E969" s="317"/>
      <c r="F969" s="317"/>
      <c r="G969" s="317"/>
      <c r="H969" s="317"/>
      <c r="I969" s="317"/>
      <c r="J969" s="317"/>
      <c r="K969" s="317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</row>
    <row r="970">
      <c r="A970" s="317"/>
      <c r="B970" s="318"/>
      <c r="C970" s="317"/>
      <c r="D970" s="317"/>
      <c r="E970" s="317"/>
      <c r="F970" s="317"/>
      <c r="G970" s="317"/>
      <c r="H970" s="317"/>
      <c r="I970" s="317"/>
      <c r="J970" s="317"/>
      <c r="K970" s="317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</row>
    <row r="971">
      <c r="A971" s="317"/>
      <c r="B971" s="318"/>
      <c r="C971" s="317"/>
      <c r="D971" s="317"/>
      <c r="E971" s="317"/>
      <c r="F971" s="317"/>
      <c r="G971" s="317"/>
      <c r="H971" s="317"/>
      <c r="I971" s="317"/>
      <c r="J971" s="317"/>
      <c r="K971" s="317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</row>
    <row r="972">
      <c r="A972" s="317"/>
      <c r="B972" s="318"/>
      <c r="C972" s="317"/>
      <c r="D972" s="317"/>
      <c r="E972" s="317"/>
      <c r="F972" s="317"/>
      <c r="G972" s="317"/>
      <c r="H972" s="317"/>
      <c r="I972" s="317"/>
      <c r="J972" s="317"/>
      <c r="K972" s="317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</row>
    <row r="973">
      <c r="A973" s="317"/>
      <c r="B973" s="318"/>
      <c r="C973" s="317"/>
      <c r="D973" s="317"/>
      <c r="E973" s="317"/>
      <c r="F973" s="317"/>
      <c r="G973" s="317"/>
      <c r="H973" s="317"/>
      <c r="I973" s="317"/>
      <c r="J973" s="317"/>
      <c r="K973" s="317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</row>
    <row r="974">
      <c r="A974" s="317"/>
      <c r="B974" s="318"/>
      <c r="C974" s="317"/>
      <c r="D974" s="317"/>
      <c r="E974" s="317"/>
      <c r="F974" s="317"/>
      <c r="G974" s="317"/>
      <c r="H974" s="317"/>
      <c r="I974" s="317"/>
      <c r="J974" s="317"/>
      <c r="K974" s="317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</row>
    <row r="975">
      <c r="A975" s="317"/>
      <c r="B975" s="318"/>
      <c r="C975" s="317"/>
      <c r="D975" s="317"/>
      <c r="E975" s="317"/>
      <c r="F975" s="317"/>
      <c r="G975" s="317"/>
      <c r="H975" s="317"/>
      <c r="I975" s="317"/>
      <c r="J975" s="317"/>
      <c r="K975" s="317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</row>
    <row r="976">
      <c r="A976" s="317"/>
      <c r="B976" s="318"/>
      <c r="C976" s="317"/>
      <c r="D976" s="317"/>
      <c r="E976" s="317"/>
      <c r="F976" s="317"/>
      <c r="G976" s="317"/>
      <c r="H976" s="317"/>
      <c r="I976" s="317"/>
      <c r="J976" s="317"/>
      <c r="K976" s="317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</row>
    <row r="977">
      <c r="A977" s="317"/>
      <c r="B977" s="318"/>
      <c r="C977" s="317"/>
      <c r="D977" s="317"/>
      <c r="E977" s="317"/>
      <c r="F977" s="317"/>
      <c r="G977" s="317"/>
      <c r="H977" s="317"/>
      <c r="I977" s="317"/>
      <c r="J977" s="317"/>
      <c r="K977" s="317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</row>
    <row r="978">
      <c r="A978" s="317"/>
      <c r="B978" s="318"/>
      <c r="C978" s="317"/>
      <c r="D978" s="317"/>
      <c r="E978" s="317"/>
      <c r="F978" s="317"/>
      <c r="G978" s="317"/>
      <c r="H978" s="317"/>
      <c r="I978" s="317"/>
      <c r="J978" s="317"/>
      <c r="K978" s="317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</row>
    <row r="979">
      <c r="A979" s="317"/>
      <c r="B979" s="318"/>
      <c r="C979" s="317"/>
      <c r="D979" s="317"/>
      <c r="E979" s="317"/>
      <c r="F979" s="317"/>
      <c r="G979" s="317"/>
      <c r="H979" s="317"/>
      <c r="I979" s="317"/>
      <c r="J979" s="317"/>
      <c r="K979" s="317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</row>
    <row r="980">
      <c r="A980" s="317"/>
      <c r="B980" s="318"/>
      <c r="C980" s="317"/>
      <c r="D980" s="317"/>
      <c r="E980" s="317"/>
      <c r="F980" s="317"/>
      <c r="G980" s="317"/>
      <c r="H980" s="317"/>
      <c r="I980" s="317"/>
      <c r="J980" s="317"/>
      <c r="K980" s="317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</row>
    <row r="981">
      <c r="A981" s="317"/>
      <c r="B981" s="318"/>
      <c r="C981" s="317"/>
      <c r="D981" s="317"/>
      <c r="E981" s="317"/>
      <c r="F981" s="317"/>
      <c r="G981" s="317"/>
      <c r="H981" s="317"/>
      <c r="I981" s="317"/>
      <c r="J981" s="317"/>
      <c r="K981" s="317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</row>
    <row r="982">
      <c r="A982" s="317"/>
      <c r="B982" s="318"/>
      <c r="C982" s="317"/>
      <c r="D982" s="317"/>
      <c r="E982" s="317"/>
      <c r="F982" s="317"/>
      <c r="G982" s="317"/>
      <c r="H982" s="317"/>
      <c r="I982" s="317"/>
      <c r="J982" s="317"/>
      <c r="K982" s="317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</row>
    <row r="983">
      <c r="A983" s="317"/>
      <c r="B983" s="318"/>
      <c r="C983" s="317"/>
      <c r="D983" s="317"/>
      <c r="E983" s="317"/>
      <c r="F983" s="317"/>
      <c r="G983" s="317"/>
      <c r="H983" s="317"/>
      <c r="I983" s="317"/>
      <c r="J983" s="317"/>
      <c r="K983" s="317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</row>
    <row r="984">
      <c r="A984" s="317"/>
      <c r="B984" s="318"/>
      <c r="C984" s="317"/>
      <c r="D984" s="317"/>
      <c r="E984" s="317"/>
      <c r="F984" s="317"/>
      <c r="G984" s="317"/>
      <c r="H984" s="317"/>
      <c r="I984" s="317"/>
      <c r="J984" s="317"/>
      <c r="K984" s="317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</row>
    <row r="985">
      <c r="A985" s="317"/>
      <c r="B985" s="318"/>
      <c r="C985" s="317"/>
      <c r="D985" s="317"/>
      <c r="E985" s="317"/>
      <c r="F985" s="317"/>
      <c r="G985" s="317"/>
      <c r="H985" s="317"/>
      <c r="I985" s="317"/>
      <c r="J985" s="317"/>
      <c r="K985" s="317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</row>
    <row r="986">
      <c r="A986" s="317"/>
      <c r="B986" s="318"/>
      <c r="C986" s="317"/>
      <c r="D986" s="317"/>
      <c r="E986" s="317"/>
      <c r="F986" s="317"/>
      <c r="G986" s="317"/>
      <c r="H986" s="317"/>
      <c r="I986" s="317"/>
      <c r="J986" s="317"/>
      <c r="K986" s="317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</row>
    <row r="987">
      <c r="A987" s="317"/>
      <c r="B987" s="318"/>
      <c r="C987" s="317"/>
      <c r="D987" s="317"/>
      <c r="E987" s="317"/>
      <c r="F987" s="317"/>
      <c r="G987" s="317"/>
      <c r="H987" s="317"/>
      <c r="I987" s="317"/>
      <c r="J987" s="317"/>
      <c r="K987" s="317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</row>
    <row r="988">
      <c r="A988" s="317"/>
      <c r="B988" s="318"/>
      <c r="C988" s="317"/>
      <c r="D988" s="317"/>
      <c r="E988" s="317"/>
      <c r="F988" s="317"/>
      <c r="G988" s="317"/>
      <c r="H988" s="317"/>
      <c r="I988" s="317"/>
      <c r="J988" s="317"/>
      <c r="K988" s="317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</row>
    <row r="989">
      <c r="A989" s="317"/>
      <c r="B989" s="318"/>
      <c r="C989" s="317"/>
      <c r="D989" s="317"/>
      <c r="E989" s="317"/>
      <c r="F989" s="317"/>
      <c r="G989" s="317"/>
      <c r="H989" s="317"/>
      <c r="I989" s="317"/>
      <c r="J989" s="317"/>
      <c r="K989" s="317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</row>
    <row r="990">
      <c r="A990" s="317"/>
      <c r="B990" s="318"/>
      <c r="C990" s="317"/>
      <c r="D990" s="317"/>
      <c r="E990" s="317"/>
      <c r="F990" s="317"/>
      <c r="G990" s="317"/>
      <c r="H990" s="317"/>
      <c r="I990" s="317"/>
      <c r="J990" s="317"/>
      <c r="K990" s="317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</row>
    <row r="991">
      <c r="A991" s="317"/>
      <c r="B991" s="318"/>
      <c r="C991" s="317"/>
      <c r="D991" s="317"/>
      <c r="E991" s="317"/>
      <c r="F991" s="317"/>
      <c r="G991" s="317"/>
      <c r="H991" s="317"/>
      <c r="I991" s="317"/>
      <c r="J991" s="317"/>
      <c r="K991" s="317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</row>
    <row r="992">
      <c r="A992" s="317"/>
      <c r="B992" s="318"/>
      <c r="C992" s="317"/>
      <c r="D992" s="317"/>
      <c r="E992" s="317"/>
      <c r="F992" s="317"/>
      <c r="G992" s="317"/>
      <c r="H992" s="317"/>
      <c r="I992" s="317"/>
      <c r="J992" s="317"/>
      <c r="K992" s="317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</row>
    <row r="993">
      <c r="A993" s="317"/>
      <c r="B993" s="318"/>
      <c r="C993" s="317"/>
      <c r="D993" s="317"/>
      <c r="E993" s="317"/>
      <c r="F993" s="317"/>
      <c r="G993" s="317"/>
      <c r="H993" s="317"/>
      <c r="I993" s="317"/>
      <c r="J993" s="317"/>
      <c r="K993" s="317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</row>
    <row r="994">
      <c r="A994" s="317"/>
      <c r="B994" s="318"/>
      <c r="C994" s="317"/>
      <c r="D994" s="317"/>
      <c r="E994" s="317"/>
      <c r="F994" s="317"/>
      <c r="G994" s="317"/>
      <c r="H994" s="317"/>
      <c r="I994" s="317"/>
      <c r="J994" s="317"/>
      <c r="K994" s="317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</row>
    <row r="995">
      <c r="A995" s="317"/>
      <c r="B995" s="318"/>
      <c r="C995" s="317"/>
      <c r="D995" s="317"/>
      <c r="E995" s="317"/>
      <c r="F995" s="317"/>
      <c r="G995" s="317"/>
      <c r="H995" s="317"/>
      <c r="I995" s="317"/>
      <c r="J995" s="317"/>
      <c r="K995" s="317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</row>
    <row r="996">
      <c r="A996" s="317"/>
      <c r="B996" s="318"/>
      <c r="C996" s="317"/>
      <c r="D996" s="317"/>
      <c r="E996" s="317"/>
      <c r="F996" s="317"/>
      <c r="G996" s="317"/>
      <c r="H996" s="317"/>
      <c r="I996" s="317"/>
      <c r="J996" s="317"/>
      <c r="K996" s="317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</row>
    <row r="997">
      <c r="A997" s="317"/>
      <c r="B997" s="318"/>
      <c r="C997" s="317"/>
      <c r="D997" s="317"/>
      <c r="E997" s="317"/>
      <c r="F997" s="317"/>
      <c r="G997" s="317"/>
      <c r="H997" s="317"/>
      <c r="I997" s="317"/>
      <c r="J997" s="317"/>
      <c r="K997" s="317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</row>
    <row r="998">
      <c r="A998" s="317"/>
      <c r="B998" s="318"/>
      <c r="C998" s="317"/>
      <c r="D998" s="317"/>
      <c r="E998" s="317"/>
      <c r="F998" s="317"/>
      <c r="G998" s="317"/>
      <c r="H998" s="317"/>
      <c r="I998" s="317"/>
      <c r="J998" s="317"/>
      <c r="K998" s="317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</row>
    <row r="999">
      <c r="A999" s="317"/>
      <c r="B999" s="318"/>
      <c r="C999" s="317"/>
      <c r="D999" s="317"/>
      <c r="E999" s="317"/>
      <c r="F999" s="317"/>
      <c r="G999" s="317"/>
      <c r="H999" s="317"/>
      <c r="I999" s="317"/>
      <c r="J999" s="317"/>
      <c r="K999" s="317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</row>
    <row r="1000">
      <c r="A1000" s="317"/>
      <c r="B1000" s="318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</row>
    <row r="1001">
      <c r="A1001" s="317"/>
      <c r="B1001" s="318"/>
      <c r="C1001" s="317"/>
      <c r="D1001" s="317"/>
      <c r="E1001" s="317"/>
      <c r="F1001" s="317"/>
      <c r="G1001" s="317"/>
      <c r="H1001" s="317"/>
      <c r="I1001" s="317"/>
      <c r="J1001" s="317"/>
      <c r="K1001" s="317"/>
      <c r="L1001" s="318"/>
      <c r="M1001" s="318"/>
      <c r="N1001" s="318"/>
      <c r="O1001" s="318"/>
      <c r="P1001" s="318"/>
      <c r="Q1001" s="318"/>
      <c r="R1001" s="318"/>
      <c r="S1001" s="318"/>
      <c r="T1001" s="318"/>
      <c r="U1001" s="318"/>
      <c r="V1001" s="318"/>
      <c r="W1001" s="318"/>
      <c r="X1001" s="318"/>
      <c r="Y1001" s="318"/>
      <c r="Z1001" s="318"/>
    </row>
    <row r="1002">
      <c r="A1002" s="317"/>
      <c r="B1002" s="318"/>
      <c r="C1002" s="317"/>
      <c r="D1002" s="317"/>
      <c r="E1002" s="317"/>
      <c r="F1002" s="317"/>
      <c r="G1002" s="317"/>
      <c r="H1002" s="317"/>
      <c r="I1002" s="317"/>
      <c r="J1002" s="317"/>
      <c r="K1002" s="317"/>
      <c r="L1002" s="318"/>
      <c r="M1002" s="318"/>
      <c r="N1002" s="318"/>
      <c r="O1002" s="318"/>
      <c r="P1002" s="318"/>
      <c r="Q1002" s="318"/>
      <c r="R1002" s="318"/>
      <c r="S1002" s="318"/>
      <c r="T1002" s="318"/>
      <c r="U1002" s="318"/>
      <c r="V1002" s="318"/>
      <c r="W1002" s="318"/>
      <c r="X1002" s="318"/>
      <c r="Y1002" s="318"/>
      <c r="Z1002" s="318"/>
    </row>
    <row r="1003">
      <c r="A1003" s="317"/>
      <c r="B1003" s="318"/>
      <c r="C1003" s="317"/>
      <c r="D1003" s="317"/>
      <c r="E1003" s="317"/>
      <c r="F1003" s="317"/>
      <c r="G1003" s="317"/>
      <c r="H1003" s="317"/>
      <c r="I1003" s="317"/>
      <c r="J1003" s="317"/>
      <c r="K1003" s="317"/>
      <c r="L1003" s="318"/>
      <c r="M1003" s="318"/>
      <c r="N1003" s="318"/>
      <c r="O1003" s="318"/>
      <c r="P1003" s="318"/>
      <c r="Q1003" s="318"/>
      <c r="R1003" s="318"/>
      <c r="S1003" s="318"/>
      <c r="T1003" s="318"/>
      <c r="U1003" s="318"/>
      <c r="V1003" s="318"/>
      <c r="W1003" s="318"/>
      <c r="X1003" s="318"/>
      <c r="Y1003" s="318"/>
      <c r="Z1003" s="318"/>
    </row>
    <row r="1004">
      <c r="A1004" s="317"/>
      <c r="B1004" s="318"/>
      <c r="C1004" s="317"/>
      <c r="D1004" s="317"/>
      <c r="E1004" s="317"/>
      <c r="F1004" s="317"/>
      <c r="G1004" s="317"/>
      <c r="H1004" s="317"/>
      <c r="I1004" s="317"/>
      <c r="J1004" s="317"/>
      <c r="K1004" s="317"/>
      <c r="L1004" s="318"/>
      <c r="M1004" s="318"/>
      <c r="N1004" s="318"/>
      <c r="O1004" s="318"/>
      <c r="P1004" s="318"/>
      <c r="Q1004" s="318"/>
      <c r="R1004" s="318"/>
      <c r="S1004" s="318"/>
      <c r="T1004" s="318"/>
      <c r="U1004" s="318"/>
      <c r="V1004" s="318"/>
      <c r="W1004" s="318"/>
      <c r="X1004" s="318"/>
      <c r="Y1004" s="318"/>
      <c r="Z1004" s="318"/>
    </row>
    <row r="1005">
      <c r="A1005" s="317"/>
      <c r="B1005" s="318"/>
      <c r="C1005" s="317"/>
      <c r="D1005" s="317"/>
      <c r="E1005" s="317"/>
      <c r="F1005" s="317"/>
      <c r="G1005" s="317"/>
      <c r="H1005" s="317"/>
      <c r="I1005" s="317"/>
      <c r="J1005" s="317"/>
      <c r="K1005" s="317"/>
      <c r="L1005" s="318"/>
      <c r="M1005" s="318"/>
      <c r="N1005" s="318"/>
      <c r="O1005" s="318"/>
      <c r="P1005" s="318"/>
      <c r="Q1005" s="318"/>
      <c r="R1005" s="318"/>
      <c r="S1005" s="318"/>
      <c r="T1005" s="318"/>
      <c r="U1005" s="318"/>
      <c r="V1005" s="318"/>
      <c r="W1005" s="318"/>
      <c r="X1005" s="318"/>
      <c r="Y1005" s="318"/>
      <c r="Z1005" s="318"/>
    </row>
    <row r="1006">
      <c r="A1006" s="317"/>
      <c r="B1006" s="318"/>
      <c r="C1006" s="317"/>
      <c r="D1006" s="317"/>
      <c r="E1006" s="317"/>
      <c r="F1006" s="317"/>
      <c r="G1006" s="317"/>
      <c r="H1006" s="317"/>
      <c r="I1006" s="317"/>
      <c r="J1006" s="317"/>
      <c r="K1006" s="317"/>
      <c r="L1006" s="318"/>
      <c r="M1006" s="318"/>
      <c r="N1006" s="318"/>
      <c r="O1006" s="318"/>
      <c r="P1006" s="318"/>
      <c r="Q1006" s="318"/>
      <c r="R1006" s="318"/>
      <c r="S1006" s="318"/>
      <c r="T1006" s="318"/>
      <c r="U1006" s="318"/>
      <c r="V1006" s="318"/>
      <c r="W1006" s="318"/>
      <c r="X1006" s="318"/>
      <c r="Y1006" s="318"/>
      <c r="Z1006" s="318"/>
    </row>
    <row r="1007">
      <c r="A1007" s="317"/>
      <c r="B1007" s="318"/>
      <c r="C1007" s="317"/>
      <c r="D1007" s="317"/>
      <c r="E1007" s="317"/>
      <c r="F1007" s="317"/>
      <c r="G1007" s="317"/>
      <c r="H1007" s="317"/>
      <c r="I1007" s="317"/>
      <c r="J1007" s="317"/>
      <c r="K1007" s="317"/>
      <c r="L1007" s="318"/>
      <c r="M1007" s="318"/>
      <c r="N1007" s="318"/>
      <c r="O1007" s="318"/>
      <c r="P1007" s="318"/>
      <c r="Q1007" s="318"/>
      <c r="R1007" s="318"/>
      <c r="S1007" s="318"/>
      <c r="T1007" s="318"/>
      <c r="U1007" s="318"/>
      <c r="V1007" s="318"/>
      <c r="W1007" s="318"/>
      <c r="X1007" s="318"/>
      <c r="Y1007" s="318"/>
      <c r="Z1007" s="318"/>
    </row>
    <row r="1008">
      <c r="A1008" s="317"/>
      <c r="B1008" s="318"/>
      <c r="C1008" s="317"/>
      <c r="D1008" s="317"/>
      <c r="E1008" s="317"/>
      <c r="F1008" s="317"/>
      <c r="G1008" s="317"/>
      <c r="H1008" s="317"/>
      <c r="I1008" s="317"/>
      <c r="J1008" s="317"/>
      <c r="K1008" s="317"/>
      <c r="L1008" s="318"/>
      <c r="M1008" s="318"/>
      <c r="N1008" s="318"/>
      <c r="O1008" s="318"/>
      <c r="P1008" s="318"/>
      <c r="Q1008" s="318"/>
      <c r="R1008" s="318"/>
      <c r="S1008" s="318"/>
      <c r="T1008" s="318"/>
      <c r="U1008" s="318"/>
      <c r="V1008" s="318"/>
      <c r="W1008" s="318"/>
      <c r="X1008" s="318"/>
      <c r="Y1008" s="318"/>
      <c r="Z1008" s="318"/>
    </row>
    <row r="1009">
      <c r="A1009" s="317"/>
      <c r="B1009" s="318"/>
      <c r="C1009" s="317"/>
      <c r="D1009" s="317"/>
      <c r="E1009" s="317"/>
      <c r="F1009" s="317"/>
      <c r="G1009" s="317"/>
      <c r="H1009" s="317"/>
      <c r="I1009" s="317"/>
      <c r="J1009" s="317"/>
      <c r="K1009" s="317"/>
      <c r="L1009" s="318"/>
      <c r="M1009" s="318"/>
      <c r="N1009" s="318"/>
      <c r="O1009" s="318"/>
      <c r="P1009" s="318"/>
      <c r="Q1009" s="318"/>
      <c r="R1009" s="318"/>
      <c r="S1009" s="318"/>
      <c r="T1009" s="318"/>
      <c r="U1009" s="318"/>
      <c r="V1009" s="318"/>
      <c r="W1009" s="318"/>
      <c r="X1009" s="318"/>
      <c r="Y1009" s="318"/>
      <c r="Z1009" s="318"/>
    </row>
    <row r="1010">
      <c r="A1010" s="317"/>
      <c r="B1010" s="318"/>
      <c r="C1010" s="317"/>
      <c r="D1010" s="317"/>
      <c r="E1010" s="317"/>
      <c r="F1010" s="317"/>
      <c r="G1010" s="317"/>
      <c r="H1010" s="317"/>
      <c r="I1010" s="317"/>
      <c r="J1010" s="317"/>
      <c r="K1010" s="317"/>
      <c r="L1010" s="318"/>
      <c r="M1010" s="318"/>
      <c r="N1010" s="318"/>
      <c r="O1010" s="318"/>
      <c r="P1010" s="318"/>
      <c r="Q1010" s="318"/>
      <c r="R1010" s="318"/>
      <c r="S1010" s="318"/>
      <c r="T1010" s="318"/>
      <c r="U1010" s="318"/>
      <c r="V1010" s="318"/>
      <c r="W1010" s="318"/>
      <c r="X1010" s="318"/>
      <c r="Y1010" s="318"/>
      <c r="Z1010" s="318"/>
    </row>
    <row r="1011">
      <c r="A1011" s="317"/>
      <c r="B1011" s="318"/>
      <c r="C1011" s="317"/>
      <c r="D1011" s="317"/>
      <c r="E1011" s="317"/>
      <c r="F1011" s="317"/>
      <c r="G1011" s="317"/>
      <c r="H1011" s="317"/>
      <c r="I1011" s="317"/>
      <c r="J1011" s="317"/>
      <c r="K1011" s="317"/>
      <c r="L1011" s="318"/>
      <c r="M1011" s="318"/>
      <c r="N1011" s="318"/>
      <c r="O1011" s="318"/>
      <c r="P1011" s="318"/>
      <c r="Q1011" s="318"/>
      <c r="R1011" s="318"/>
      <c r="S1011" s="318"/>
      <c r="T1011" s="318"/>
      <c r="U1011" s="318"/>
      <c r="V1011" s="318"/>
      <c r="W1011" s="318"/>
      <c r="X1011" s="318"/>
      <c r="Y1011" s="318"/>
      <c r="Z1011" s="318"/>
    </row>
    <row r="1012">
      <c r="A1012" s="317"/>
      <c r="B1012" s="318"/>
      <c r="C1012" s="317"/>
      <c r="D1012" s="317"/>
      <c r="E1012" s="317"/>
      <c r="F1012" s="317"/>
      <c r="G1012" s="317"/>
      <c r="H1012" s="317"/>
      <c r="I1012" s="317"/>
      <c r="J1012" s="317"/>
      <c r="K1012" s="317"/>
      <c r="L1012" s="318"/>
      <c r="M1012" s="318"/>
      <c r="N1012" s="318"/>
      <c r="O1012" s="318"/>
      <c r="P1012" s="318"/>
      <c r="Q1012" s="318"/>
      <c r="R1012" s="318"/>
      <c r="S1012" s="318"/>
      <c r="T1012" s="318"/>
      <c r="U1012" s="318"/>
      <c r="V1012" s="318"/>
      <c r="W1012" s="318"/>
      <c r="X1012" s="318"/>
      <c r="Y1012" s="318"/>
      <c r="Z1012" s="318"/>
    </row>
    <row r="1013">
      <c r="A1013" s="317"/>
      <c r="B1013" s="318"/>
      <c r="C1013" s="317"/>
      <c r="D1013" s="317"/>
      <c r="E1013" s="317"/>
      <c r="F1013" s="317"/>
      <c r="G1013" s="317"/>
      <c r="H1013" s="317"/>
      <c r="I1013" s="317"/>
      <c r="J1013" s="317"/>
      <c r="K1013" s="317"/>
      <c r="L1013" s="318"/>
      <c r="M1013" s="318"/>
      <c r="N1013" s="318"/>
      <c r="O1013" s="318"/>
      <c r="P1013" s="318"/>
      <c r="Q1013" s="318"/>
      <c r="R1013" s="318"/>
      <c r="S1013" s="318"/>
      <c r="T1013" s="318"/>
      <c r="U1013" s="318"/>
      <c r="V1013" s="318"/>
      <c r="W1013" s="318"/>
      <c r="X1013" s="318"/>
      <c r="Y1013" s="318"/>
      <c r="Z1013" s="318"/>
    </row>
    <row r="1014">
      <c r="A1014" s="317"/>
      <c r="B1014" s="318"/>
      <c r="C1014" s="317"/>
      <c r="D1014" s="317"/>
      <c r="E1014" s="317"/>
      <c r="F1014" s="317"/>
      <c r="G1014" s="317"/>
      <c r="H1014" s="317"/>
      <c r="I1014" s="317"/>
      <c r="J1014" s="317"/>
      <c r="K1014" s="317"/>
      <c r="L1014" s="318"/>
      <c r="M1014" s="318"/>
      <c r="N1014" s="318"/>
      <c r="O1014" s="318"/>
      <c r="P1014" s="318"/>
      <c r="Q1014" s="318"/>
      <c r="R1014" s="318"/>
      <c r="S1014" s="318"/>
      <c r="T1014" s="318"/>
      <c r="U1014" s="318"/>
      <c r="V1014" s="318"/>
      <c r="W1014" s="318"/>
      <c r="X1014" s="318"/>
      <c r="Y1014" s="318"/>
      <c r="Z1014" s="318"/>
    </row>
    <row r="1015">
      <c r="A1015" s="317"/>
      <c r="B1015" s="318"/>
      <c r="C1015" s="317"/>
      <c r="D1015" s="317"/>
      <c r="E1015" s="317"/>
      <c r="F1015" s="317"/>
      <c r="G1015" s="317"/>
      <c r="H1015" s="317"/>
      <c r="I1015" s="317"/>
      <c r="J1015" s="317"/>
      <c r="K1015" s="317"/>
      <c r="L1015" s="318"/>
      <c r="M1015" s="318"/>
      <c r="N1015" s="318"/>
      <c r="O1015" s="318"/>
      <c r="P1015" s="318"/>
      <c r="Q1015" s="318"/>
      <c r="R1015" s="318"/>
      <c r="S1015" s="318"/>
      <c r="T1015" s="318"/>
      <c r="U1015" s="318"/>
      <c r="V1015" s="318"/>
      <c r="W1015" s="318"/>
      <c r="X1015" s="318"/>
      <c r="Y1015" s="318"/>
      <c r="Z1015" s="318"/>
    </row>
    <row r="1016">
      <c r="A1016" s="317"/>
      <c r="B1016" s="318"/>
      <c r="C1016" s="317"/>
      <c r="D1016" s="317"/>
      <c r="E1016" s="317"/>
      <c r="F1016" s="317"/>
      <c r="G1016" s="317"/>
      <c r="H1016" s="317"/>
      <c r="I1016" s="317"/>
      <c r="J1016" s="317"/>
      <c r="K1016" s="317"/>
      <c r="L1016" s="318"/>
      <c r="M1016" s="318"/>
      <c r="N1016" s="318"/>
      <c r="O1016" s="318"/>
      <c r="P1016" s="318"/>
      <c r="Q1016" s="318"/>
      <c r="R1016" s="318"/>
      <c r="S1016" s="318"/>
      <c r="T1016" s="318"/>
      <c r="U1016" s="318"/>
      <c r="V1016" s="318"/>
      <c r="W1016" s="318"/>
      <c r="X1016" s="318"/>
      <c r="Y1016" s="318"/>
      <c r="Z1016" s="318"/>
    </row>
    <row r="1017">
      <c r="A1017" s="317"/>
      <c r="B1017" s="318"/>
      <c r="C1017" s="317"/>
      <c r="D1017" s="317"/>
      <c r="E1017" s="317"/>
      <c r="F1017" s="317"/>
      <c r="G1017" s="317"/>
      <c r="H1017" s="317"/>
      <c r="I1017" s="317"/>
      <c r="J1017" s="317"/>
      <c r="K1017" s="317"/>
      <c r="L1017" s="318"/>
      <c r="M1017" s="318"/>
      <c r="N1017" s="318"/>
      <c r="O1017" s="318"/>
      <c r="P1017" s="318"/>
      <c r="Q1017" s="318"/>
      <c r="R1017" s="318"/>
      <c r="S1017" s="318"/>
      <c r="T1017" s="318"/>
      <c r="U1017" s="318"/>
      <c r="V1017" s="318"/>
      <c r="W1017" s="318"/>
      <c r="X1017" s="318"/>
      <c r="Y1017" s="318"/>
      <c r="Z1017" s="318"/>
    </row>
    <row r="1018">
      <c r="A1018" s="317"/>
      <c r="B1018" s="318"/>
      <c r="C1018" s="317"/>
      <c r="D1018" s="317"/>
      <c r="E1018" s="317"/>
      <c r="F1018" s="317"/>
      <c r="G1018" s="317"/>
      <c r="H1018" s="317"/>
      <c r="I1018" s="317"/>
      <c r="J1018" s="317"/>
      <c r="K1018" s="317"/>
      <c r="L1018" s="318"/>
      <c r="M1018" s="318"/>
      <c r="N1018" s="318"/>
      <c r="O1018" s="318"/>
      <c r="P1018" s="318"/>
      <c r="Q1018" s="318"/>
      <c r="R1018" s="318"/>
      <c r="S1018" s="318"/>
      <c r="T1018" s="318"/>
      <c r="U1018" s="318"/>
      <c r="V1018" s="318"/>
      <c r="W1018" s="318"/>
      <c r="X1018" s="318"/>
      <c r="Y1018" s="318"/>
      <c r="Z1018" s="318"/>
    </row>
    <row r="1019">
      <c r="A1019" s="317"/>
      <c r="B1019" s="318"/>
      <c r="C1019" s="317"/>
      <c r="D1019" s="317"/>
      <c r="E1019" s="317"/>
      <c r="F1019" s="317"/>
      <c r="G1019" s="317"/>
      <c r="H1019" s="317"/>
      <c r="I1019" s="317"/>
      <c r="J1019" s="317"/>
      <c r="K1019" s="317"/>
      <c r="L1019" s="318"/>
      <c r="M1019" s="318"/>
      <c r="N1019" s="318"/>
      <c r="O1019" s="318"/>
      <c r="P1019" s="318"/>
      <c r="Q1019" s="318"/>
      <c r="R1019" s="318"/>
      <c r="S1019" s="318"/>
      <c r="T1019" s="318"/>
      <c r="U1019" s="318"/>
      <c r="V1019" s="318"/>
      <c r="W1019" s="318"/>
      <c r="X1019" s="318"/>
      <c r="Y1019" s="318"/>
      <c r="Z1019" s="318"/>
    </row>
    <row r="1020">
      <c r="A1020" s="317"/>
      <c r="B1020" s="318"/>
      <c r="C1020" s="317"/>
      <c r="D1020" s="317"/>
      <c r="E1020" s="317"/>
      <c r="F1020" s="317"/>
      <c r="G1020" s="317"/>
      <c r="H1020" s="317"/>
      <c r="I1020" s="317"/>
      <c r="J1020" s="317"/>
      <c r="K1020" s="317"/>
      <c r="L1020" s="318"/>
      <c r="M1020" s="318"/>
      <c r="N1020" s="318"/>
      <c r="O1020" s="318"/>
      <c r="P1020" s="318"/>
      <c r="Q1020" s="318"/>
      <c r="R1020" s="318"/>
      <c r="S1020" s="318"/>
      <c r="T1020" s="318"/>
      <c r="U1020" s="318"/>
      <c r="V1020" s="318"/>
      <c r="W1020" s="318"/>
      <c r="X1020" s="318"/>
      <c r="Y1020" s="318"/>
      <c r="Z1020" s="318"/>
    </row>
    <row r="1021">
      <c r="A1021" s="317"/>
      <c r="B1021" s="318"/>
      <c r="C1021" s="317"/>
      <c r="D1021" s="317"/>
      <c r="E1021" s="317"/>
      <c r="F1021" s="317"/>
      <c r="G1021" s="317"/>
      <c r="H1021" s="317"/>
      <c r="I1021" s="317"/>
      <c r="J1021" s="317"/>
      <c r="K1021" s="317"/>
      <c r="L1021" s="318"/>
      <c r="M1021" s="318"/>
      <c r="N1021" s="318"/>
      <c r="O1021" s="318"/>
      <c r="P1021" s="318"/>
      <c r="Q1021" s="318"/>
      <c r="R1021" s="318"/>
      <c r="S1021" s="318"/>
      <c r="T1021" s="318"/>
      <c r="U1021" s="318"/>
      <c r="V1021" s="318"/>
      <c r="W1021" s="318"/>
      <c r="X1021" s="318"/>
      <c r="Y1021" s="318"/>
      <c r="Z1021" s="318"/>
    </row>
    <row r="1022">
      <c r="A1022" s="317"/>
      <c r="B1022" s="318"/>
      <c r="C1022" s="317"/>
      <c r="D1022" s="317"/>
      <c r="E1022" s="317"/>
      <c r="F1022" s="317"/>
      <c r="G1022" s="317"/>
      <c r="H1022" s="317"/>
      <c r="I1022" s="317"/>
      <c r="J1022" s="317"/>
      <c r="K1022" s="317"/>
      <c r="L1022" s="318"/>
      <c r="M1022" s="318"/>
      <c r="N1022" s="318"/>
      <c r="O1022" s="318"/>
      <c r="P1022" s="318"/>
      <c r="Q1022" s="318"/>
      <c r="R1022" s="318"/>
      <c r="S1022" s="318"/>
      <c r="T1022" s="318"/>
      <c r="U1022" s="318"/>
      <c r="V1022" s="318"/>
      <c r="W1022" s="318"/>
      <c r="X1022" s="318"/>
      <c r="Y1022" s="318"/>
      <c r="Z1022" s="318"/>
    </row>
    <row r="1023">
      <c r="A1023" s="317"/>
      <c r="B1023" s="318"/>
      <c r="C1023" s="317"/>
      <c r="D1023" s="317"/>
      <c r="E1023" s="317"/>
      <c r="F1023" s="317"/>
      <c r="G1023" s="317"/>
      <c r="H1023" s="317"/>
      <c r="I1023" s="317"/>
      <c r="J1023" s="317"/>
      <c r="K1023" s="317"/>
      <c r="L1023" s="318"/>
      <c r="M1023" s="318"/>
      <c r="N1023" s="318"/>
      <c r="O1023" s="318"/>
      <c r="P1023" s="318"/>
      <c r="Q1023" s="318"/>
      <c r="R1023" s="318"/>
      <c r="S1023" s="318"/>
      <c r="T1023" s="318"/>
      <c r="U1023" s="318"/>
      <c r="V1023" s="318"/>
      <c r="W1023" s="318"/>
      <c r="X1023" s="318"/>
      <c r="Y1023" s="318"/>
      <c r="Z1023" s="318"/>
    </row>
    <row r="1024">
      <c r="A1024" s="317"/>
      <c r="B1024" s="318"/>
      <c r="C1024" s="317"/>
      <c r="D1024" s="317"/>
      <c r="E1024" s="317"/>
      <c r="F1024" s="317"/>
      <c r="G1024" s="317"/>
      <c r="H1024" s="317"/>
      <c r="I1024" s="317"/>
      <c r="J1024" s="317"/>
      <c r="K1024" s="317"/>
      <c r="L1024" s="318"/>
      <c r="M1024" s="318"/>
      <c r="N1024" s="318"/>
      <c r="O1024" s="318"/>
      <c r="P1024" s="318"/>
      <c r="Q1024" s="318"/>
      <c r="R1024" s="318"/>
      <c r="S1024" s="318"/>
      <c r="T1024" s="318"/>
      <c r="U1024" s="318"/>
      <c r="V1024" s="318"/>
      <c r="W1024" s="318"/>
      <c r="X1024" s="318"/>
      <c r="Y1024" s="318"/>
      <c r="Z1024" s="318"/>
    </row>
    <row r="1025">
      <c r="A1025" s="317"/>
      <c r="B1025" s="318"/>
      <c r="C1025" s="317"/>
      <c r="D1025" s="317"/>
      <c r="E1025" s="317"/>
      <c r="F1025" s="317"/>
      <c r="G1025" s="317"/>
      <c r="H1025" s="317"/>
      <c r="I1025" s="317"/>
      <c r="J1025" s="317"/>
      <c r="K1025" s="317"/>
      <c r="L1025" s="318"/>
      <c r="M1025" s="318"/>
      <c r="N1025" s="318"/>
      <c r="O1025" s="318"/>
      <c r="P1025" s="318"/>
      <c r="Q1025" s="318"/>
      <c r="R1025" s="318"/>
      <c r="S1025" s="318"/>
      <c r="T1025" s="318"/>
      <c r="U1025" s="318"/>
      <c r="V1025" s="318"/>
      <c r="W1025" s="318"/>
      <c r="X1025" s="318"/>
      <c r="Y1025" s="318"/>
      <c r="Z1025" s="318"/>
    </row>
    <row r="1026">
      <c r="A1026" s="317"/>
      <c r="B1026" s="318"/>
      <c r="C1026" s="317"/>
      <c r="D1026" s="317"/>
      <c r="E1026" s="317"/>
      <c r="F1026" s="317"/>
      <c r="G1026" s="317"/>
      <c r="H1026" s="317"/>
      <c r="I1026" s="317"/>
      <c r="J1026" s="317"/>
      <c r="K1026" s="317"/>
      <c r="L1026" s="318"/>
      <c r="M1026" s="318"/>
      <c r="N1026" s="318"/>
      <c r="O1026" s="318"/>
      <c r="P1026" s="318"/>
      <c r="Q1026" s="318"/>
      <c r="R1026" s="318"/>
      <c r="S1026" s="318"/>
      <c r="T1026" s="318"/>
      <c r="U1026" s="318"/>
      <c r="V1026" s="318"/>
      <c r="W1026" s="318"/>
      <c r="X1026" s="318"/>
      <c r="Y1026" s="318"/>
      <c r="Z1026" s="318"/>
    </row>
    <row r="1027">
      <c r="A1027" s="317"/>
      <c r="B1027" s="318"/>
      <c r="C1027" s="317"/>
      <c r="D1027" s="317"/>
      <c r="E1027" s="317"/>
      <c r="F1027" s="317"/>
      <c r="G1027" s="317"/>
      <c r="H1027" s="317"/>
      <c r="I1027" s="317"/>
      <c r="J1027" s="317"/>
      <c r="K1027" s="317"/>
      <c r="L1027" s="318"/>
      <c r="M1027" s="318"/>
      <c r="N1027" s="318"/>
      <c r="O1027" s="318"/>
      <c r="P1027" s="318"/>
      <c r="Q1027" s="318"/>
      <c r="R1027" s="318"/>
      <c r="S1027" s="318"/>
      <c r="T1027" s="318"/>
      <c r="U1027" s="318"/>
      <c r="V1027" s="318"/>
      <c r="W1027" s="318"/>
      <c r="X1027" s="318"/>
      <c r="Y1027" s="318"/>
      <c r="Z1027" s="318"/>
    </row>
    <row r="1028">
      <c r="A1028" s="317"/>
      <c r="B1028" s="318"/>
      <c r="C1028" s="317"/>
      <c r="D1028" s="317"/>
      <c r="E1028" s="317"/>
      <c r="F1028" s="317"/>
      <c r="G1028" s="317"/>
      <c r="H1028" s="317"/>
      <c r="I1028" s="317"/>
      <c r="J1028" s="317"/>
      <c r="K1028" s="317"/>
      <c r="L1028" s="318"/>
      <c r="M1028" s="318"/>
      <c r="N1028" s="318"/>
      <c r="O1028" s="318"/>
      <c r="P1028" s="318"/>
      <c r="Q1028" s="318"/>
      <c r="R1028" s="318"/>
      <c r="S1028" s="318"/>
      <c r="T1028" s="318"/>
      <c r="U1028" s="318"/>
      <c r="V1028" s="318"/>
      <c r="W1028" s="318"/>
      <c r="X1028" s="318"/>
      <c r="Y1028" s="318"/>
      <c r="Z1028" s="318"/>
    </row>
    <row r="1029">
      <c r="A1029" s="317"/>
      <c r="B1029" s="318"/>
      <c r="C1029" s="317"/>
      <c r="D1029" s="317"/>
      <c r="E1029" s="317"/>
      <c r="F1029" s="317"/>
      <c r="G1029" s="317"/>
      <c r="H1029" s="317"/>
      <c r="I1029" s="317"/>
      <c r="J1029" s="317"/>
      <c r="K1029" s="317"/>
      <c r="L1029" s="318"/>
      <c r="M1029" s="318"/>
      <c r="N1029" s="318"/>
      <c r="O1029" s="318"/>
      <c r="P1029" s="318"/>
      <c r="Q1029" s="318"/>
      <c r="R1029" s="318"/>
      <c r="S1029" s="318"/>
      <c r="T1029" s="318"/>
      <c r="U1029" s="318"/>
      <c r="V1029" s="318"/>
      <c r="W1029" s="318"/>
      <c r="X1029" s="318"/>
      <c r="Y1029" s="318"/>
      <c r="Z1029" s="318"/>
    </row>
    <row r="1030">
      <c r="A1030" s="317"/>
      <c r="B1030" s="318"/>
      <c r="C1030" s="317"/>
      <c r="D1030" s="317"/>
      <c r="E1030" s="317"/>
      <c r="F1030" s="317"/>
      <c r="G1030" s="317"/>
      <c r="H1030" s="317"/>
      <c r="I1030" s="317"/>
      <c r="J1030" s="317"/>
      <c r="K1030" s="317"/>
      <c r="L1030" s="318"/>
      <c r="M1030" s="318"/>
      <c r="N1030" s="318"/>
      <c r="O1030" s="318"/>
      <c r="P1030" s="318"/>
      <c r="Q1030" s="318"/>
      <c r="R1030" s="318"/>
      <c r="S1030" s="318"/>
      <c r="T1030" s="318"/>
      <c r="U1030" s="318"/>
      <c r="V1030" s="318"/>
      <c r="W1030" s="318"/>
      <c r="X1030" s="318"/>
      <c r="Y1030" s="318"/>
      <c r="Z1030" s="318"/>
    </row>
    <row r="1031">
      <c r="A1031" s="317"/>
      <c r="B1031" s="318"/>
      <c r="C1031" s="317"/>
      <c r="D1031" s="317"/>
      <c r="E1031" s="317"/>
      <c r="F1031" s="317"/>
      <c r="G1031" s="317"/>
      <c r="H1031" s="317"/>
      <c r="I1031" s="317"/>
      <c r="J1031" s="317"/>
      <c r="K1031" s="317"/>
      <c r="L1031" s="318"/>
      <c r="M1031" s="318"/>
      <c r="N1031" s="318"/>
      <c r="O1031" s="318"/>
      <c r="P1031" s="318"/>
      <c r="Q1031" s="318"/>
      <c r="R1031" s="318"/>
      <c r="S1031" s="318"/>
      <c r="T1031" s="318"/>
      <c r="U1031" s="318"/>
      <c r="V1031" s="318"/>
      <c r="W1031" s="318"/>
      <c r="X1031" s="318"/>
      <c r="Y1031" s="318"/>
      <c r="Z1031" s="318"/>
    </row>
    <row r="1032">
      <c r="A1032" s="317"/>
      <c r="B1032" s="318"/>
      <c r="C1032" s="317"/>
      <c r="D1032" s="317"/>
      <c r="E1032" s="317"/>
      <c r="F1032" s="317"/>
      <c r="G1032" s="317"/>
      <c r="H1032" s="317"/>
      <c r="I1032" s="317"/>
      <c r="J1032" s="317"/>
      <c r="K1032" s="317"/>
      <c r="L1032" s="318"/>
      <c r="M1032" s="318"/>
      <c r="N1032" s="318"/>
      <c r="O1032" s="318"/>
      <c r="P1032" s="318"/>
      <c r="Q1032" s="318"/>
      <c r="R1032" s="318"/>
      <c r="S1032" s="318"/>
      <c r="T1032" s="318"/>
      <c r="U1032" s="318"/>
      <c r="V1032" s="318"/>
      <c r="W1032" s="318"/>
      <c r="X1032" s="318"/>
      <c r="Y1032" s="318"/>
      <c r="Z1032" s="318"/>
    </row>
    <row r="1033">
      <c r="A1033" s="317"/>
      <c r="B1033" s="318"/>
      <c r="C1033" s="317"/>
      <c r="D1033" s="317"/>
      <c r="E1033" s="317"/>
      <c r="F1033" s="317"/>
      <c r="G1033" s="317"/>
      <c r="H1033" s="317"/>
      <c r="I1033" s="317"/>
      <c r="J1033" s="317"/>
      <c r="K1033" s="317"/>
      <c r="L1033" s="318"/>
      <c r="M1033" s="318"/>
      <c r="N1033" s="318"/>
      <c r="O1033" s="318"/>
      <c r="P1033" s="318"/>
      <c r="Q1033" s="318"/>
      <c r="R1033" s="318"/>
      <c r="S1033" s="318"/>
      <c r="T1033" s="318"/>
      <c r="U1033" s="318"/>
      <c r="V1033" s="318"/>
      <c r="W1033" s="318"/>
      <c r="X1033" s="318"/>
      <c r="Y1033" s="318"/>
      <c r="Z1033" s="318"/>
    </row>
    <row r="1034">
      <c r="A1034" s="317"/>
      <c r="B1034" s="318"/>
      <c r="C1034" s="317"/>
      <c r="D1034" s="317"/>
      <c r="E1034" s="317"/>
      <c r="F1034" s="317"/>
      <c r="G1034" s="317"/>
      <c r="H1034" s="317"/>
      <c r="I1034" s="317"/>
      <c r="J1034" s="317"/>
      <c r="K1034" s="317"/>
      <c r="L1034" s="318"/>
      <c r="M1034" s="318"/>
      <c r="N1034" s="318"/>
      <c r="O1034" s="318"/>
      <c r="P1034" s="318"/>
      <c r="Q1034" s="318"/>
      <c r="R1034" s="318"/>
      <c r="S1034" s="318"/>
      <c r="T1034" s="318"/>
      <c r="U1034" s="318"/>
      <c r="V1034" s="318"/>
      <c r="W1034" s="318"/>
      <c r="X1034" s="318"/>
      <c r="Y1034" s="318"/>
      <c r="Z1034" s="318"/>
    </row>
    <row r="1035">
      <c r="A1035" s="317"/>
      <c r="B1035" s="318"/>
      <c r="C1035" s="317"/>
      <c r="D1035" s="317"/>
      <c r="E1035" s="317"/>
      <c r="F1035" s="317"/>
      <c r="G1035" s="317"/>
      <c r="H1035" s="317"/>
      <c r="I1035" s="317"/>
      <c r="J1035" s="317"/>
      <c r="K1035" s="317"/>
      <c r="L1035" s="318"/>
      <c r="M1035" s="318"/>
      <c r="N1035" s="318"/>
      <c r="O1035" s="318"/>
      <c r="P1035" s="318"/>
      <c r="Q1035" s="318"/>
      <c r="R1035" s="318"/>
      <c r="S1035" s="318"/>
      <c r="T1035" s="318"/>
      <c r="U1035" s="318"/>
      <c r="V1035" s="318"/>
      <c r="W1035" s="318"/>
      <c r="X1035" s="318"/>
      <c r="Y1035" s="318"/>
      <c r="Z1035" s="318"/>
    </row>
    <row r="1036">
      <c r="A1036" s="317"/>
      <c r="B1036" s="318"/>
      <c r="C1036" s="317"/>
      <c r="D1036" s="317"/>
      <c r="E1036" s="317"/>
      <c r="F1036" s="317"/>
      <c r="G1036" s="317"/>
      <c r="H1036" s="317"/>
      <c r="I1036" s="317"/>
      <c r="J1036" s="317"/>
      <c r="K1036" s="317"/>
      <c r="L1036" s="318"/>
      <c r="M1036" s="318"/>
      <c r="N1036" s="318"/>
      <c r="O1036" s="318"/>
      <c r="P1036" s="318"/>
      <c r="Q1036" s="318"/>
      <c r="R1036" s="318"/>
      <c r="S1036" s="318"/>
      <c r="T1036" s="318"/>
      <c r="U1036" s="318"/>
      <c r="V1036" s="318"/>
      <c r="W1036" s="318"/>
      <c r="X1036" s="318"/>
      <c r="Y1036" s="318"/>
      <c r="Z1036" s="318"/>
    </row>
    <row r="1037">
      <c r="A1037" s="317"/>
      <c r="B1037" s="318"/>
      <c r="C1037" s="317"/>
      <c r="D1037" s="317"/>
      <c r="E1037" s="317"/>
      <c r="F1037" s="317"/>
      <c r="G1037" s="317"/>
      <c r="H1037" s="317"/>
      <c r="I1037" s="317"/>
      <c r="J1037" s="317"/>
      <c r="K1037" s="317"/>
      <c r="L1037" s="318"/>
      <c r="M1037" s="318"/>
      <c r="N1037" s="318"/>
      <c r="O1037" s="318"/>
      <c r="P1037" s="318"/>
      <c r="Q1037" s="318"/>
      <c r="R1037" s="318"/>
      <c r="S1037" s="318"/>
      <c r="T1037" s="318"/>
      <c r="U1037" s="318"/>
      <c r="V1037" s="318"/>
      <c r="W1037" s="318"/>
      <c r="X1037" s="318"/>
      <c r="Y1037" s="318"/>
      <c r="Z1037" s="318"/>
    </row>
    <row r="1038">
      <c r="A1038" s="317"/>
      <c r="B1038" s="318"/>
      <c r="C1038" s="317"/>
      <c r="D1038" s="317"/>
      <c r="E1038" s="317"/>
      <c r="F1038" s="317"/>
      <c r="G1038" s="317"/>
      <c r="H1038" s="317"/>
      <c r="I1038" s="317"/>
      <c r="J1038" s="317"/>
      <c r="K1038" s="317"/>
      <c r="L1038" s="318"/>
      <c r="M1038" s="318"/>
      <c r="N1038" s="318"/>
      <c r="O1038" s="318"/>
      <c r="P1038" s="318"/>
      <c r="Q1038" s="318"/>
      <c r="R1038" s="318"/>
      <c r="S1038" s="318"/>
      <c r="T1038" s="318"/>
      <c r="U1038" s="318"/>
      <c r="V1038" s="318"/>
      <c r="W1038" s="318"/>
      <c r="X1038" s="318"/>
      <c r="Y1038" s="318"/>
      <c r="Z1038" s="318"/>
    </row>
    <row r="1039">
      <c r="A1039" s="317"/>
      <c r="B1039" s="318"/>
      <c r="C1039" s="317"/>
      <c r="D1039" s="317"/>
      <c r="E1039" s="317"/>
      <c r="F1039" s="317"/>
      <c r="G1039" s="317"/>
      <c r="H1039" s="317"/>
      <c r="I1039" s="317"/>
      <c r="J1039" s="317"/>
      <c r="K1039" s="317"/>
      <c r="L1039" s="318"/>
      <c r="M1039" s="318"/>
      <c r="N1039" s="318"/>
      <c r="O1039" s="318"/>
      <c r="P1039" s="318"/>
      <c r="Q1039" s="318"/>
      <c r="R1039" s="318"/>
      <c r="S1039" s="318"/>
      <c r="T1039" s="318"/>
      <c r="U1039" s="318"/>
      <c r="V1039" s="318"/>
      <c r="W1039" s="318"/>
      <c r="X1039" s="318"/>
      <c r="Y1039" s="318"/>
      <c r="Z1039" s="318"/>
    </row>
    <row r="1040">
      <c r="A1040" s="317"/>
      <c r="B1040" s="318"/>
      <c r="C1040" s="317"/>
      <c r="D1040" s="317"/>
      <c r="E1040" s="317"/>
      <c r="F1040" s="317"/>
      <c r="G1040" s="317"/>
      <c r="H1040" s="317"/>
      <c r="I1040" s="317"/>
      <c r="J1040" s="317"/>
      <c r="K1040" s="317"/>
      <c r="L1040" s="318"/>
      <c r="M1040" s="318"/>
      <c r="N1040" s="318"/>
      <c r="O1040" s="318"/>
      <c r="P1040" s="318"/>
      <c r="Q1040" s="318"/>
      <c r="R1040" s="318"/>
      <c r="S1040" s="318"/>
      <c r="T1040" s="318"/>
      <c r="U1040" s="318"/>
      <c r="V1040" s="318"/>
      <c r="W1040" s="318"/>
      <c r="X1040" s="318"/>
      <c r="Y1040" s="318"/>
      <c r="Z1040" s="318"/>
    </row>
    <row r="1041">
      <c r="A1041" s="317"/>
      <c r="B1041" s="318"/>
      <c r="C1041" s="317"/>
      <c r="D1041" s="317"/>
      <c r="E1041" s="317"/>
      <c r="F1041" s="317"/>
      <c r="G1041" s="317"/>
      <c r="H1041" s="317"/>
      <c r="I1041" s="317"/>
      <c r="J1041" s="317"/>
      <c r="K1041" s="317"/>
      <c r="L1041" s="318"/>
      <c r="M1041" s="318"/>
      <c r="N1041" s="318"/>
      <c r="O1041" s="318"/>
      <c r="P1041" s="318"/>
      <c r="Q1041" s="318"/>
      <c r="R1041" s="318"/>
      <c r="S1041" s="318"/>
      <c r="T1041" s="318"/>
      <c r="U1041" s="318"/>
      <c r="V1041" s="318"/>
      <c r="W1041" s="318"/>
      <c r="X1041" s="318"/>
      <c r="Y1041" s="318"/>
      <c r="Z1041" s="318"/>
    </row>
    <row r="1042">
      <c r="A1042" s="317"/>
      <c r="B1042" s="318"/>
      <c r="C1042" s="317"/>
      <c r="D1042" s="317"/>
      <c r="E1042" s="317"/>
      <c r="F1042" s="317"/>
      <c r="G1042" s="317"/>
      <c r="H1042" s="317"/>
      <c r="I1042" s="317"/>
      <c r="J1042" s="317"/>
      <c r="K1042" s="317"/>
      <c r="L1042" s="318"/>
      <c r="M1042" s="318"/>
      <c r="N1042" s="318"/>
      <c r="O1042" s="318"/>
      <c r="P1042" s="318"/>
      <c r="Q1042" s="318"/>
      <c r="R1042" s="318"/>
      <c r="S1042" s="318"/>
      <c r="T1042" s="318"/>
      <c r="U1042" s="318"/>
      <c r="V1042" s="318"/>
      <c r="W1042" s="318"/>
      <c r="X1042" s="318"/>
      <c r="Y1042" s="318"/>
      <c r="Z1042" s="318"/>
    </row>
    <row r="1043">
      <c r="A1043" s="317"/>
      <c r="B1043" s="318"/>
      <c r="C1043" s="317"/>
      <c r="D1043" s="317"/>
      <c r="E1043" s="317"/>
      <c r="F1043" s="317"/>
      <c r="G1043" s="317"/>
      <c r="H1043" s="317"/>
      <c r="I1043" s="317"/>
      <c r="J1043" s="317"/>
      <c r="K1043" s="317"/>
      <c r="L1043" s="318"/>
      <c r="M1043" s="318"/>
      <c r="N1043" s="318"/>
      <c r="O1043" s="318"/>
      <c r="P1043" s="318"/>
      <c r="Q1043" s="318"/>
      <c r="R1043" s="318"/>
      <c r="S1043" s="318"/>
      <c r="T1043" s="318"/>
      <c r="U1043" s="318"/>
      <c r="V1043" s="318"/>
      <c r="W1043" s="318"/>
      <c r="X1043" s="318"/>
      <c r="Y1043" s="318"/>
      <c r="Z1043" s="318"/>
    </row>
    <row r="1044">
      <c r="A1044" s="317"/>
      <c r="B1044" s="318"/>
      <c r="C1044" s="317"/>
      <c r="D1044" s="317"/>
      <c r="E1044" s="317"/>
      <c r="F1044" s="317"/>
      <c r="G1044" s="317"/>
      <c r="H1044" s="317"/>
      <c r="I1044" s="317"/>
      <c r="J1044" s="317"/>
      <c r="K1044" s="317"/>
      <c r="L1044" s="318"/>
      <c r="M1044" s="318"/>
      <c r="N1044" s="318"/>
      <c r="O1044" s="318"/>
      <c r="P1044" s="318"/>
      <c r="Q1044" s="318"/>
      <c r="R1044" s="318"/>
      <c r="S1044" s="318"/>
      <c r="T1044" s="318"/>
      <c r="U1044" s="318"/>
      <c r="V1044" s="318"/>
      <c r="W1044" s="318"/>
      <c r="X1044" s="318"/>
      <c r="Y1044" s="318"/>
      <c r="Z1044" s="318"/>
    </row>
    <row r="1045">
      <c r="A1045" s="317"/>
      <c r="B1045" s="318"/>
      <c r="C1045" s="317"/>
      <c r="D1045" s="317"/>
      <c r="E1045" s="317"/>
      <c r="F1045" s="317"/>
      <c r="G1045" s="317"/>
      <c r="H1045" s="317"/>
      <c r="I1045" s="317"/>
      <c r="J1045" s="317"/>
      <c r="K1045" s="317"/>
      <c r="L1045" s="318"/>
      <c r="M1045" s="318"/>
      <c r="N1045" s="318"/>
      <c r="O1045" s="318"/>
      <c r="P1045" s="318"/>
      <c r="Q1045" s="318"/>
      <c r="R1045" s="318"/>
      <c r="S1045" s="318"/>
      <c r="T1045" s="318"/>
      <c r="U1045" s="318"/>
      <c r="V1045" s="318"/>
      <c r="W1045" s="318"/>
      <c r="X1045" s="318"/>
      <c r="Y1045" s="318"/>
      <c r="Z1045" s="318"/>
    </row>
    <row r="1046">
      <c r="A1046" s="317"/>
      <c r="B1046" s="318"/>
      <c r="C1046" s="317"/>
      <c r="D1046" s="317"/>
      <c r="E1046" s="317"/>
      <c r="F1046" s="317"/>
      <c r="G1046" s="317"/>
      <c r="H1046" s="317"/>
      <c r="I1046" s="317"/>
      <c r="J1046" s="317"/>
      <c r="K1046" s="317"/>
      <c r="L1046" s="318"/>
      <c r="M1046" s="318"/>
      <c r="N1046" s="318"/>
      <c r="O1046" s="318"/>
      <c r="P1046" s="318"/>
      <c r="Q1046" s="318"/>
      <c r="R1046" s="318"/>
      <c r="S1046" s="318"/>
      <c r="T1046" s="318"/>
      <c r="U1046" s="318"/>
      <c r="V1046" s="318"/>
      <c r="W1046" s="318"/>
      <c r="X1046" s="318"/>
      <c r="Y1046" s="318"/>
      <c r="Z1046" s="318"/>
    </row>
    <row r="1047">
      <c r="B1047" s="318"/>
      <c r="C1047" s="317"/>
      <c r="D1047" s="317"/>
      <c r="E1047" s="317"/>
      <c r="F1047" s="317"/>
      <c r="G1047" s="317"/>
      <c r="H1047" s="317"/>
      <c r="I1047" s="317"/>
      <c r="J1047" s="317"/>
      <c r="K1047" s="317"/>
      <c r="L1047" s="318"/>
      <c r="M1047" s="318"/>
      <c r="N1047" s="318"/>
      <c r="O1047" s="318"/>
      <c r="P1047" s="318"/>
      <c r="Q1047" s="318"/>
      <c r="R1047" s="318"/>
      <c r="S1047" s="318"/>
      <c r="T1047" s="318"/>
      <c r="U1047" s="318"/>
      <c r="V1047" s="318"/>
      <c r="W1047" s="318"/>
      <c r="X1047" s="318"/>
      <c r="Y1047" s="318"/>
      <c r="Z1047" s="318"/>
    </row>
  </sheetData>
  <mergeCells count="1">
    <mergeCell ref="D2:G4"/>
  </mergeCells>
  <dataValidations>
    <dataValidation type="list" allowBlank="1" showErrorMessage="1" sqref="C1:C4 C6:C1047">
      <formula1>"Active,Inactive,Drop"</formula1>
    </dataValidation>
  </dataValidations>
  <hyperlinks>
    <hyperlink r:id="rId1" ref="H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0.13"/>
  </cols>
  <sheetData>
    <row r="1">
      <c r="A1" s="387" t="s">
        <v>1137</v>
      </c>
      <c r="B1" s="388"/>
      <c r="C1" s="387" t="s">
        <v>957</v>
      </c>
      <c r="D1" s="387" t="s">
        <v>1138</v>
      </c>
      <c r="E1" s="387" t="s">
        <v>1139</v>
      </c>
      <c r="F1" s="387" t="s">
        <v>1140</v>
      </c>
      <c r="G1" s="387" t="s">
        <v>1141</v>
      </c>
      <c r="H1" s="387" t="s">
        <v>1142</v>
      </c>
      <c r="I1" s="387" t="s">
        <v>1143</v>
      </c>
      <c r="J1" s="387" t="s">
        <v>1144</v>
      </c>
      <c r="K1" s="387" t="s">
        <v>1145</v>
      </c>
      <c r="L1" s="387" t="s">
        <v>19</v>
      </c>
      <c r="M1" s="387" t="s">
        <v>20</v>
      </c>
      <c r="N1" s="387" t="s">
        <v>21</v>
      </c>
      <c r="O1" s="387" t="s">
        <v>1146</v>
      </c>
      <c r="P1" s="387" t="s">
        <v>1147</v>
      </c>
      <c r="Q1" s="387" t="s">
        <v>1148</v>
      </c>
      <c r="R1" s="389"/>
      <c r="S1" s="389"/>
      <c r="T1" s="389"/>
      <c r="U1" s="389"/>
      <c r="V1" s="389"/>
      <c r="W1" s="389"/>
      <c r="X1" s="389"/>
      <c r="Y1" s="389"/>
      <c r="Z1" s="389"/>
      <c r="AA1" s="389"/>
    </row>
    <row r="2" hidden="1">
      <c r="A2" s="390" t="s">
        <v>744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391"/>
      <c r="M2" s="391"/>
      <c r="N2" s="391"/>
      <c r="O2" s="391"/>
      <c r="P2" s="391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</row>
    <row r="3" hidden="1">
      <c r="A3" s="392" t="s">
        <v>721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391"/>
      <c r="M3" s="391"/>
      <c r="N3" s="391"/>
      <c r="O3" s="391"/>
      <c r="P3" s="391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</row>
    <row r="4" hidden="1">
      <c r="A4" s="186">
        <v>1.0</v>
      </c>
      <c r="B4" s="186" t="s">
        <v>745</v>
      </c>
      <c r="C4" s="186" t="s">
        <v>736</v>
      </c>
      <c r="D4" s="186">
        <v>3000.0</v>
      </c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hidden="1">
      <c r="A5" s="186">
        <v>2.0</v>
      </c>
      <c r="B5" s="186" t="s">
        <v>751</v>
      </c>
      <c r="C5" s="186" t="s">
        <v>736</v>
      </c>
      <c r="D5" s="186">
        <v>3000.0</v>
      </c>
      <c r="E5" s="195"/>
      <c r="F5" s="195"/>
      <c r="G5" s="195"/>
      <c r="H5" s="195"/>
      <c r="I5" s="186">
        <v>3000.0</v>
      </c>
      <c r="J5" s="186">
        <v>3000.0</v>
      </c>
      <c r="K5" s="195"/>
      <c r="L5" s="186">
        <v>3000.0</v>
      </c>
      <c r="M5" s="195"/>
      <c r="N5" s="195"/>
      <c r="O5" s="195"/>
      <c r="P5" s="195"/>
    </row>
    <row r="6" hidden="1">
      <c r="A6" s="186">
        <v>3.0</v>
      </c>
      <c r="B6" s="186" t="s">
        <v>757</v>
      </c>
      <c r="C6" s="186" t="s">
        <v>736</v>
      </c>
      <c r="D6" s="186">
        <v>2500.0</v>
      </c>
      <c r="E6" s="186">
        <v>2500.0</v>
      </c>
      <c r="F6" s="195"/>
      <c r="G6" s="195"/>
      <c r="H6" s="201">
        <v>2500.0</v>
      </c>
      <c r="I6" s="186">
        <v>2500.0</v>
      </c>
      <c r="J6" s="186">
        <v>2000.0</v>
      </c>
      <c r="K6" s="195"/>
      <c r="L6" s="195"/>
      <c r="M6" s="195"/>
      <c r="N6" s="195"/>
      <c r="O6" s="195"/>
      <c r="P6" s="195"/>
    </row>
    <row r="7" hidden="1">
      <c r="A7" s="186">
        <v>4.0</v>
      </c>
      <c r="B7" s="186" t="s">
        <v>761</v>
      </c>
      <c r="C7" s="186" t="s">
        <v>736</v>
      </c>
      <c r="D7" s="186">
        <v>2500.0</v>
      </c>
      <c r="E7" s="186">
        <v>2500.0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>
      <c r="A8" s="393">
        <v>5.0</v>
      </c>
      <c r="B8" s="393" t="s">
        <v>764</v>
      </c>
      <c r="C8" s="393" t="s">
        <v>30</v>
      </c>
      <c r="D8" s="393">
        <v>3000.0</v>
      </c>
      <c r="E8" s="393">
        <v>3000.0</v>
      </c>
      <c r="F8" s="393">
        <v>3000.0</v>
      </c>
      <c r="G8" s="393">
        <v>3000.0</v>
      </c>
      <c r="H8" s="393">
        <v>3000.0</v>
      </c>
      <c r="I8" s="393">
        <v>3000.0</v>
      </c>
      <c r="J8" s="393">
        <v>3000.0</v>
      </c>
      <c r="K8" s="393">
        <v>3000.0</v>
      </c>
      <c r="L8" s="393">
        <v>3000.0</v>
      </c>
      <c r="M8" s="393">
        <v>3000.0</v>
      </c>
      <c r="N8" s="394"/>
      <c r="O8" s="394"/>
      <c r="P8" s="394"/>
      <c r="Q8" s="394"/>
      <c r="R8" s="395"/>
      <c r="S8" s="395"/>
      <c r="T8" s="395"/>
      <c r="U8" s="395"/>
      <c r="V8" s="395"/>
      <c r="W8" s="395"/>
      <c r="X8" s="395"/>
      <c r="Y8" s="395"/>
      <c r="Z8" s="395"/>
      <c r="AA8" s="395"/>
    </row>
    <row r="9" hidden="1">
      <c r="A9" s="186">
        <v>6.0</v>
      </c>
      <c r="B9" s="186" t="s">
        <v>768</v>
      </c>
      <c r="C9" s="186" t="s">
        <v>736</v>
      </c>
      <c r="D9" s="186">
        <v>2500.0</v>
      </c>
      <c r="E9" s="195"/>
      <c r="F9" s="195"/>
      <c r="G9" s="186" t="s">
        <v>1149</v>
      </c>
      <c r="H9" s="195"/>
      <c r="I9" s="195"/>
      <c r="J9" s="195"/>
      <c r="K9" s="195"/>
      <c r="L9" s="195"/>
      <c r="M9" s="195"/>
      <c r="N9" s="195"/>
      <c r="O9" s="195"/>
      <c r="P9" s="195"/>
      <c r="Q9" s="195"/>
    </row>
    <row r="10" hidden="1">
      <c r="A10" s="186">
        <v>7.0</v>
      </c>
      <c r="B10" s="186" t="s">
        <v>773</v>
      </c>
      <c r="C10" s="186" t="s">
        <v>736</v>
      </c>
      <c r="D10" s="195"/>
      <c r="E10" s="186" t="s">
        <v>1129</v>
      </c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hidden="1">
      <c r="A11" s="186">
        <v>8.0</v>
      </c>
      <c r="B11" s="186" t="s">
        <v>777</v>
      </c>
      <c r="C11" s="186" t="s">
        <v>736</v>
      </c>
      <c r="D11" s="195"/>
      <c r="E11" s="186" t="s">
        <v>1150</v>
      </c>
      <c r="F11" s="195"/>
      <c r="G11" s="186" t="s">
        <v>322</v>
      </c>
      <c r="H11" s="195"/>
      <c r="I11" s="195"/>
      <c r="J11" s="195"/>
      <c r="K11" s="195"/>
      <c r="L11" s="195"/>
      <c r="M11" s="195"/>
      <c r="N11" s="195"/>
      <c r="O11" s="195"/>
      <c r="P11" s="195"/>
      <c r="Q11" s="195"/>
    </row>
    <row r="12" hidden="1">
      <c r="A12" s="186">
        <v>9.0</v>
      </c>
      <c r="B12" s="186" t="s">
        <v>781</v>
      </c>
      <c r="C12" s="186" t="s">
        <v>736</v>
      </c>
      <c r="D12" s="195"/>
      <c r="E12" s="186" t="s">
        <v>1151</v>
      </c>
      <c r="F12" s="186">
        <v>3000.0</v>
      </c>
      <c r="G12" s="186">
        <v>3000.0</v>
      </c>
      <c r="H12" s="195"/>
      <c r="I12" s="195"/>
      <c r="J12" s="195"/>
      <c r="K12" s="195"/>
      <c r="L12" s="195"/>
      <c r="M12" s="195"/>
      <c r="N12" s="195"/>
      <c r="O12" s="195"/>
      <c r="P12" s="195"/>
      <c r="Q12" s="195"/>
    </row>
    <row r="13">
      <c r="A13" s="186">
        <v>10.0</v>
      </c>
      <c r="B13" s="186" t="s">
        <v>787</v>
      </c>
      <c r="C13" s="186" t="s">
        <v>30</v>
      </c>
      <c r="D13" s="195"/>
      <c r="E13" s="186" t="s">
        <v>1150</v>
      </c>
      <c r="F13" s="186">
        <v>2500.0</v>
      </c>
      <c r="G13" s="186">
        <v>2500.0</v>
      </c>
      <c r="H13" s="195"/>
      <c r="I13" s="186">
        <v>2500.0</v>
      </c>
      <c r="J13" s="186">
        <v>2500.0</v>
      </c>
      <c r="K13" s="195"/>
      <c r="L13" s="186">
        <v>2500.0</v>
      </c>
      <c r="M13" s="186">
        <v>2500.0</v>
      </c>
      <c r="N13" s="186">
        <v>2500.0</v>
      </c>
      <c r="O13" s="195"/>
      <c r="P13" s="195"/>
      <c r="Q13" s="195"/>
    </row>
    <row r="14" hidden="1">
      <c r="A14" s="186">
        <v>11.0</v>
      </c>
      <c r="B14" s="186" t="s">
        <v>791</v>
      </c>
      <c r="C14" s="186" t="s">
        <v>736</v>
      </c>
      <c r="D14" s="195"/>
      <c r="E14" s="186" t="s">
        <v>1150</v>
      </c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</row>
    <row r="15" hidden="1">
      <c r="A15" s="186">
        <v>12.0</v>
      </c>
      <c r="B15" s="186" t="s">
        <v>794</v>
      </c>
      <c r="C15" s="186" t="s">
        <v>736</v>
      </c>
      <c r="D15" s="195"/>
      <c r="E15" s="186" t="s">
        <v>1129</v>
      </c>
      <c r="F15" s="186" t="s">
        <v>38</v>
      </c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</row>
    <row r="16" hidden="1">
      <c r="A16" s="186">
        <v>13.0</v>
      </c>
      <c r="B16" s="186" t="s">
        <v>798</v>
      </c>
      <c r="C16" s="186" t="s">
        <v>736</v>
      </c>
      <c r="D16" s="195"/>
      <c r="E16" s="195"/>
      <c r="F16" s="186" t="s">
        <v>1129</v>
      </c>
      <c r="G16" s="186">
        <v>3000.0</v>
      </c>
      <c r="H16" s="195"/>
      <c r="I16" s="195"/>
      <c r="J16" s="195"/>
      <c r="K16" s="195"/>
      <c r="L16" s="195"/>
      <c r="M16" s="195"/>
      <c r="N16" s="195"/>
      <c r="O16" s="195"/>
      <c r="P16" s="195"/>
      <c r="Q16" s="195"/>
    </row>
    <row r="17" hidden="1">
      <c r="A17" s="186">
        <v>14.0</v>
      </c>
      <c r="B17" s="186" t="s">
        <v>803</v>
      </c>
      <c r="C17" s="186" t="s">
        <v>736</v>
      </c>
      <c r="D17" s="195"/>
      <c r="E17" s="195"/>
      <c r="F17" s="186" t="s">
        <v>1129</v>
      </c>
      <c r="G17" s="195"/>
      <c r="H17" s="195"/>
      <c r="I17" s="186">
        <v>3000.0</v>
      </c>
      <c r="J17" s="195"/>
      <c r="K17" s="195"/>
      <c r="L17" s="195"/>
      <c r="M17" s="195"/>
      <c r="N17" s="195"/>
      <c r="O17" s="195"/>
      <c r="P17" s="195"/>
      <c r="Q17" s="195"/>
    </row>
    <row r="18" hidden="1">
      <c r="A18" s="186">
        <v>15.0</v>
      </c>
      <c r="B18" s="186" t="s">
        <v>807</v>
      </c>
      <c r="C18" s="186" t="s">
        <v>736</v>
      </c>
      <c r="D18" s="195"/>
      <c r="E18" s="195"/>
      <c r="F18" s="186" t="s">
        <v>1129</v>
      </c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</row>
    <row r="19">
      <c r="A19" s="186">
        <v>16.0</v>
      </c>
      <c r="B19" s="186" t="s">
        <v>811</v>
      </c>
      <c r="C19" s="186" t="s">
        <v>30</v>
      </c>
      <c r="D19" s="195"/>
      <c r="E19" s="195"/>
      <c r="F19" s="186" t="s">
        <v>1150</v>
      </c>
      <c r="G19" s="186">
        <v>2500.0</v>
      </c>
      <c r="H19" s="186">
        <v>2500.0</v>
      </c>
      <c r="I19" s="186" t="s">
        <v>47</v>
      </c>
      <c r="J19" s="186" t="s">
        <v>47</v>
      </c>
      <c r="K19" s="186" t="s">
        <v>47</v>
      </c>
      <c r="L19" s="186">
        <v>2000.0</v>
      </c>
      <c r="M19" s="186">
        <v>2000.0</v>
      </c>
      <c r="N19" s="186">
        <v>2000.0</v>
      </c>
      <c r="O19" s="186" t="s">
        <v>1152</v>
      </c>
      <c r="P19" s="195"/>
      <c r="Q19" s="195"/>
    </row>
    <row r="20" hidden="1">
      <c r="A20" s="186">
        <v>17.0</v>
      </c>
      <c r="B20" s="82" t="s">
        <v>813</v>
      </c>
      <c r="C20" s="186" t="s">
        <v>736</v>
      </c>
      <c r="D20" s="195"/>
      <c r="E20" s="195"/>
      <c r="F20" s="186" t="s">
        <v>1150</v>
      </c>
      <c r="G20" s="195"/>
      <c r="H20" s="195"/>
      <c r="I20" s="186" t="s">
        <v>1135</v>
      </c>
      <c r="J20" s="195"/>
      <c r="K20" s="195"/>
      <c r="L20" s="195"/>
      <c r="M20" s="195"/>
      <c r="N20" s="195"/>
      <c r="O20" s="195"/>
      <c r="P20" s="195"/>
      <c r="Q20" s="195"/>
    </row>
    <row r="21" hidden="1">
      <c r="A21" s="186">
        <v>18.0</v>
      </c>
      <c r="B21" s="82" t="s">
        <v>817</v>
      </c>
      <c r="C21" s="186" t="s">
        <v>736</v>
      </c>
      <c r="D21" s="195"/>
      <c r="E21" s="195"/>
      <c r="F21" s="186" t="s">
        <v>1151</v>
      </c>
      <c r="G21" s="186">
        <v>2000.0</v>
      </c>
      <c r="H21" s="186">
        <v>2000.0</v>
      </c>
      <c r="I21" s="186">
        <v>2000.0</v>
      </c>
      <c r="J21" s="186">
        <v>2000.0</v>
      </c>
      <c r="K21" s="186">
        <v>2000.0</v>
      </c>
      <c r="L21" s="195"/>
      <c r="M21" s="195"/>
      <c r="N21" s="195"/>
      <c r="O21" s="195"/>
      <c r="P21" s="195"/>
      <c r="Q21" s="195"/>
    </row>
    <row r="22" hidden="1">
      <c r="A22" s="186">
        <v>19.0</v>
      </c>
      <c r="B22" s="186" t="s">
        <v>820</v>
      </c>
      <c r="C22" s="186" t="s">
        <v>736</v>
      </c>
      <c r="D22" s="195"/>
      <c r="E22" s="195"/>
      <c r="F22" s="195"/>
      <c r="G22" s="186">
        <v>3000.0</v>
      </c>
      <c r="H22" s="195"/>
      <c r="I22" s="195"/>
      <c r="J22" s="195"/>
      <c r="K22" s="195"/>
      <c r="L22" s="195"/>
      <c r="M22" s="195"/>
      <c r="N22" s="195"/>
      <c r="O22" s="195"/>
      <c r="P22" s="195"/>
      <c r="Q22" s="195"/>
    </row>
    <row r="23">
      <c r="A23" s="186">
        <v>20.0</v>
      </c>
      <c r="B23" s="186" t="s">
        <v>824</v>
      </c>
      <c r="C23" s="186" t="s">
        <v>30</v>
      </c>
      <c r="D23" s="195"/>
      <c r="E23" s="195"/>
      <c r="F23" s="195"/>
      <c r="G23" s="186">
        <v>3000.0</v>
      </c>
      <c r="H23" s="195"/>
      <c r="I23" s="195"/>
      <c r="J23" s="195"/>
      <c r="K23" s="195"/>
      <c r="L23" s="195"/>
      <c r="M23" s="195"/>
      <c r="N23" s="186">
        <v>3000.0</v>
      </c>
      <c r="O23" s="195"/>
      <c r="P23" s="195"/>
      <c r="Q23" s="195"/>
    </row>
    <row r="24" hidden="1">
      <c r="A24" s="186">
        <v>21.0</v>
      </c>
      <c r="B24" s="186" t="s">
        <v>828</v>
      </c>
      <c r="C24" s="186" t="s">
        <v>736</v>
      </c>
      <c r="D24" s="195"/>
      <c r="E24" s="195"/>
      <c r="F24" s="195"/>
      <c r="G24" s="186">
        <v>3000.0</v>
      </c>
      <c r="H24" s="195"/>
      <c r="I24" s="195"/>
      <c r="J24" s="195"/>
      <c r="K24" s="195"/>
      <c r="L24" s="195"/>
      <c r="M24" s="195"/>
      <c r="N24" s="195"/>
      <c r="O24" s="195"/>
      <c r="P24" s="195"/>
      <c r="Q24" s="195"/>
    </row>
    <row r="25" hidden="1">
      <c r="A25" s="186">
        <v>22.0</v>
      </c>
      <c r="B25" s="186" t="s">
        <v>1153</v>
      </c>
      <c r="C25" s="186" t="s">
        <v>736</v>
      </c>
      <c r="D25" s="195"/>
      <c r="E25" s="195"/>
      <c r="F25" s="195"/>
      <c r="G25" s="195"/>
      <c r="H25" s="186">
        <v>2000.0</v>
      </c>
      <c r="I25" s="186">
        <v>2000.0</v>
      </c>
      <c r="J25" s="186">
        <v>2000.0</v>
      </c>
      <c r="K25" s="195"/>
      <c r="L25" s="195"/>
      <c r="M25" s="195"/>
      <c r="N25" s="195"/>
      <c r="O25" s="195"/>
      <c r="P25" s="195"/>
      <c r="Q25" s="195"/>
    </row>
    <row r="26" ht="15.0" customHeight="1">
      <c r="A26" s="186">
        <v>23.0</v>
      </c>
      <c r="B26" s="186" t="s">
        <v>836</v>
      </c>
      <c r="C26" s="186" t="s">
        <v>30</v>
      </c>
      <c r="D26" s="195"/>
      <c r="E26" s="195"/>
      <c r="F26" s="195"/>
      <c r="G26" s="195"/>
      <c r="H26" s="186">
        <v>2000.0</v>
      </c>
      <c r="I26" s="186">
        <v>2000.0</v>
      </c>
      <c r="J26" s="186">
        <v>2000.0</v>
      </c>
      <c r="K26" s="195"/>
      <c r="L26" s="186">
        <v>2000.0</v>
      </c>
      <c r="M26" s="186">
        <v>2000.0</v>
      </c>
      <c r="N26" s="186">
        <v>2000.0</v>
      </c>
      <c r="O26" s="186" t="s">
        <v>1154</v>
      </c>
      <c r="P26" s="195"/>
      <c r="Q26" s="195"/>
    </row>
    <row r="27" hidden="1">
      <c r="A27" s="186">
        <v>24.0</v>
      </c>
      <c r="B27" s="186" t="s">
        <v>840</v>
      </c>
      <c r="C27" s="186" t="s">
        <v>736</v>
      </c>
      <c r="D27" s="195"/>
      <c r="E27" s="195"/>
      <c r="F27" s="195"/>
      <c r="G27" s="195"/>
      <c r="H27" s="186">
        <v>2000.0</v>
      </c>
      <c r="I27" s="186">
        <v>2000.0</v>
      </c>
      <c r="J27" s="186">
        <v>2000.0</v>
      </c>
      <c r="K27" s="186">
        <v>2000.0</v>
      </c>
      <c r="L27" s="186">
        <v>2000.0</v>
      </c>
      <c r="M27" s="186">
        <v>2000.0</v>
      </c>
      <c r="N27" s="186"/>
      <c r="O27" s="195"/>
      <c r="P27" s="195"/>
      <c r="Q27" s="195"/>
    </row>
    <row r="28" hidden="1">
      <c r="A28" s="186">
        <v>25.0</v>
      </c>
      <c r="B28" s="186" t="s">
        <v>844</v>
      </c>
      <c r="C28" s="186" t="s">
        <v>736</v>
      </c>
      <c r="D28" s="195"/>
      <c r="E28" s="195"/>
      <c r="F28" s="195"/>
      <c r="G28" s="195"/>
      <c r="H28" s="186">
        <v>2000.0</v>
      </c>
      <c r="I28" s="186">
        <v>2000.0</v>
      </c>
      <c r="J28" s="186">
        <v>2000.0</v>
      </c>
      <c r="K28" s="186">
        <v>2000.0</v>
      </c>
      <c r="L28" s="186">
        <v>2000.0</v>
      </c>
      <c r="M28" s="186">
        <v>2000.0</v>
      </c>
      <c r="N28" s="186">
        <v>2000.0</v>
      </c>
      <c r="O28" s="195"/>
      <c r="P28" s="195"/>
      <c r="Q28" s="195"/>
    </row>
    <row r="29">
      <c r="A29" s="186">
        <v>26.0</v>
      </c>
      <c r="B29" s="186" t="s">
        <v>849</v>
      </c>
      <c r="C29" s="186" t="s">
        <v>30</v>
      </c>
      <c r="D29" s="195"/>
      <c r="E29" s="195"/>
      <c r="F29" s="195"/>
      <c r="G29" s="195"/>
      <c r="H29" s="186">
        <v>3000.0</v>
      </c>
      <c r="I29" s="195"/>
      <c r="J29" s="195"/>
      <c r="K29" s="186">
        <v>2000.0</v>
      </c>
      <c r="L29" s="186">
        <v>2000.0</v>
      </c>
      <c r="M29" s="186">
        <v>2000.0</v>
      </c>
      <c r="N29" s="186" t="s">
        <v>1155</v>
      </c>
      <c r="O29" s="195"/>
      <c r="P29" s="195"/>
      <c r="Q29" s="195"/>
    </row>
    <row r="30" hidden="1">
      <c r="A30" s="186">
        <v>27.0</v>
      </c>
      <c r="B30" s="186" t="s">
        <v>1156</v>
      </c>
      <c r="C30" s="186" t="s">
        <v>736</v>
      </c>
      <c r="D30" s="195"/>
      <c r="E30" s="195"/>
      <c r="F30" s="195"/>
      <c r="G30" s="195"/>
      <c r="H30" s="186">
        <v>2500.0</v>
      </c>
      <c r="I30" s="186">
        <v>2500.0</v>
      </c>
      <c r="J30" s="186">
        <v>2500.0</v>
      </c>
      <c r="K30" s="186">
        <v>2500.0</v>
      </c>
      <c r="L30" s="186">
        <v>2500.0</v>
      </c>
      <c r="M30" s="195"/>
      <c r="N30" s="195"/>
      <c r="O30" s="195"/>
      <c r="P30" s="195"/>
      <c r="Q30" s="195"/>
    </row>
    <row r="31" hidden="1">
      <c r="A31" s="186">
        <v>28.0</v>
      </c>
      <c r="B31" s="186" t="s">
        <v>858</v>
      </c>
      <c r="C31" s="186" t="s">
        <v>736</v>
      </c>
      <c r="D31" s="195"/>
      <c r="E31" s="195"/>
      <c r="F31" s="195"/>
      <c r="G31" s="195"/>
      <c r="H31" s="186">
        <v>3000.0</v>
      </c>
      <c r="I31" s="186">
        <v>3000.0</v>
      </c>
      <c r="J31" s="186">
        <v>3000.0</v>
      </c>
      <c r="K31" s="195"/>
      <c r="L31" s="195"/>
      <c r="M31" s="195"/>
      <c r="N31" s="195"/>
      <c r="O31" s="195"/>
      <c r="P31" s="195"/>
      <c r="Q31" s="195"/>
    </row>
    <row r="32">
      <c r="A32" s="393">
        <v>29.0</v>
      </c>
      <c r="B32" s="393" t="s">
        <v>861</v>
      </c>
      <c r="C32" s="393" t="s">
        <v>30</v>
      </c>
      <c r="D32" s="394"/>
      <c r="E32" s="394"/>
      <c r="F32" s="394"/>
      <c r="G32" s="394"/>
      <c r="H32" s="394"/>
      <c r="I32" s="393">
        <v>2000.0</v>
      </c>
      <c r="J32" s="393">
        <v>2000.0</v>
      </c>
      <c r="K32" s="393">
        <v>3000.0</v>
      </c>
      <c r="L32" s="393" t="s">
        <v>322</v>
      </c>
      <c r="M32" s="393">
        <v>3000.0</v>
      </c>
      <c r="N32" s="394"/>
      <c r="O32" s="394"/>
      <c r="P32" s="394"/>
      <c r="Q32" s="394"/>
      <c r="R32" s="395"/>
      <c r="S32" s="395"/>
      <c r="T32" s="395"/>
      <c r="U32" s="395"/>
      <c r="V32" s="395"/>
      <c r="W32" s="395"/>
      <c r="X32" s="395"/>
      <c r="Y32" s="395"/>
      <c r="Z32" s="395"/>
      <c r="AA32" s="395"/>
    </row>
    <row r="33">
      <c r="A33" s="393">
        <v>30.0</v>
      </c>
      <c r="B33" s="393" t="s">
        <v>865</v>
      </c>
      <c r="C33" s="393" t="s">
        <v>30</v>
      </c>
      <c r="D33" s="394"/>
      <c r="E33" s="394"/>
      <c r="F33" s="394"/>
      <c r="G33" s="394"/>
      <c r="H33" s="394"/>
      <c r="I33" s="393">
        <v>3000.0</v>
      </c>
      <c r="J33" s="393">
        <v>3000.0</v>
      </c>
      <c r="K33" s="393">
        <v>2000.0</v>
      </c>
      <c r="L33" s="393">
        <v>2000.0</v>
      </c>
      <c r="M33" s="393">
        <v>2000.0</v>
      </c>
      <c r="N33" s="393"/>
      <c r="O33" s="394"/>
      <c r="P33" s="394"/>
      <c r="Q33" s="394"/>
      <c r="R33" s="395"/>
      <c r="S33" s="395"/>
      <c r="T33" s="395"/>
      <c r="U33" s="395"/>
      <c r="V33" s="395"/>
      <c r="W33" s="395"/>
      <c r="X33" s="395"/>
      <c r="Y33" s="395"/>
      <c r="Z33" s="395"/>
      <c r="AA33" s="395"/>
    </row>
    <row r="34" hidden="1">
      <c r="A34" s="186">
        <v>31.0</v>
      </c>
      <c r="B34" s="186" t="s">
        <v>867</v>
      </c>
      <c r="C34" s="186" t="s">
        <v>736</v>
      </c>
      <c r="D34" s="195"/>
      <c r="E34" s="195"/>
      <c r="F34" s="195"/>
      <c r="G34" s="195"/>
      <c r="H34" s="195"/>
      <c r="I34" s="186">
        <v>3000.0</v>
      </c>
      <c r="J34" s="396" t="s">
        <v>38</v>
      </c>
      <c r="K34" s="195"/>
      <c r="L34" s="195"/>
      <c r="M34" s="195"/>
      <c r="N34" s="195"/>
      <c r="O34" s="195"/>
      <c r="P34" s="195"/>
      <c r="Q34" s="195"/>
    </row>
    <row r="35" hidden="1">
      <c r="A35" s="186">
        <v>32.0</v>
      </c>
      <c r="B35" s="186" t="s">
        <v>871</v>
      </c>
      <c r="C35" s="186" t="s">
        <v>736</v>
      </c>
      <c r="D35" s="195"/>
      <c r="E35" s="195"/>
      <c r="F35" s="195"/>
      <c r="G35" s="195"/>
      <c r="H35" s="195"/>
      <c r="I35" s="186">
        <v>2000.0</v>
      </c>
      <c r="J35" s="186">
        <v>2000.0</v>
      </c>
      <c r="K35" s="186">
        <v>2000.0</v>
      </c>
      <c r="L35" s="195"/>
      <c r="M35" s="195"/>
      <c r="N35" s="195"/>
      <c r="O35" s="195"/>
      <c r="P35" s="195"/>
      <c r="Q35" s="195"/>
    </row>
    <row r="36" hidden="1">
      <c r="A36" s="186">
        <v>33.0</v>
      </c>
      <c r="B36" s="186" t="s">
        <v>875</v>
      </c>
      <c r="C36" s="186" t="s">
        <v>736</v>
      </c>
      <c r="D36" s="195"/>
      <c r="E36" s="195"/>
      <c r="F36" s="195"/>
      <c r="G36" s="195"/>
      <c r="H36" s="195"/>
      <c r="I36" s="186">
        <v>2000.0</v>
      </c>
      <c r="J36" s="186">
        <v>2000.0</v>
      </c>
      <c r="K36" s="186">
        <v>2000.0</v>
      </c>
      <c r="L36" s="195"/>
      <c r="M36" s="195"/>
      <c r="N36" s="195"/>
      <c r="O36" s="195"/>
      <c r="P36" s="195"/>
      <c r="Q36" s="195"/>
    </row>
    <row r="37">
      <c r="A37" s="197">
        <v>34.0</v>
      </c>
      <c r="B37" s="197" t="s">
        <v>878</v>
      </c>
      <c r="C37" s="197" t="s">
        <v>30</v>
      </c>
      <c r="D37" s="391"/>
      <c r="E37" s="391"/>
      <c r="F37" s="391"/>
      <c r="G37" s="391"/>
      <c r="H37" s="391"/>
      <c r="I37" s="391"/>
      <c r="J37" s="197">
        <v>2000.0</v>
      </c>
      <c r="K37" s="197">
        <v>2000.0</v>
      </c>
      <c r="L37" s="197">
        <v>2000.0</v>
      </c>
      <c r="M37" s="197">
        <v>2000.0</v>
      </c>
      <c r="N37" s="197">
        <v>2000.0</v>
      </c>
      <c r="O37" s="391"/>
      <c r="P37" s="391"/>
      <c r="Q37" s="391"/>
      <c r="R37" s="389"/>
      <c r="S37" s="389"/>
      <c r="T37" s="389"/>
      <c r="U37" s="389"/>
      <c r="V37" s="389"/>
      <c r="W37" s="389"/>
      <c r="X37" s="389"/>
      <c r="Y37" s="389"/>
      <c r="Z37" s="389"/>
      <c r="AA37" s="389"/>
    </row>
    <row r="38" hidden="1">
      <c r="A38" s="186">
        <v>35.0</v>
      </c>
      <c r="B38" s="186" t="s">
        <v>882</v>
      </c>
      <c r="C38" s="186" t="s">
        <v>736</v>
      </c>
      <c r="D38" s="195"/>
      <c r="E38" s="195"/>
      <c r="F38" s="195"/>
      <c r="G38" s="195"/>
      <c r="H38" s="195"/>
      <c r="I38" s="195"/>
      <c r="J38" s="186">
        <v>2500.0</v>
      </c>
      <c r="K38" s="186">
        <v>2500.0</v>
      </c>
      <c r="L38" s="195"/>
      <c r="M38" s="195"/>
      <c r="N38" s="195"/>
      <c r="O38" s="195"/>
      <c r="P38" s="195"/>
      <c r="Q38" s="195"/>
    </row>
    <row r="39" hidden="1">
      <c r="A39" s="186">
        <v>36.0</v>
      </c>
      <c r="B39" s="186" t="s">
        <v>887</v>
      </c>
      <c r="C39" s="186" t="s">
        <v>736</v>
      </c>
      <c r="D39" s="195"/>
      <c r="E39" s="195"/>
      <c r="F39" s="195"/>
      <c r="G39" s="195"/>
      <c r="H39" s="195"/>
      <c r="I39" s="195"/>
      <c r="J39" s="186">
        <v>3000.0</v>
      </c>
      <c r="K39" s="195"/>
      <c r="L39" s="195"/>
      <c r="M39" s="195"/>
      <c r="N39" s="195"/>
      <c r="O39" s="195"/>
      <c r="P39" s="195"/>
      <c r="Q39" s="195"/>
    </row>
    <row r="40" hidden="1">
      <c r="A40" s="197">
        <v>37.0</v>
      </c>
      <c r="B40" s="197" t="s">
        <v>892</v>
      </c>
      <c r="C40" s="197" t="s">
        <v>736</v>
      </c>
      <c r="D40" s="391"/>
      <c r="E40" s="391"/>
      <c r="F40" s="391"/>
      <c r="G40" s="391"/>
      <c r="H40" s="391"/>
      <c r="I40" s="391"/>
      <c r="J40" s="197">
        <v>3000.0</v>
      </c>
      <c r="K40" s="197">
        <v>3000.0</v>
      </c>
      <c r="L40" s="197">
        <v>3000.0</v>
      </c>
      <c r="M40" s="197">
        <v>3000.0</v>
      </c>
      <c r="N40" s="197" t="s">
        <v>37</v>
      </c>
      <c r="O40" s="391"/>
      <c r="P40" s="391"/>
      <c r="Q40" s="391"/>
      <c r="R40" s="389"/>
      <c r="S40" s="389"/>
      <c r="T40" s="389"/>
      <c r="U40" s="389"/>
      <c r="V40" s="389"/>
      <c r="W40" s="389"/>
      <c r="X40" s="389"/>
      <c r="Y40" s="389"/>
      <c r="Z40" s="389"/>
      <c r="AA40" s="389"/>
    </row>
    <row r="41" hidden="1">
      <c r="A41" s="186">
        <v>38.0</v>
      </c>
      <c r="B41" s="186" t="s">
        <v>896</v>
      </c>
      <c r="C41" s="186" t="s">
        <v>736</v>
      </c>
      <c r="D41" s="195"/>
      <c r="E41" s="195"/>
      <c r="F41" s="195"/>
      <c r="G41" s="195"/>
      <c r="H41" s="195"/>
      <c r="I41" s="195"/>
      <c r="J41" s="186">
        <v>3000.0</v>
      </c>
      <c r="K41" s="195"/>
      <c r="L41" s="195"/>
      <c r="M41" s="195"/>
      <c r="N41" s="195"/>
      <c r="O41" s="195"/>
      <c r="P41" s="195"/>
      <c r="Q41" s="195"/>
    </row>
    <row r="42" hidden="1">
      <c r="A42" s="186">
        <v>39.0</v>
      </c>
      <c r="B42" s="186" t="s">
        <v>900</v>
      </c>
      <c r="C42" s="186" t="s">
        <v>736</v>
      </c>
      <c r="D42" s="195"/>
      <c r="E42" s="195"/>
      <c r="F42" s="195"/>
      <c r="G42" s="195"/>
      <c r="H42" s="195"/>
      <c r="I42" s="195"/>
      <c r="J42" s="186">
        <v>3000.0</v>
      </c>
      <c r="K42" s="195"/>
      <c r="L42" s="195"/>
      <c r="M42" s="195"/>
      <c r="N42" s="195"/>
      <c r="O42" s="195"/>
      <c r="P42" s="195"/>
      <c r="Q42" s="195"/>
    </row>
    <row r="43">
      <c r="A43" s="186">
        <v>40.0</v>
      </c>
      <c r="B43" s="186" t="s">
        <v>904</v>
      </c>
      <c r="C43" s="186" t="s">
        <v>30</v>
      </c>
      <c r="D43" s="195"/>
      <c r="E43" s="195"/>
      <c r="F43" s="195"/>
      <c r="G43" s="195"/>
      <c r="H43" s="195"/>
      <c r="I43" s="195"/>
      <c r="J43" s="195"/>
      <c r="K43" s="186">
        <v>3000.0</v>
      </c>
      <c r="L43" s="186">
        <v>3000.0</v>
      </c>
      <c r="M43" s="186">
        <v>3000.0</v>
      </c>
      <c r="N43" s="186" t="s">
        <v>1155</v>
      </c>
      <c r="O43" s="186"/>
      <c r="P43" s="186"/>
      <c r="Q43" s="186"/>
    </row>
    <row r="44" hidden="1">
      <c r="A44" s="186">
        <v>41.0</v>
      </c>
      <c r="B44" s="186" t="s">
        <v>910</v>
      </c>
      <c r="C44" s="186" t="s">
        <v>736</v>
      </c>
      <c r="D44" s="195"/>
      <c r="E44" s="195"/>
      <c r="F44" s="195"/>
      <c r="G44" s="195"/>
      <c r="H44" s="195"/>
      <c r="I44" s="195"/>
      <c r="J44" s="195"/>
      <c r="K44" s="186">
        <v>2000.0</v>
      </c>
      <c r="L44" s="186">
        <v>2000.0</v>
      </c>
      <c r="M44" s="195"/>
      <c r="N44" s="195"/>
      <c r="O44" s="195"/>
      <c r="P44" s="195"/>
      <c r="Q44" s="195"/>
    </row>
    <row r="45" hidden="1">
      <c r="A45" s="186">
        <v>42.0</v>
      </c>
      <c r="B45" s="186" t="s">
        <v>916</v>
      </c>
      <c r="C45" s="186" t="s">
        <v>736</v>
      </c>
      <c r="D45" s="195"/>
      <c r="E45" s="195"/>
      <c r="F45" s="195"/>
      <c r="G45" s="195"/>
      <c r="H45" s="195"/>
      <c r="I45" s="195"/>
      <c r="J45" s="195"/>
      <c r="K45" s="186">
        <v>2000.0</v>
      </c>
      <c r="L45" s="186">
        <v>2000.0</v>
      </c>
      <c r="M45" s="186">
        <v>2000.0</v>
      </c>
      <c r="N45" s="186"/>
      <c r="O45" s="195"/>
      <c r="P45" s="195"/>
      <c r="Q45" s="195"/>
    </row>
    <row r="46" hidden="1">
      <c r="A46" s="186">
        <v>43.0</v>
      </c>
      <c r="B46" s="186" t="s">
        <v>921</v>
      </c>
      <c r="C46" s="186" t="s">
        <v>736</v>
      </c>
      <c r="D46" s="195"/>
      <c r="E46" s="195"/>
      <c r="F46" s="195"/>
      <c r="G46" s="195"/>
      <c r="H46" s="195"/>
      <c r="I46" s="195"/>
      <c r="J46" s="195"/>
      <c r="K46" s="186">
        <v>2000.0</v>
      </c>
      <c r="L46" s="186">
        <v>2000.0</v>
      </c>
      <c r="M46" s="186">
        <v>2000.0</v>
      </c>
      <c r="N46" s="186"/>
      <c r="O46" s="195"/>
      <c r="P46" s="195"/>
      <c r="Q46" s="195"/>
    </row>
    <row r="47" hidden="1">
      <c r="A47" s="197">
        <v>44.0</v>
      </c>
      <c r="B47" s="197" t="s">
        <v>1157</v>
      </c>
      <c r="C47" s="197" t="s">
        <v>736</v>
      </c>
      <c r="D47" s="391"/>
      <c r="E47" s="391"/>
      <c r="F47" s="391"/>
      <c r="G47" s="391"/>
      <c r="H47" s="391"/>
      <c r="I47" s="391"/>
      <c r="J47" s="391"/>
      <c r="K47" s="397">
        <v>4000.0</v>
      </c>
      <c r="L47" s="7"/>
      <c r="M47" s="8"/>
      <c r="N47" s="391"/>
      <c r="O47" s="391"/>
      <c r="P47" s="391"/>
      <c r="Q47" s="391"/>
      <c r="R47" s="389"/>
      <c r="S47" s="389"/>
      <c r="T47" s="389"/>
      <c r="U47" s="389"/>
      <c r="V47" s="389"/>
      <c r="W47" s="389"/>
      <c r="X47" s="389"/>
      <c r="Y47" s="389"/>
      <c r="Z47" s="389"/>
      <c r="AA47" s="389"/>
    </row>
    <row r="48">
      <c r="A48" s="186">
        <v>45.0</v>
      </c>
      <c r="B48" s="186" t="s">
        <v>929</v>
      </c>
      <c r="C48" s="186" t="s">
        <v>30</v>
      </c>
      <c r="D48" s="195"/>
      <c r="E48" s="195"/>
      <c r="F48" s="195"/>
      <c r="G48" s="195"/>
      <c r="H48" s="195"/>
      <c r="I48" s="195"/>
      <c r="J48" s="195"/>
      <c r="K48" s="195"/>
      <c r="L48" s="186">
        <v>2000.0</v>
      </c>
      <c r="M48" s="186">
        <v>2000.0</v>
      </c>
      <c r="N48" s="302" t="s">
        <v>1158</v>
      </c>
      <c r="O48" s="195"/>
      <c r="P48" s="195"/>
      <c r="Q48" s="195"/>
    </row>
    <row r="49">
      <c r="A49" s="186">
        <v>46.0</v>
      </c>
      <c r="B49" s="186" t="s">
        <v>933</v>
      </c>
      <c r="C49" s="186" t="s">
        <v>30</v>
      </c>
      <c r="D49" s="195"/>
      <c r="E49" s="195"/>
      <c r="F49" s="195"/>
      <c r="G49" s="195"/>
      <c r="H49" s="195"/>
      <c r="I49" s="195"/>
      <c r="J49" s="195"/>
      <c r="K49" s="195"/>
      <c r="L49" s="186">
        <v>2000.0</v>
      </c>
      <c r="M49" s="186">
        <v>2000.0</v>
      </c>
      <c r="N49" s="186">
        <v>2000.0</v>
      </c>
      <c r="O49" s="186" t="s">
        <v>1159</v>
      </c>
      <c r="P49" s="195"/>
      <c r="Q49" s="195"/>
    </row>
    <row r="50" hidden="1">
      <c r="A50" s="186">
        <v>47.0</v>
      </c>
      <c r="B50" s="186" t="s">
        <v>937</v>
      </c>
      <c r="C50" s="186" t="s">
        <v>736</v>
      </c>
      <c r="D50" s="195"/>
      <c r="E50" s="195"/>
      <c r="F50" s="195"/>
      <c r="G50" s="195"/>
      <c r="H50" s="195"/>
      <c r="I50" s="195"/>
      <c r="J50" s="195"/>
      <c r="K50" s="195"/>
      <c r="L50" s="186">
        <v>3000.0</v>
      </c>
      <c r="M50" s="195"/>
      <c r="N50" s="195"/>
      <c r="O50" s="195"/>
      <c r="P50" s="195"/>
      <c r="Q50" s="195"/>
    </row>
    <row r="51" hidden="1">
      <c r="A51" s="186">
        <v>48.0</v>
      </c>
      <c r="B51" s="186" t="s">
        <v>944</v>
      </c>
      <c r="C51" s="186" t="s">
        <v>736</v>
      </c>
      <c r="D51" s="195"/>
      <c r="E51" s="195"/>
      <c r="F51" s="195"/>
      <c r="G51" s="195"/>
      <c r="H51" s="195"/>
      <c r="I51" s="195"/>
      <c r="J51" s="195"/>
      <c r="K51" s="195"/>
      <c r="L51" s="197">
        <v>3000.0</v>
      </c>
      <c r="M51" s="195"/>
      <c r="N51" s="391"/>
      <c r="O51" s="391"/>
      <c r="P51" s="391"/>
      <c r="Q51" s="391"/>
      <c r="R51" s="389"/>
      <c r="S51" s="389"/>
      <c r="T51" s="389"/>
      <c r="U51" s="389"/>
      <c r="V51" s="389"/>
      <c r="W51" s="389"/>
      <c r="X51" s="389"/>
      <c r="Y51" s="389"/>
      <c r="Z51" s="389"/>
      <c r="AA51" s="389"/>
    </row>
    <row r="52">
      <c r="A52" s="186">
        <v>49.0</v>
      </c>
      <c r="B52" s="302" t="s">
        <v>949</v>
      </c>
      <c r="C52" s="186" t="s">
        <v>30</v>
      </c>
      <c r="D52" s="195"/>
      <c r="E52" s="195"/>
      <c r="F52" s="195"/>
      <c r="G52" s="195"/>
      <c r="H52" s="195"/>
      <c r="I52" s="195"/>
      <c r="J52" s="195"/>
      <c r="K52" s="195"/>
      <c r="L52" s="391"/>
      <c r="M52" s="186">
        <v>2000.0</v>
      </c>
      <c r="N52" s="197">
        <v>2000.0</v>
      </c>
      <c r="O52" s="197">
        <v>2000.0</v>
      </c>
      <c r="P52" s="197" t="s">
        <v>1160</v>
      </c>
      <c r="Q52" s="391"/>
      <c r="R52" s="389"/>
      <c r="S52" s="389"/>
      <c r="T52" s="389"/>
      <c r="U52" s="389"/>
      <c r="V52" s="389"/>
      <c r="W52" s="389"/>
      <c r="X52" s="389"/>
      <c r="Y52" s="389"/>
      <c r="Z52" s="389"/>
      <c r="AA52" s="389"/>
    </row>
    <row r="53" hidden="1">
      <c r="C53" s="398"/>
      <c r="L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</row>
    <row r="54" hidden="1">
      <c r="C54" s="398"/>
      <c r="L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</row>
    <row r="55" hidden="1">
      <c r="C55" s="398"/>
      <c r="L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</row>
    <row r="56" hidden="1">
      <c r="C56" s="398"/>
      <c r="L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</row>
    <row r="57" hidden="1">
      <c r="C57" s="398"/>
      <c r="L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</row>
    <row r="58" hidden="1">
      <c r="C58" s="398"/>
      <c r="L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</row>
    <row r="59" hidden="1">
      <c r="C59" s="398"/>
      <c r="L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</row>
    <row r="60" hidden="1">
      <c r="C60" s="398"/>
      <c r="L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</row>
    <row r="61" hidden="1">
      <c r="C61" s="398"/>
      <c r="L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</row>
    <row r="62" hidden="1">
      <c r="C62" s="398"/>
      <c r="L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</row>
    <row r="63" hidden="1">
      <c r="C63" s="398"/>
      <c r="L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</row>
    <row r="64" hidden="1">
      <c r="C64" s="398"/>
      <c r="L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</row>
    <row r="65" hidden="1">
      <c r="C65" s="398"/>
      <c r="L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</row>
    <row r="66" hidden="1">
      <c r="C66" s="398"/>
      <c r="L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</row>
    <row r="67" hidden="1">
      <c r="C67" s="398"/>
      <c r="L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</row>
    <row r="68" hidden="1">
      <c r="C68" s="398"/>
      <c r="L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</row>
    <row r="69" hidden="1">
      <c r="C69" s="398"/>
      <c r="L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</row>
    <row r="70" hidden="1">
      <c r="C70" s="398"/>
      <c r="L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</row>
    <row r="71" hidden="1">
      <c r="C71" s="398"/>
      <c r="L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</row>
    <row r="72" hidden="1">
      <c r="C72" s="398"/>
      <c r="L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</row>
    <row r="73" hidden="1">
      <c r="C73" s="398"/>
      <c r="L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</row>
    <row r="74" hidden="1">
      <c r="C74" s="398"/>
      <c r="L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</row>
    <row r="75" hidden="1">
      <c r="C75" s="398"/>
      <c r="L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</row>
    <row r="76" hidden="1">
      <c r="C76" s="398"/>
      <c r="L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</row>
    <row r="77" hidden="1">
      <c r="C77" s="398"/>
      <c r="L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</row>
    <row r="78" hidden="1">
      <c r="C78" s="398"/>
      <c r="L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</row>
    <row r="79" hidden="1">
      <c r="C79" s="398"/>
      <c r="L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</row>
    <row r="80" hidden="1">
      <c r="C80" s="398"/>
      <c r="L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</row>
    <row r="81" hidden="1">
      <c r="C81" s="398"/>
      <c r="L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</row>
    <row r="82" hidden="1">
      <c r="C82" s="398"/>
      <c r="L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</row>
    <row r="83" hidden="1">
      <c r="C83" s="398"/>
      <c r="L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</row>
    <row r="84" hidden="1">
      <c r="C84" s="398"/>
      <c r="L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</row>
    <row r="85" hidden="1">
      <c r="C85" s="398"/>
      <c r="L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</row>
    <row r="86" hidden="1">
      <c r="C86" s="398"/>
      <c r="L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</row>
    <row r="87" hidden="1">
      <c r="C87" s="398"/>
      <c r="L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</row>
    <row r="88" hidden="1">
      <c r="C88" s="398"/>
      <c r="L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</row>
    <row r="89" hidden="1">
      <c r="C89" s="398"/>
      <c r="L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</row>
    <row r="90" hidden="1">
      <c r="C90" s="398"/>
      <c r="L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</row>
    <row r="91" hidden="1">
      <c r="C91" s="398"/>
      <c r="L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</row>
    <row r="92" hidden="1">
      <c r="C92" s="398"/>
      <c r="L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</row>
    <row r="93" hidden="1">
      <c r="C93" s="398"/>
      <c r="L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</row>
    <row r="94" hidden="1">
      <c r="C94" s="398"/>
      <c r="L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</row>
    <row r="95" hidden="1">
      <c r="C95" s="398"/>
      <c r="L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</row>
    <row r="96" hidden="1">
      <c r="C96" s="398"/>
      <c r="L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</row>
    <row r="97" hidden="1">
      <c r="C97" s="398"/>
      <c r="L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</row>
    <row r="98" hidden="1">
      <c r="C98" s="398"/>
      <c r="L98" s="389"/>
    </row>
    <row r="99" hidden="1">
      <c r="C99" s="398"/>
      <c r="L99" s="389"/>
    </row>
    <row r="100" hidden="1">
      <c r="C100" s="398"/>
      <c r="L100" s="389"/>
    </row>
    <row r="101" hidden="1">
      <c r="C101" s="398"/>
      <c r="L101" s="389"/>
    </row>
    <row r="102" hidden="1">
      <c r="C102" s="398"/>
      <c r="L102" s="389"/>
    </row>
    <row r="103" hidden="1">
      <c r="C103" s="398"/>
      <c r="L103" s="389"/>
    </row>
    <row r="104" hidden="1">
      <c r="C104" s="398"/>
      <c r="L104" s="389"/>
    </row>
    <row r="105" hidden="1">
      <c r="C105" s="398"/>
      <c r="L105" s="389"/>
    </row>
    <row r="106" hidden="1">
      <c r="C106" s="398"/>
      <c r="L106" s="389"/>
    </row>
    <row r="107" hidden="1">
      <c r="C107" s="398"/>
      <c r="L107" s="389"/>
    </row>
    <row r="108" hidden="1">
      <c r="C108" s="398"/>
      <c r="L108" s="389"/>
    </row>
    <row r="109" hidden="1">
      <c r="C109" s="398"/>
      <c r="L109" s="389"/>
    </row>
    <row r="110" hidden="1">
      <c r="C110" s="398"/>
      <c r="L110" s="389"/>
    </row>
    <row r="111" hidden="1">
      <c r="C111" s="398"/>
      <c r="L111" s="389"/>
    </row>
    <row r="112" hidden="1">
      <c r="C112" s="398"/>
      <c r="L112" s="389"/>
    </row>
    <row r="113" hidden="1">
      <c r="C113" s="398"/>
      <c r="L113" s="389"/>
    </row>
    <row r="114" hidden="1">
      <c r="C114" s="398"/>
      <c r="L114" s="389"/>
    </row>
    <row r="115" hidden="1">
      <c r="C115" s="398"/>
      <c r="L115" s="389"/>
    </row>
    <row r="116" hidden="1">
      <c r="C116" s="398"/>
      <c r="L116" s="389"/>
    </row>
    <row r="117" hidden="1">
      <c r="C117" s="398"/>
      <c r="L117" s="389"/>
    </row>
    <row r="118" hidden="1">
      <c r="C118" s="398"/>
      <c r="L118" s="389"/>
    </row>
    <row r="119" hidden="1">
      <c r="C119" s="398"/>
      <c r="L119" s="389"/>
    </row>
    <row r="120" hidden="1">
      <c r="C120" s="398"/>
      <c r="L120" s="389"/>
    </row>
    <row r="121" hidden="1">
      <c r="C121" s="398"/>
      <c r="L121" s="389"/>
    </row>
    <row r="122" hidden="1">
      <c r="C122" s="398"/>
      <c r="L122" s="389"/>
    </row>
    <row r="123" hidden="1">
      <c r="C123" s="398"/>
      <c r="L123" s="389"/>
    </row>
    <row r="124" hidden="1">
      <c r="C124" s="398"/>
      <c r="L124" s="389"/>
    </row>
    <row r="125" hidden="1">
      <c r="C125" s="398"/>
      <c r="L125" s="389"/>
    </row>
    <row r="126" hidden="1">
      <c r="C126" s="398"/>
      <c r="L126" s="389"/>
    </row>
    <row r="127" hidden="1">
      <c r="C127" s="398"/>
      <c r="L127" s="389"/>
    </row>
    <row r="128" hidden="1">
      <c r="C128" s="398"/>
      <c r="L128" s="389"/>
    </row>
    <row r="129" hidden="1">
      <c r="C129" s="398"/>
      <c r="L129" s="389"/>
    </row>
    <row r="130" hidden="1">
      <c r="C130" s="398"/>
      <c r="L130" s="389"/>
    </row>
    <row r="131" hidden="1">
      <c r="C131" s="398"/>
      <c r="L131" s="389"/>
    </row>
    <row r="132" hidden="1">
      <c r="C132" s="398"/>
      <c r="L132" s="389"/>
    </row>
    <row r="133" hidden="1">
      <c r="C133" s="398"/>
      <c r="L133" s="389"/>
    </row>
    <row r="134" hidden="1">
      <c r="C134" s="398"/>
      <c r="L134" s="389"/>
    </row>
    <row r="135" hidden="1">
      <c r="C135" s="398"/>
      <c r="L135" s="389"/>
    </row>
    <row r="136" hidden="1">
      <c r="C136" s="398"/>
      <c r="L136" s="389"/>
    </row>
    <row r="137" hidden="1">
      <c r="C137" s="398"/>
      <c r="L137" s="389"/>
    </row>
    <row r="138" hidden="1">
      <c r="C138" s="398"/>
      <c r="L138" s="389"/>
    </row>
    <row r="139" hidden="1">
      <c r="C139" s="398"/>
      <c r="L139" s="389"/>
    </row>
    <row r="140" hidden="1">
      <c r="C140" s="398"/>
      <c r="L140" s="389"/>
    </row>
    <row r="141" hidden="1">
      <c r="C141" s="398"/>
      <c r="L141" s="389"/>
    </row>
    <row r="142" hidden="1">
      <c r="C142" s="398"/>
      <c r="L142" s="389"/>
    </row>
    <row r="143" hidden="1">
      <c r="C143" s="398"/>
      <c r="L143" s="389"/>
    </row>
    <row r="144" hidden="1">
      <c r="C144" s="398"/>
      <c r="L144" s="389"/>
    </row>
    <row r="145" hidden="1">
      <c r="C145" s="398"/>
      <c r="L145" s="389"/>
    </row>
    <row r="146" hidden="1">
      <c r="C146" s="398"/>
      <c r="L146" s="389"/>
    </row>
    <row r="147" hidden="1">
      <c r="C147" s="398"/>
      <c r="L147" s="389"/>
    </row>
    <row r="148" hidden="1">
      <c r="C148" s="398"/>
      <c r="L148" s="389"/>
    </row>
    <row r="149" hidden="1">
      <c r="C149" s="398"/>
      <c r="L149" s="389"/>
    </row>
    <row r="150" hidden="1">
      <c r="C150" s="398"/>
      <c r="L150" s="389"/>
    </row>
    <row r="151" hidden="1">
      <c r="C151" s="398"/>
      <c r="L151" s="389"/>
    </row>
    <row r="152" hidden="1">
      <c r="C152" s="398"/>
      <c r="L152" s="389"/>
    </row>
    <row r="153" hidden="1">
      <c r="C153" s="398"/>
      <c r="L153" s="389"/>
    </row>
    <row r="154" hidden="1">
      <c r="C154" s="398"/>
      <c r="L154" s="389"/>
    </row>
    <row r="155" hidden="1">
      <c r="C155" s="398"/>
      <c r="L155" s="389"/>
    </row>
    <row r="156" hidden="1">
      <c r="C156" s="398"/>
      <c r="L156" s="389"/>
    </row>
    <row r="157" hidden="1">
      <c r="C157" s="398"/>
      <c r="L157" s="389"/>
    </row>
    <row r="158" hidden="1">
      <c r="C158" s="398"/>
      <c r="L158" s="389"/>
    </row>
    <row r="159" hidden="1">
      <c r="C159" s="398"/>
      <c r="L159" s="389"/>
    </row>
    <row r="160" hidden="1">
      <c r="C160" s="398"/>
      <c r="L160" s="389"/>
    </row>
    <row r="161" hidden="1">
      <c r="C161" s="398"/>
      <c r="L161" s="389"/>
    </row>
    <row r="162" hidden="1">
      <c r="C162" s="398"/>
      <c r="L162" s="389"/>
    </row>
    <row r="163" hidden="1">
      <c r="C163" s="398"/>
      <c r="L163" s="389"/>
    </row>
    <row r="164" hidden="1">
      <c r="C164" s="398"/>
      <c r="L164" s="389"/>
    </row>
    <row r="165" hidden="1">
      <c r="C165" s="398"/>
      <c r="L165" s="389"/>
    </row>
    <row r="166" hidden="1">
      <c r="C166" s="398"/>
      <c r="L166" s="389"/>
    </row>
    <row r="167" hidden="1">
      <c r="C167" s="398"/>
      <c r="L167" s="389"/>
    </row>
    <row r="168" hidden="1">
      <c r="C168" s="398"/>
      <c r="L168" s="389"/>
    </row>
    <row r="169" hidden="1">
      <c r="C169" s="398"/>
      <c r="L169" s="389"/>
    </row>
    <row r="170" hidden="1">
      <c r="C170" s="398"/>
      <c r="L170" s="389"/>
    </row>
    <row r="171" hidden="1">
      <c r="C171" s="398"/>
      <c r="L171" s="389"/>
    </row>
    <row r="172" hidden="1">
      <c r="C172" s="398"/>
      <c r="L172" s="389"/>
    </row>
    <row r="173" hidden="1">
      <c r="C173" s="398"/>
      <c r="L173" s="389"/>
    </row>
    <row r="174" hidden="1">
      <c r="C174" s="398"/>
      <c r="L174" s="389"/>
    </row>
    <row r="175" hidden="1">
      <c r="C175" s="398"/>
      <c r="L175" s="389"/>
    </row>
    <row r="176" hidden="1">
      <c r="C176" s="398"/>
      <c r="L176" s="389"/>
    </row>
    <row r="177" hidden="1">
      <c r="C177" s="398"/>
      <c r="L177" s="389"/>
    </row>
    <row r="178" hidden="1">
      <c r="C178" s="398"/>
      <c r="L178" s="389"/>
    </row>
    <row r="179" hidden="1">
      <c r="C179" s="398"/>
      <c r="L179" s="389"/>
    </row>
    <row r="180" hidden="1">
      <c r="C180" s="398"/>
      <c r="L180" s="389"/>
    </row>
    <row r="181" hidden="1">
      <c r="C181" s="398"/>
      <c r="L181" s="389"/>
    </row>
    <row r="182" hidden="1">
      <c r="C182" s="398"/>
      <c r="L182" s="389"/>
    </row>
    <row r="183" hidden="1">
      <c r="C183" s="398"/>
      <c r="L183" s="389"/>
    </row>
    <row r="184" hidden="1">
      <c r="C184" s="398"/>
      <c r="L184" s="389"/>
    </row>
    <row r="185" hidden="1">
      <c r="C185" s="398"/>
      <c r="L185" s="389"/>
    </row>
    <row r="186" hidden="1">
      <c r="C186" s="398"/>
      <c r="L186" s="389"/>
    </row>
    <row r="187" hidden="1">
      <c r="C187" s="398"/>
      <c r="L187" s="389"/>
    </row>
    <row r="188" hidden="1">
      <c r="C188" s="398"/>
      <c r="L188" s="389"/>
    </row>
    <row r="189" hidden="1">
      <c r="C189" s="398"/>
      <c r="L189" s="389"/>
    </row>
    <row r="190" hidden="1">
      <c r="C190" s="398"/>
      <c r="L190" s="389"/>
    </row>
    <row r="191" hidden="1">
      <c r="C191" s="398"/>
      <c r="L191" s="389"/>
    </row>
    <row r="192" hidden="1">
      <c r="C192" s="398"/>
      <c r="L192" s="389"/>
    </row>
    <row r="193" hidden="1">
      <c r="C193" s="398"/>
      <c r="L193" s="389"/>
    </row>
    <row r="194" hidden="1">
      <c r="C194" s="398"/>
      <c r="L194" s="389"/>
    </row>
    <row r="195" hidden="1">
      <c r="C195" s="398"/>
      <c r="L195" s="389"/>
    </row>
    <row r="196" hidden="1">
      <c r="C196" s="398"/>
      <c r="L196" s="389"/>
    </row>
    <row r="197" hidden="1">
      <c r="C197" s="398"/>
      <c r="L197" s="389"/>
    </row>
    <row r="198" hidden="1">
      <c r="C198" s="398"/>
      <c r="L198" s="389"/>
    </row>
    <row r="199" hidden="1">
      <c r="C199" s="398"/>
      <c r="L199" s="389"/>
    </row>
    <row r="200" hidden="1">
      <c r="C200" s="398"/>
      <c r="L200" s="389"/>
    </row>
    <row r="201" hidden="1">
      <c r="C201" s="398"/>
      <c r="L201" s="389"/>
    </row>
    <row r="202" hidden="1">
      <c r="C202" s="398"/>
      <c r="L202" s="389"/>
    </row>
    <row r="203" hidden="1">
      <c r="C203" s="398"/>
      <c r="L203" s="389"/>
    </row>
    <row r="204" hidden="1">
      <c r="C204" s="398"/>
      <c r="L204" s="389"/>
    </row>
    <row r="205" hidden="1">
      <c r="C205" s="398"/>
      <c r="L205" s="389"/>
    </row>
    <row r="206" hidden="1">
      <c r="C206" s="398"/>
      <c r="L206" s="389"/>
    </row>
    <row r="207" hidden="1">
      <c r="C207" s="398"/>
      <c r="L207" s="389"/>
    </row>
    <row r="208" hidden="1">
      <c r="C208" s="398"/>
      <c r="L208" s="389"/>
    </row>
    <row r="209" hidden="1">
      <c r="C209" s="398"/>
      <c r="L209" s="389"/>
    </row>
    <row r="210" hidden="1">
      <c r="C210" s="398"/>
      <c r="L210" s="389"/>
    </row>
    <row r="211" hidden="1">
      <c r="C211" s="398"/>
      <c r="L211" s="389"/>
    </row>
    <row r="212" hidden="1">
      <c r="C212" s="398"/>
      <c r="L212" s="389"/>
    </row>
    <row r="213" hidden="1">
      <c r="C213" s="398"/>
      <c r="L213" s="389"/>
    </row>
    <row r="214" hidden="1">
      <c r="C214" s="398"/>
      <c r="L214" s="389"/>
    </row>
    <row r="215" hidden="1">
      <c r="C215" s="398"/>
      <c r="L215" s="389"/>
    </row>
    <row r="216" hidden="1">
      <c r="C216" s="398"/>
      <c r="L216" s="389"/>
    </row>
    <row r="217" hidden="1">
      <c r="C217" s="398"/>
      <c r="L217" s="389"/>
    </row>
    <row r="218" hidden="1">
      <c r="C218" s="398"/>
      <c r="L218" s="389"/>
    </row>
    <row r="219" hidden="1">
      <c r="C219" s="398"/>
      <c r="L219" s="389"/>
    </row>
    <row r="220" hidden="1">
      <c r="C220" s="398"/>
      <c r="L220" s="389"/>
    </row>
    <row r="221" hidden="1">
      <c r="C221" s="398"/>
      <c r="L221" s="389"/>
    </row>
    <row r="222" hidden="1">
      <c r="C222" s="398"/>
      <c r="L222" s="389"/>
    </row>
    <row r="223" hidden="1">
      <c r="C223" s="398"/>
      <c r="L223" s="389"/>
    </row>
    <row r="224" hidden="1">
      <c r="C224" s="398"/>
      <c r="L224" s="389"/>
    </row>
    <row r="225" hidden="1">
      <c r="C225" s="398"/>
      <c r="L225" s="389"/>
    </row>
    <row r="226" hidden="1">
      <c r="C226" s="398"/>
      <c r="L226" s="389"/>
    </row>
    <row r="227" hidden="1">
      <c r="C227" s="398"/>
      <c r="L227" s="389"/>
    </row>
    <row r="228" hidden="1">
      <c r="C228" s="398"/>
      <c r="L228" s="389"/>
    </row>
    <row r="229" hidden="1">
      <c r="C229" s="398"/>
      <c r="L229" s="389"/>
    </row>
    <row r="230" hidden="1">
      <c r="C230" s="398"/>
      <c r="L230" s="389"/>
    </row>
    <row r="231" hidden="1">
      <c r="C231" s="398"/>
      <c r="L231" s="389"/>
    </row>
    <row r="232" hidden="1">
      <c r="C232" s="398"/>
      <c r="L232" s="389"/>
    </row>
    <row r="233" hidden="1">
      <c r="C233" s="398"/>
      <c r="L233" s="389"/>
    </row>
    <row r="234" hidden="1">
      <c r="C234" s="398"/>
      <c r="L234" s="389"/>
    </row>
    <row r="235" hidden="1">
      <c r="C235" s="398"/>
      <c r="L235" s="389"/>
    </row>
    <row r="236" hidden="1">
      <c r="C236" s="398"/>
      <c r="L236" s="389"/>
    </row>
    <row r="237" hidden="1">
      <c r="C237" s="398"/>
      <c r="L237" s="389"/>
    </row>
    <row r="238" hidden="1">
      <c r="C238" s="398"/>
      <c r="L238" s="389"/>
    </row>
    <row r="239" hidden="1">
      <c r="C239" s="398"/>
      <c r="L239" s="389"/>
    </row>
    <row r="240" hidden="1">
      <c r="C240" s="398"/>
      <c r="L240" s="389"/>
    </row>
    <row r="241" hidden="1">
      <c r="C241" s="398"/>
      <c r="L241" s="389"/>
    </row>
    <row r="242" hidden="1">
      <c r="C242" s="398"/>
      <c r="L242" s="389"/>
    </row>
    <row r="243" hidden="1">
      <c r="C243" s="398"/>
      <c r="L243" s="389"/>
    </row>
    <row r="244" hidden="1">
      <c r="C244" s="398"/>
      <c r="L244" s="389"/>
    </row>
    <row r="245" hidden="1">
      <c r="C245" s="398"/>
      <c r="L245" s="389"/>
    </row>
    <row r="246" hidden="1">
      <c r="C246" s="398"/>
      <c r="L246" s="389"/>
    </row>
    <row r="247" hidden="1">
      <c r="C247" s="398"/>
      <c r="L247" s="389"/>
    </row>
    <row r="248" hidden="1">
      <c r="C248" s="398"/>
      <c r="L248" s="389"/>
    </row>
    <row r="249" hidden="1">
      <c r="C249" s="398"/>
      <c r="L249" s="389"/>
    </row>
    <row r="250" hidden="1">
      <c r="C250" s="398"/>
      <c r="L250" s="389"/>
    </row>
    <row r="251" hidden="1">
      <c r="C251" s="398"/>
      <c r="L251" s="389"/>
    </row>
    <row r="252" hidden="1">
      <c r="C252" s="398"/>
      <c r="L252" s="389"/>
    </row>
    <row r="253" hidden="1">
      <c r="C253" s="398"/>
      <c r="L253" s="389"/>
    </row>
    <row r="254" hidden="1">
      <c r="C254" s="398"/>
      <c r="L254" s="389"/>
    </row>
    <row r="255" hidden="1">
      <c r="C255" s="398"/>
      <c r="L255" s="389"/>
    </row>
    <row r="256" hidden="1">
      <c r="C256" s="398"/>
      <c r="L256" s="389"/>
    </row>
    <row r="257" hidden="1">
      <c r="C257" s="398"/>
      <c r="L257" s="389"/>
    </row>
    <row r="258" hidden="1">
      <c r="C258" s="398"/>
      <c r="L258" s="389"/>
    </row>
    <row r="259" hidden="1">
      <c r="C259" s="398"/>
      <c r="L259" s="389"/>
    </row>
    <row r="260" hidden="1">
      <c r="C260" s="398"/>
      <c r="L260" s="389"/>
    </row>
    <row r="261" hidden="1">
      <c r="C261" s="398"/>
      <c r="L261" s="389"/>
    </row>
    <row r="262" hidden="1">
      <c r="C262" s="398"/>
      <c r="L262" s="389"/>
    </row>
    <row r="263" hidden="1">
      <c r="C263" s="398"/>
      <c r="L263" s="389"/>
    </row>
    <row r="264" hidden="1">
      <c r="C264" s="398"/>
      <c r="L264" s="389"/>
    </row>
    <row r="265" hidden="1">
      <c r="C265" s="398"/>
      <c r="L265" s="389"/>
    </row>
    <row r="266" hidden="1">
      <c r="C266" s="398"/>
      <c r="L266" s="389"/>
    </row>
    <row r="267" hidden="1">
      <c r="C267" s="398"/>
      <c r="L267" s="389"/>
    </row>
    <row r="268" hidden="1">
      <c r="C268" s="398"/>
      <c r="L268" s="389"/>
    </row>
    <row r="269" hidden="1">
      <c r="C269" s="398"/>
      <c r="L269" s="389"/>
    </row>
    <row r="270" hidden="1">
      <c r="C270" s="398"/>
      <c r="L270" s="389"/>
    </row>
    <row r="271" hidden="1">
      <c r="C271" s="398"/>
      <c r="L271" s="389"/>
    </row>
    <row r="272" hidden="1">
      <c r="C272" s="398"/>
      <c r="L272" s="389"/>
    </row>
    <row r="273" hidden="1">
      <c r="C273" s="398"/>
      <c r="L273" s="389"/>
    </row>
    <row r="274" hidden="1">
      <c r="C274" s="398"/>
      <c r="L274" s="389"/>
    </row>
    <row r="275" hidden="1">
      <c r="C275" s="398"/>
      <c r="L275" s="389"/>
    </row>
    <row r="276" hidden="1">
      <c r="C276" s="398"/>
      <c r="L276" s="389"/>
    </row>
    <row r="277" hidden="1">
      <c r="C277" s="398"/>
      <c r="L277" s="389"/>
    </row>
    <row r="278" hidden="1">
      <c r="C278" s="398"/>
      <c r="L278" s="389"/>
    </row>
    <row r="279" hidden="1">
      <c r="C279" s="398"/>
      <c r="L279" s="389"/>
    </row>
    <row r="280" hidden="1">
      <c r="C280" s="398"/>
      <c r="L280" s="389"/>
    </row>
    <row r="281" hidden="1">
      <c r="C281" s="398"/>
      <c r="L281" s="389"/>
    </row>
    <row r="282" hidden="1">
      <c r="C282" s="398"/>
      <c r="L282" s="389"/>
    </row>
    <row r="283" hidden="1">
      <c r="C283" s="398"/>
      <c r="L283" s="389"/>
    </row>
    <row r="284" hidden="1">
      <c r="C284" s="398"/>
      <c r="L284" s="389"/>
    </row>
    <row r="285" hidden="1">
      <c r="C285" s="398"/>
      <c r="L285" s="389"/>
    </row>
    <row r="286" hidden="1">
      <c r="C286" s="398"/>
      <c r="L286" s="389"/>
    </row>
    <row r="287" hidden="1">
      <c r="C287" s="398"/>
      <c r="L287" s="389"/>
    </row>
    <row r="288" hidden="1">
      <c r="C288" s="398"/>
      <c r="L288" s="389"/>
    </row>
    <row r="289" hidden="1">
      <c r="C289" s="398"/>
      <c r="L289" s="389"/>
    </row>
    <row r="290" hidden="1">
      <c r="C290" s="398"/>
      <c r="L290" s="389"/>
    </row>
    <row r="291" hidden="1">
      <c r="C291" s="398"/>
      <c r="L291" s="389"/>
    </row>
    <row r="292" hidden="1">
      <c r="C292" s="398"/>
      <c r="L292" s="389"/>
    </row>
    <row r="293" hidden="1">
      <c r="C293" s="398"/>
      <c r="L293" s="389"/>
    </row>
    <row r="294" hidden="1">
      <c r="C294" s="398"/>
      <c r="L294" s="389"/>
    </row>
    <row r="295" hidden="1">
      <c r="C295" s="398"/>
      <c r="L295" s="389"/>
    </row>
    <row r="296" hidden="1">
      <c r="C296" s="398"/>
      <c r="L296" s="389"/>
    </row>
    <row r="297" hidden="1">
      <c r="C297" s="398"/>
      <c r="L297" s="389"/>
    </row>
    <row r="298" hidden="1">
      <c r="C298" s="398"/>
      <c r="L298" s="389"/>
    </row>
    <row r="299" hidden="1">
      <c r="C299" s="398"/>
      <c r="L299" s="389"/>
    </row>
    <row r="300" hidden="1">
      <c r="C300" s="398"/>
      <c r="L300" s="389"/>
    </row>
    <row r="301" hidden="1">
      <c r="C301" s="398"/>
      <c r="L301" s="389"/>
    </row>
    <row r="302" hidden="1">
      <c r="C302" s="398"/>
      <c r="L302" s="389"/>
    </row>
    <row r="303" hidden="1">
      <c r="C303" s="398"/>
      <c r="L303" s="389"/>
    </row>
    <row r="304" hidden="1">
      <c r="C304" s="398"/>
      <c r="L304" s="389"/>
    </row>
    <row r="305" hidden="1">
      <c r="C305" s="398"/>
      <c r="L305" s="389"/>
    </row>
    <row r="306" hidden="1">
      <c r="C306" s="398"/>
      <c r="L306" s="389"/>
    </row>
    <row r="307" hidden="1">
      <c r="C307" s="398"/>
      <c r="L307" s="389"/>
    </row>
    <row r="308" hidden="1">
      <c r="C308" s="398"/>
      <c r="L308" s="389"/>
    </row>
    <row r="309" hidden="1">
      <c r="C309" s="398"/>
      <c r="L309" s="389"/>
    </row>
    <row r="310" hidden="1">
      <c r="C310" s="398"/>
      <c r="L310" s="389"/>
    </row>
    <row r="311" hidden="1">
      <c r="C311" s="398"/>
      <c r="L311" s="389"/>
    </row>
    <row r="312" hidden="1">
      <c r="C312" s="398"/>
      <c r="L312" s="389"/>
    </row>
    <row r="313" hidden="1">
      <c r="C313" s="398"/>
      <c r="L313" s="389"/>
    </row>
    <row r="314" hidden="1">
      <c r="C314" s="398"/>
      <c r="L314" s="389"/>
    </row>
    <row r="315" hidden="1">
      <c r="C315" s="398"/>
      <c r="L315" s="389"/>
    </row>
    <row r="316" hidden="1">
      <c r="C316" s="398"/>
      <c r="L316" s="389"/>
    </row>
    <row r="317" hidden="1">
      <c r="C317" s="398"/>
      <c r="L317" s="389"/>
    </row>
    <row r="318" hidden="1">
      <c r="C318" s="398"/>
      <c r="L318" s="389"/>
    </row>
    <row r="319" hidden="1">
      <c r="C319" s="398"/>
      <c r="L319" s="389"/>
    </row>
    <row r="320" hidden="1">
      <c r="C320" s="398"/>
      <c r="L320" s="389"/>
    </row>
    <row r="321" hidden="1">
      <c r="C321" s="398"/>
      <c r="L321" s="389"/>
    </row>
    <row r="322" hidden="1">
      <c r="C322" s="398"/>
      <c r="L322" s="389"/>
    </row>
    <row r="323" hidden="1">
      <c r="C323" s="398"/>
      <c r="L323" s="389"/>
    </row>
    <row r="324" hidden="1">
      <c r="C324" s="398"/>
      <c r="L324" s="389"/>
    </row>
    <row r="325" hidden="1">
      <c r="C325" s="398"/>
      <c r="L325" s="389"/>
    </row>
    <row r="326" hidden="1">
      <c r="C326" s="398"/>
      <c r="L326" s="389"/>
    </row>
    <row r="327" hidden="1">
      <c r="C327" s="398"/>
      <c r="L327" s="389"/>
    </row>
    <row r="328" hidden="1">
      <c r="C328" s="398"/>
      <c r="L328" s="389"/>
    </row>
    <row r="329" hidden="1">
      <c r="C329" s="398"/>
      <c r="L329" s="389"/>
    </row>
    <row r="330" hidden="1">
      <c r="C330" s="398"/>
      <c r="L330" s="389"/>
    </row>
    <row r="331" hidden="1">
      <c r="C331" s="398"/>
      <c r="L331" s="389"/>
    </row>
    <row r="332" hidden="1">
      <c r="C332" s="398"/>
      <c r="L332" s="389"/>
    </row>
    <row r="333" hidden="1">
      <c r="C333" s="398"/>
      <c r="L333" s="389"/>
    </row>
    <row r="334" hidden="1">
      <c r="C334" s="398"/>
      <c r="L334" s="389"/>
    </row>
    <row r="335" hidden="1">
      <c r="C335" s="398"/>
      <c r="L335" s="389"/>
    </row>
    <row r="336" hidden="1">
      <c r="C336" s="398"/>
      <c r="L336" s="389"/>
    </row>
    <row r="337" hidden="1">
      <c r="C337" s="398"/>
      <c r="L337" s="389"/>
    </row>
    <row r="338" hidden="1">
      <c r="C338" s="398"/>
      <c r="L338" s="389"/>
    </row>
    <row r="339" hidden="1">
      <c r="C339" s="398"/>
      <c r="L339" s="389"/>
    </row>
    <row r="340" hidden="1">
      <c r="C340" s="398"/>
      <c r="L340" s="389"/>
    </row>
    <row r="341" hidden="1">
      <c r="C341" s="398"/>
      <c r="L341" s="389"/>
    </row>
    <row r="342" hidden="1">
      <c r="C342" s="398"/>
      <c r="L342" s="389"/>
    </row>
    <row r="343" hidden="1">
      <c r="C343" s="398"/>
      <c r="L343" s="389"/>
    </row>
    <row r="344" hidden="1">
      <c r="C344" s="398"/>
      <c r="L344" s="389"/>
    </row>
    <row r="345" hidden="1">
      <c r="C345" s="398"/>
      <c r="L345" s="389"/>
    </row>
    <row r="346" hidden="1">
      <c r="C346" s="398"/>
      <c r="L346" s="389"/>
    </row>
    <row r="347" hidden="1">
      <c r="C347" s="398"/>
      <c r="L347" s="389"/>
    </row>
    <row r="348" hidden="1">
      <c r="C348" s="398"/>
      <c r="L348" s="389"/>
    </row>
    <row r="349" hidden="1">
      <c r="C349" s="398"/>
      <c r="L349" s="389"/>
    </row>
    <row r="350" hidden="1">
      <c r="C350" s="398"/>
      <c r="L350" s="389"/>
    </row>
    <row r="351" hidden="1">
      <c r="C351" s="398"/>
      <c r="L351" s="389"/>
    </row>
    <row r="352" hidden="1">
      <c r="C352" s="398"/>
      <c r="L352" s="389"/>
    </row>
    <row r="353" hidden="1">
      <c r="C353" s="398"/>
      <c r="L353" s="389"/>
    </row>
    <row r="354" hidden="1">
      <c r="C354" s="398"/>
      <c r="L354" s="389"/>
    </row>
    <row r="355" hidden="1">
      <c r="C355" s="398"/>
      <c r="L355" s="389"/>
    </row>
    <row r="356" hidden="1">
      <c r="C356" s="398"/>
      <c r="L356" s="389"/>
    </row>
    <row r="357" hidden="1">
      <c r="C357" s="398"/>
      <c r="L357" s="389"/>
    </row>
    <row r="358" hidden="1">
      <c r="C358" s="398"/>
      <c r="L358" s="389"/>
    </row>
    <row r="359" hidden="1">
      <c r="C359" s="398"/>
      <c r="L359" s="389"/>
    </row>
    <row r="360" hidden="1">
      <c r="C360" s="398"/>
      <c r="L360" s="389"/>
    </row>
    <row r="361" hidden="1">
      <c r="C361" s="398"/>
      <c r="L361" s="389"/>
    </row>
    <row r="362" hidden="1">
      <c r="C362" s="398"/>
      <c r="L362" s="389"/>
    </row>
    <row r="363" hidden="1">
      <c r="C363" s="398"/>
      <c r="L363" s="389"/>
    </row>
    <row r="364" hidden="1">
      <c r="C364" s="398"/>
      <c r="L364" s="389"/>
    </row>
    <row r="365" hidden="1">
      <c r="C365" s="398"/>
      <c r="L365" s="389"/>
    </row>
    <row r="366" hidden="1">
      <c r="C366" s="398"/>
      <c r="L366" s="389"/>
    </row>
    <row r="367" hidden="1">
      <c r="C367" s="398"/>
      <c r="L367" s="389"/>
    </row>
    <row r="368" hidden="1">
      <c r="C368" s="398"/>
      <c r="L368" s="389"/>
    </row>
    <row r="369" hidden="1">
      <c r="C369" s="398"/>
      <c r="L369" s="389"/>
    </row>
    <row r="370" hidden="1">
      <c r="C370" s="398"/>
      <c r="L370" s="389"/>
    </row>
    <row r="371" hidden="1">
      <c r="C371" s="398"/>
      <c r="L371" s="389"/>
    </row>
    <row r="372" hidden="1">
      <c r="C372" s="398"/>
      <c r="L372" s="389"/>
    </row>
    <row r="373" hidden="1">
      <c r="C373" s="398"/>
      <c r="L373" s="389"/>
    </row>
    <row r="374" hidden="1">
      <c r="C374" s="398"/>
      <c r="L374" s="389"/>
    </row>
    <row r="375" hidden="1">
      <c r="C375" s="398"/>
      <c r="L375" s="389"/>
    </row>
    <row r="376" hidden="1">
      <c r="C376" s="398"/>
      <c r="L376" s="389"/>
    </row>
    <row r="377" hidden="1">
      <c r="C377" s="398"/>
      <c r="L377" s="389"/>
    </row>
    <row r="378" hidden="1">
      <c r="C378" s="398"/>
      <c r="L378" s="389"/>
    </row>
    <row r="379" hidden="1">
      <c r="C379" s="398"/>
      <c r="L379" s="389"/>
    </row>
    <row r="380" hidden="1">
      <c r="C380" s="398"/>
      <c r="L380" s="389"/>
    </row>
    <row r="381" hidden="1">
      <c r="C381" s="398"/>
      <c r="L381" s="389"/>
    </row>
    <row r="382" hidden="1">
      <c r="C382" s="398"/>
      <c r="L382" s="389"/>
    </row>
    <row r="383" hidden="1">
      <c r="C383" s="398"/>
      <c r="L383" s="389"/>
    </row>
    <row r="384" hidden="1">
      <c r="C384" s="398"/>
      <c r="L384" s="389"/>
    </row>
    <row r="385" hidden="1">
      <c r="C385" s="398"/>
      <c r="L385" s="389"/>
    </row>
    <row r="386" hidden="1">
      <c r="C386" s="398"/>
      <c r="L386" s="389"/>
    </row>
    <row r="387" hidden="1">
      <c r="C387" s="398"/>
      <c r="L387" s="389"/>
    </row>
    <row r="388" hidden="1">
      <c r="C388" s="398"/>
      <c r="L388" s="389"/>
    </row>
    <row r="389" hidden="1">
      <c r="C389" s="398"/>
      <c r="L389" s="389"/>
    </row>
    <row r="390" hidden="1">
      <c r="C390" s="398"/>
      <c r="L390" s="389"/>
    </row>
    <row r="391" hidden="1">
      <c r="C391" s="398"/>
      <c r="L391" s="389"/>
    </row>
    <row r="392" hidden="1">
      <c r="C392" s="398"/>
      <c r="L392" s="389"/>
    </row>
    <row r="393" hidden="1">
      <c r="C393" s="398"/>
      <c r="L393" s="389"/>
    </row>
    <row r="394" hidden="1">
      <c r="C394" s="398"/>
      <c r="L394" s="389"/>
    </row>
    <row r="395" hidden="1">
      <c r="C395" s="398"/>
      <c r="L395" s="389"/>
    </row>
    <row r="396" hidden="1">
      <c r="C396" s="398"/>
      <c r="L396" s="389"/>
    </row>
    <row r="397" hidden="1">
      <c r="C397" s="398"/>
      <c r="L397" s="389"/>
    </row>
    <row r="398" hidden="1">
      <c r="C398" s="398"/>
      <c r="L398" s="389"/>
    </row>
    <row r="399" hidden="1">
      <c r="C399" s="398"/>
      <c r="L399" s="389"/>
    </row>
    <row r="400" hidden="1">
      <c r="C400" s="398"/>
      <c r="L400" s="389"/>
    </row>
    <row r="401" hidden="1">
      <c r="C401" s="398"/>
      <c r="L401" s="389"/>
    </row>
    <row r="402" hidden="1">
      <c r="C402" s="398"/>
      <c r="L402" s="389"/>
    </row>
    <row r="403" hidden="1">
      <c r="C403" s="398"/>
      <c r="L403" s="389"/>
    </row>
    <row r="404" hidden="1">
      <c r="C404" s="398"/>
      <c r="L404" s="389"/>
    </row>
    <row r="405" hidden="1">
      <c r="C405" s="398"/>
      <c r="L405" s="389"/>
    </row>
    <row r="406" hidden="1">
      <c r="C406" s="398"/>
      <c r="L406" s="389"/>
    </row>
    <row r="407" hidden="1">
      <c r="C407" s="398"/>
      <c r="L407" s="389"/>
    </row>
    <row r="408" hidden="1">
      <c r="C408" s="398"/>
      <c r="L408" s="389"/>
    </row>
    <row r="409" hidden="1">
      <c r="C409" s="398"/>
      <c r="L409" s="389"/>
    </row>
    <row r="410" hidden="1">
      <c r="C410" s="398"/>
      <c r="L410" s="389"/>
    </row>
    <row r="411" hidden="1">
      <c r="C411" s="398"/>
      <c r="L411" s="389"/>
    </row>
    <row r="412" hidden="1">
      <c r="C412" s="398"/>
      <c r="L412" s="389"/>
    </row>
    <row r="413" hidden="1">
      <c r="C413" s="398"/>
      <c r="L413" s="389"/>
    </row>
    <row r="414" hidden="1">
      <c r="C414" s="398"/>
      <c r="L414" s="389"/>
    </row>
    <row r="415" hidden="1">
      <c r="C415" s="398"/>
      <c r="L415" s="389"/>
    </row>
    <row r="416" hidden="1">
      <c r="C416" s="398"/>
      <c r="L416" s="389"/>
    </row>
    <row r="417" hidden="1">
      <c r="C417" s="398"/>
      <c r="L417" s="389"/>
    </row>
    <row r="418" hidden="1">
      <c r="C418" s="398"/>
      <c r="L418" s="389"/>
    </row>
    <row r="419" hidden="1">
      <c r="C419" s="398"/>
      <c r="L419" s="389"/>
    </row>
    <row r="420" hidden="1">
      <c r="C420" s="398"/>
      <c r="L420" s="389"/>
    </row>
    <row r="421" hidden="1">
      <c r="C421" s="398"/>
      <c r="L421" s="389"/>
    </row>
    <row r="422" hidden="1">
      <c r="C422" s="398"/>
      <c r="L422" s="389"/>
    </row>
    <row r="423" hidden="1">
      <c r="C423" s="398"/>
      <c r="L423" s="389"/>
    </row>
    <row r="424" hidden="1">
      <c r="C424" s="398"/>
      <c r="L424" s="389"/>
    </row>
    <row r="425" hidden="1">
      <c r="C425" s="398"/>
      <c r="L425" s="389"/>
    </row>
    <row r="426" hidden="1">
      <c r="C426" s="398"/>
      <c r="L426" s="389"/>
    </row>
    <row r="427" hidden="1">
      <c r="C427" s="398"/>
      <c r="L427" s="389"/>
    </row>
    <row r="428" hidden="1">
      <c r="C428" s="398"/>
      <c r="L428" s="389"/>
    </row>
    <row r="429" hidden="1">
      <c r="C429" s="398"/>
      <c r="L429" s="389"/>
    </row>
    <row r="430" hidden="1">
      <c r="C430" s="398"/>
      <c r="L430" s="389"/>
    </row>
    <row r="431" hidden="1">
      <c r="C431" s="398"/>
      <c r="L431" s="389"/>
    </row>
    <row r="432" hidden="1">
      <c r="C432" s="398"/>
      <c r="L432" s="389"/>
    </row>
    <row r="433" hidden="1">
      <c r="C433" s="398"/>
      <c r="L433" s="389"/>
    </row>
    <row r="434" hidden="1">
      <c r="C434" s="398"/>
      <c r="L434" s="389"/>
    </row>
    <row r="435" hidden="1">
      <c r="C435" s="398"/>
      <c r="L435" s="389"/>
    </row>
    <row r="436" hidden="1">
      <c r="C436" s="398"/>
      <c r="L436" s="389"/>
    </row>
    <row r="437" hidden="1">
      <c r="C437" s="398"/>
      <c r="L437" s="389"/>
    </row>
    <row r="438" hidden="1">
      <c r="C438" s="398"/>
      <c r="L438" s="389"/>
    </row>
    <row r="439" hidden="1">
      <c r="C439" s="398"/>
      <c r="L439" s="389"/>
    </row>
    <row r="440" hidden="1">
      <c r="C440" s="398"/>
      <c r="L440" s="389"/>
    </row>
    <row r="441" hidden="1">
      <c r="C441" s="398"/>
      <c r="L441" s="389"/>
    </row>
    <row r="442" hidden="1">
      <c r="C442" s="398"/>
      <c r="L442" s="389"/>
    </row>
    <row r="443" hidden="1">
      <c r="C443" s="398"/>
      <c r="L443" s="389"/>
    </row>
    <row r="444" hidden="1">
      <c r="C444" s="398"/>
      <c r="L444" s="389"/>
    </row>
    <row r="445" hidden="1">
      <c r="C445" s="398"/>
      <c r="L445" s="389"/>
    </row>
    <row r="446" hidden="1">
      <c r="C446" s="398"/>
      <c r="L446" s="389"/>
    </row>
    <row r="447" hidden="1">
      <c r="C447" s="398"/>
      <c r="L447" s="389"/>
    </row>
    <row r="448" hidden="1">
      <c r="C448" s="398"/>
      <c r="L448" s="389"/>
    </row>
    <row r="449" hidden="1">
      <c r="C449" s="398"/>
      <c r="L449" s="389"/>
    </row>
    <row r="450" hidden="1">
      <c r="C450" s="398"/>
      <c r="L450" s="389"/>
    </row>
    <row r="451" hidden="1">
      <c r="C451" s="398"/>
      <c r="L451" s="389"/>
    </row>
    <row r="452" hidden="1">
      <c r="C452" s="398"/>
      <c r="L452" s="389"/>
    </row>
    <row r="453" hidden="1">
      <c r="C453" s="398"/>
      <c r="L453" s="389"/>
    </row>
    <row r="454" hidden="1">
      <c r="C454" s="398"/>
      <c r="L454" s="389"/>
    </row>
    <row r="455" hidden="1">
      <c r="C455" s="398"/>
      <c r="L455" s="389"/>
    </row>
    <row r="456" hidden="1">
      <c r="C456" s="398"/>
      <c r="L456" s="389"/>
    </row>
    <row r="457" hidden="1">
      <c r="C457" s="398"/>
      <c r="L457" s="389"/>
    </row>
    <row r="458" hidden="1">
      <c r="C458" s="398"/>
      <c r="L458" s="389"/>
    </row>
    <row r="459" hidden="1">
      <c r="C459" s="398"/>
      <c r="L459" s="389"/>
    </row>
    <row r="460" hidden="1">
      <c r="C460" s="398"/>
      <c r="L460" s="389"/>
    </row>
    <row r="461" hidden="1">
      <c r="C461" s="398"/>
      <c r="L461" s="389"/>
    </row>
    <row r="462" hidden="1">
      <c r="C462" s="398"/>
      <c r="L462" s="389"/>
    </row>
    <row r="463" hidden="1">
      <c r="C463" s="398"/>
      <c r="L463" s="389"/>
    </row>
    <row r="464" hidden="1">
      <c r="C464" s="398"/>
      <c r="L464" s="389"/>
    </row>
    <row r="465" hidden="1">
      <c r="C465" s="398"/>
      <c r="L465" s="389"/>
    </row>
    <row r="466" hidden="1">
      <c r="C466" s="398"/>
      <c r="L466" s="389"/>
    </row>
    <row r="467" hidden="1">
      <c r="C467" s="398"/>
      <c r="L467" s="389"/>
    </row>
    <row r="468" hidden="1">
      <c r="C468" s="398"/>
      <c r="L468" s="389"/>
    </row>
    <row r="469" hidden="1">
      <c r="C469" s="398"/>
      <c r="L469" s="389"/>
    </row>
    <row r="470" hidden="1">
      <c r="C470" s="398"/>
      <c r="L470" s="389"/>
    </row>
    <row r="471" hidden="1">
      <c r="C471" s="398"/>
      <c r="L471" s="389"/>
    </row>
    <row r="472" hidden="1">
      <c r="C472" s="398"/>
      <c r="L472" s="389"/>
    </row>
    <row r="473" hidden="1">
      <c r="C473" s="398"/>
      <c r="L473" s="389"/>
    </row>
    <row r="474" hidden="1">
      <c r="C474" s="398"/>
      <c r="L474" s="389"/>
    </row>
    <row r="475" hidden="1">
      <c r="C475" s="398"/>
      <c r="L475" s="389"/>
    </row>
    <row r="476" hidden="1">
      <c r="C476" s="398"/>
      <c r="L476" s="389"/>
    </row>
    <row r="477" hidden="1">
      <c r="C477" s="398"/>
      <c r="L477" s="389"/>
    </row>
    <row r="478" hidden="1">
      <c r="C478" s="398"/>
      <c r="L478" s="389"/>
    </row>
    <row r="479" hidden="1">
      <c r="C479" s="398"/>
      <c r="L479" s="389"/>
    </row>
    <row r="480" hidden="1">
      <c r="C480" s="398"/>
      <c r="L480" s="389"/>
    </row>
    <row r="481" hidden="1">
      <c r="C481" s="398"/>
      <c r="L481" s="389"/>
    </row>
    <row r="482" hidden="1">
      <c r="C482" s="398"/>
      <c r="L482" s="389"/>
    </row>
    <row r="483" hidden="1">
      <c r="C483" s="398"/>
      <c r="L483" s="389"/>
    </row>
    <row r="484" hidden="1">
      <c r="C484" s="398"/>
      <c r="L484" s="389"/>
    </row>
    <row r="485" hidden="1">
      <c r="C485" s="398"/>
      <c r="L485" s="389"/>
    </row>
    <row r="486" hidden="1">
      <c r="C486" s="398"/>
      <c r="L486" s="389"/>
    </row>
    <row r="487" hidden="1">
      <c r="C487" s="398"/>
      <c r="L487" s="389"/>
    </row>
    <row r="488" hidden="1">
      <c r="C488" s="398"/>
      <c r="L488" s="389"/>
    </row>
    <row r="489" hidden="1">
      <c r="C489" s="398"/>
      <c r="L489" s="389"/>
    </row>
    <row r="490" hidden="1">
      <c r="C490" s="398"/>
      <c r="L490" s="389"/>
    </row>
    <row r="491" hidden="1">
      <c r="C491" s="398"/>
      <c r="L491" s="389"/>
    </row>
    <row r="492" hidden="1">
      <c r="C492" s="398"/>
      <c r="L492" s="389"/>
    </row>
    <row r="493" hidden="1">
      <c r="C493" s="398"/>
      <c r="L493" s="389"/>
    </row>
    <row r="494" hidden="1">
      <c r="C494" s="398"/>
      <c r="L494" s="389"/>
    </row>
    <row r="495" hidden="1">
      <c r="C495" s="398"/>
      <c r="L495" s="389"/>
    </row>
    <row r="496" hidden="1">
      <c r="C496" s="398"/>
      <c r="L496" s="389"/>
    </row>
    <row r="497" hidden="1">
      <c r="C497" s="398"/>
      <c r="L497" s="389"/>
    </row>
    <row r="498" hidden="1">
      <c r="C498" s="398"/>
      <c r="L498" s="389"/>
    </row>
    <row r="499" hidden="1">
      <c r="C499" s="398"/>
      <c r="L499" s="389"/>
    </row>
    <row r="500" hidden="1">
      <c r="C500" s="398"/>
      <c r="L500" s="389"/>
    </row>
    <row r="501" hidden="1">
      <c r="C501" s="398"/>
      <c r="L501" s="389"/>
    </row>
    <row r="502" hidden="1">
      <c r="C502" s="398"/>
      <c r="L502" s="389"/>
    </row>
    <row r="503" hidden="1">
      <c r="C503" s="398"/>
      <c r="L503" s="389"/>
    </row>
    <row r="504" hidden="1">
      <c r="C504" s="398"/>
      <c r="L504" s="389"/>
    </row>
    <row r="505" hidden="1">
      <c r="C505" s="398"/>
      <c r="L505" s="389"/>
    </row>
    <row r="506" hidden="1">
      <c r="C506" s="398"/>
      <c r="L506" s="389"/>
    </row>
    <row r="507" hidden="1">
      <c r="C507" s="398"/>
      <c r="L507" s="389"/>
    </row>
    <row r="508" hidden="1">
      <c r="C508" s="398"/>
      <c r="L508" s="389"/>
    </row>
    <row r="509" hidden="1">
      <c r="C509" s="398"/>
      <c r="L509" s="389"/>
    </row>
    <row r="510" hidden="1">
      <c r="C510" s="398"/>
      <c r="L510" s="389"/>
    </row>
    <row r="511" hidden="1">
      <c r="C511" s="398"/>
      <c r="L511" s="389"/>
    </row>
    <row r="512" hidden="1">
      <c r="C512" s="398"/>
      <c r="L512" s="389"/>
    </row>
    <row r="513" hidden="1">
      <c r="C513" s="398"/>
      <c r="L513" s="389"/>
    </row>
    <row r="514" hidden="1">
      <c r="C514" s="398"/>
      <c r="L514" s="389"/>
    </row>
    <row r="515" hidden="1">
      <c r="C515" s="398"/>
      <c r="L515" s="389"/>
    </row>
    <row r="516" hidden="1">
      <c r="C516" s="398"/>
      <c r="L516" s="389"/>
    </row>
    <row r="517" hidden="1">
      <c r="C517" s="398"/>
      <c r="L517" s="389"/>
    </row>
    <row r="518" hidden="1">
      <c r="C518" s="398"/>
      <c r="L518" s="389"/>
    </row>
    <row r="519" hidden="1">
      <c r="C519" s="398"/>
      <c r="L519" s="389"/>
    </row>
    <row r="520" hidden="1">
      <c r="C520" s="398"/>
      <c r="L520" s="389"/>
    </row>
    <row r="521" hidden="1">
      <c r="C521" s="398"/>
      <c r="L521" s="389"/>
    </row>
    <row r="522" hidden="1">
      <c r="C522" s="398"/>
      <c r="L522" s="389"/>
    </row>
    <row r="523" hidden="1">
      <c r="C523" s="398"/>
      <c r="L523" s="389"/>
    </row>
    <row r="524" hidden="1">
      <c r="C524" s="398"/>
      <c r="L524" s="389"/>
    </row>
    <row r="525" hidden="1">
      <c r="C525" s="398"/>
      <c r="L525" s="389"/>
    </row>
    <row r="526" hidden="1">
      <c r="C526" s="398"/>
      <c r="L526" s="389"/>
    </row>
    <row r="527" hidden="1">
      <c r="C527" s="398"/>
      <c r="L527" s="389"/>
    </row>
    <row r="528" hidden="1">
      <c r="C528" s="398"/>
      <c r="L528" s="389"/>
    </row>
    <row r="529" hidden="1">
      <c r="C529" s="398"/>
      <c r="L529" s="389"/>
    </row>
    <row r="530" hidden="1">
      <c r="C530" s="398"/>
      <c r="L530" s="389"/>
    </row>
    <row r="531" hidden="1">
      <c r="C531" s="398"/>
      <c r="L531" s="389"/>
    </row>
    <row r="532" hidden="1">
      <c r="C532" s="398"/>
      <c r="L532" s="389"/>
    </row>
    <row r="533" hidden="1">
      <c r="C533" s="398"/>
      <c r="L533" s="389"/>
    </row>
    <row r="534" hidden="1">
      <c r="C534" s="398"/>
      <c r="L534" s="389"/>
    </row>
    <row r="535" hidden="1">
      <c r="C535" s="398"/>
      <c r="L535" s="389"/>
    </row>
    <row r="536" hidden="1">
      <c r="C536" s="398"/>
      <c r="L536" s="389"/>
    </row>
    <row r="537" hidden="1">
      <c r="C537" s="398"/>
      <c r="L537" s="389"/>
    </row>
    <row r="538" hidden="1">
      <c r="C538" s="398"/>
      <c r="L538" s="389"/>
    </row>
    <row r="539" hidden="1">
      <c r="C539" s="398"/>
      <c r="L539" s="389"/>
    </row>
    <row r="540" hidden="1">
      <c r="C540" s="398"/>
      <c r="L540" s="389"/>
    </row>
    <row r="541" hidden="1">
      <c r="C541" s="398"/>
      <c r="L541" s="389"/>
    </row>
    <row r="542" hidden="1">
      <c r="C542" s="398"/>
      <c r="L542" s="389"/>
    </row>
    <row r="543" hidden="1">
      <c r="C543" s="398"/>
      <c r="L543" s="389"/>
    </row>
    <row r="544" hidden="1">
      <c r="C544" s="398"/>
      <c r="L544" s="389"/>
    </row>
    <row r="545" hidden="1">
      <c r="C545" s="398"/>
      <c r="L545" s="389"/>
    </row>
    <row r="546" hidden="1">
      <c r="C546" s="398"/>
      <c r="L546" s="389"/>
    </row>
    <row r="547" hidden="1">
      <c r="C547" s="398"/>
      <c r="L547" s="389"/>
    </row>
    <row r="548" hidden="1">
      <c r="C548" s="398"/>
      <c r="L548" s="389"/>
    </row>
    <row r="549" hidden="1">
      <c r="C549" s="398"/>
      <c r="L549" s="389"/>
    </row>
    <row r="550" hidden="1">
      <c r="C550" s="398"/>
      <c r="L550" s="389"/>
    </row>
    <row r="551" hidden="1">
      <c r="C551" s="398"/>
      <c r="L551" s="389"/>
    </row>
    <row r="552" hidden="1">
      <c r="C552" s="398"/>
      <c r="L552" s="389"/>
    </row>
    <row r="553" hidden="1">
      <c r="C553" s="398"/>
      <c r="L553" s="389"/>
    </row>
    <row r="554" hidden="1">
      <c r="C554" s="398"/>
      <c r="L554" s="389"/>
    </row>
    <row r="555" hidden="1">
      <c r="C555" s="398"/>
      <c r="L555" s="389"/>
    </row>
    <row r="556" hidden="1">
      <c r="C556" s="398"/>
      <c r="L556" s="389"/>
    </row>
    <row r="557" hidden="1">
      <c r="C557" s="398"/>
      <c r="L557" s="389"/>
    </row>
    <row r="558" hidden="1">
      <c r="C558" s="398"/>
      <c r="L558" s="389"/>
    </row>
    <row r="559" hidden="1">
      <c r="C559" s="398"/>
      <c r="L559" s="389"/>
    </row>
    <row r="560" hidden="1">
      <c r="C560" s="398"/>
      <c r="L560" s="389"/>
    </row>
    <row r="561" hidden="1">
      <c r="C561" s="398"/>
      <c r="L561" s="389"/>
    </row>
    <row r="562" hidden="1">
      <c r="C562" s="398"/>
      <c r="L562" s="389"/>
    </row>
    <row r="563" hidden="1">
      <c r="C563" s="398"/>
      <c r="L563" s="389"/>
    </row>
    <row r="564" hidden="1">
      <c r="C564" s="398"/>
      <c r="L564" s="389"/>
    </row>
    <row r="565" hidden="1">
      <c r="C565" s="398"/>
      <c r="L565" s="389"/>
    </row>
    <row r="566" hidden="1">
      <c r="C566" s="398"/>
      <c r="L566" s="389"/>
    </row>
    <row r="567" hidden="1">
      <c r="C567" s="398"/>
      <c r="L567" s="389"/>
    </row>
    <row r="568" hidden="1">
      <c r="C568" s="398"/>
      <c r="L568" s="389"/>
    </row>
    <row r="569" hidden="1">
      <c r="C569" s="398"/>
      <c r="L569" s="389"/>
    </row>
    <row r="570" hidden="1">
      <c r="C570" s="398"/>
      <c r="L570" s="389"/>
    </row>
    <row r="571" hidden="1">
      <c r="C571" s="398"/>
      <c r="L571" s="389"/>
    </row>
    <row r="572" hidden="1">
      <c r="C572" s="398"/>
      <c r="L572" s="389"/>
    </row>
    <row r="573" hidden="1">
      <c r="C573" s="398"/>
      <c r="L573" s="389"/>
    </row>
    <row r="574" hidden="1">
      <c r="C574" s="398"/>
      <c r="L574" s="389"/>
    </row>
    <row r="575" hidden="1">
      <c r="C575" s="398"/>
      <c r="L575" s="389"/>
    </row>
    <row r="576" hidden="1">
      <c r="C576" s="398"/>
      <c r="L576" s="389"/>
    </row>
    <row r="577" hidden="1">
      <c r="C577" s="398"/>
      <c r="L577" s="389"/>
    </row>
    <row r="578" hidden="1">
      <c r="C578" s="398"/>
      <c r="L578" s="389"/>
    </row>
    <row r="579" hidden="1">
      <c r="C579" s="398"/>
      <c r="L579" s="389"/>
    </row>
    <row r="580" hidden="1">
      <c r="C580" s="398"/>
      <c r="L580" s="389"/>
    </row>
    <row r="581" hidden="1">
      <c r="C581" s="398"/>
      <c r="L581" s="389"/>
    </row>
    <row r="582" hidden="1">
      <c r="C582" s="398"/>
      <c r="L582" s="389"/>
    </row>
    <row r="583" hidden="1">
      <c r="C583" s="398"/>
      <c r="L583" s="389"/>
    </row>
    <row r="584" hidden="1">
      <c r="C584" s="398"/>
      <c r="L584" s="389"/>
    </row>
    <row r="585" hidden="1">
      <c r="C585" s="398"/>
      <c r="L585" s="389"/>
    </row>
    <row r="586" hidden="1">
      <c r="C586" s="398"/>
      <c r="L586" s="389"/>
    </row>
    <row r="587" hidden="1">
      <c r="C587" s="398"/>
      <c r="L587" s="389"/>
    </row>
    <row r="588" hidden="1">
      <c r="C588" s="398"/>
      <c r="L588" s="389"/>
    </row>
    <row r="589" hidden="1">
      <c r="C589" s="398"/>
      <c r="L589" s="389"/>
    </row>
    <row r="590" hidden="1">
      <c r="C590" s="398"/>
      <c r="L590" s="389"/>
    </row>
    <row r="591" hidden="1">
      <c r="C591" s="398"/>
      <c r="L591" s="389"/>
    </row>
    <row r="592" hidden="1">
      <c r="C592" s="398"/>
      <c r="L592" s="389"/>
    </row>
    <row r="593" hidden="1">
      <c r="C593" s="398"/>
      <c r="L593" s="389"/>
    </row>
    <row r="594" hidden="1">
      <c r="C594" s="398"/>
      <c r="L594" s="389"/>
    </row>
    <row r="595" hidden="1">
      <c r="C595" s="398"/>
      <c r="L595" s="389"/>
    </row>
    <row r="596" hidden="1">
      <c r="C596" s="398"/>
      <c r="L596" s="389"/>
    </row>
    <row r="597" hidden="1">
      <c r="C597" s="398"/>
      <c r="L597" s="389"/>
    </row>
    <row r="598" hidden="1">
      <c r="C598" s="398"/>
      <c r="L598" s="389"/>
    </row>
    <row r="599" hidden="1">
      <c r="C599" s="398"/>
      <c r="L599" s="389"/>
    </row>
    <row r="600" hidden="1">
      <c r="C600" s="398"/>
      <c r="L600" s="389"/>
    </row>
    <row r="601" hidden="1">
      <c r="C601" s="398"/>
      <c r="L601" s="389"/>
    </row>
    <row r="602" hidden="1">
      <c r="C602" s="398"/>
      <c r="L602" s="389"/>
    </row>
    <row r="603" hidden="1">
      <c r="C603" s="398"/>
      <c r="L603" s="389"/>
    </row>
    <row r="604" hidden="1">
      <c r="C604" s="398"/>
      <c r="L604" s="389"/>
    </row>
    <row r="605" hidden="1">
      <c r="C605" s="398"/>
      <c r="L605" s="389"/>
    </row>
    <row r="606" hidden="1">
      <c r="C606" s="398"/>
      <c r="L606" s="389"/>
    </row>
    <row r="607" hidden="1">
      <c r="C607" s="398"/>
      <c r="L607" s="389"/>
    </row>
    <row r="608" hidden="1">
      <c r="C608" s="398"/>
      <c r="L608" s="389"/>
    </row>
    <row r="609" hidden="1">
      <c r="C609" s="398"/>
      <c r="L609" s="389"/>
    </row>
    <row r="610" hidden="1">
      <c r="C610" s="398"/>
      <c r="L610" s="389"/>
    </row>
    <row r="611" hidden="1">
      <c r="C611" s="398"/>
      <c r="L611" s="389"/>
    </row>
    <row r="612" hidden="1">
      <c r="C612" s="398"/>
      <c r="L612" s="389"/>
    </row>
    <row r="613" hidden="1">
      <c r="C613" s="398"/>
      <c r="L613" s="389"/>
    </row>
    <row r="614" hidden="1">
      <c r="C614" s="398"/>
      <c r="L614" s="389"/>
    </row>
    <row r="615" hidden="1">
      <c r="C615" s="398"/>
      <c r="L615" s="389"/>
    </row>
    <row r="616" hidden="1">
      <c r="C616" s="398"/>
      <c r="L616" s="389"/>
    </row>
    <row r="617" hidden="1">
      <c r="C617" s="398"/>
      <c r="L617" s="389"/>
    </row>
    <row r="618" hidden="1">
      <c r="C618" s="398"/>
      <c r="L618" s="389"/>
    </row>
    <row r="619" hidden="1">
      <c r="C619" s="398"/>
      <c r="L619" s="389"/>
    </row>
    <row r="620" hidden="1">
      <c r="C620" s="398"/>
      <c r="L620" s="389"/>
    </row>
    <row r="621" hidden="1">
      <c r="C621" s="398"/>
      <c r="L621" s="389"/>
    </row>
    <row r="622" hidden="1">
      <c r="C622" s="398"/>
      <c r="L622" s="389"/>
    </row>
    <row r="623" hidden="1">
      <c r="C623" s="398"/>
      <c r="L623" s="389"/>
    </row>
    <row r="624" hidden="1">
      <c r="C624" s="398"/>
      <c r="L624" s="389"/>
    </row>
    <row r="625" hidden="1">
      <c r="C625" s="398"/>
      <c r="L625" s="389"/>
    </row>
    <row r="626" hidden="1">
      <c r="C626" s="398"/>
      <c r="L626" s="389"/>
    </row>
    <row r="627" hidden="1">
      <c r="C627" s="398"/>
      <c r="L627" s="389"/>
    </row>
    <row r="628" hidden="1">
      <c r="C628" s="398"/>
      <c r="L628" s="389"/>
    </row>
    <row r="629" hidden="1">
      <c r="C629" s="398"/>
      <c r="L629" s="389"/>
    </row>
    <row r="630" hidden="1">
      <c r="C630" s="398"/>
      <c r="L630" s="389"/>
    </row>
    <row r="631" hidden="1">
      <c r="C631" s="398"/>
      <c r="L631" s="389"/>
    </row>
    <row r="632" hidden="1">
      <c r="C632" s="398"/>
      <c r="L632" s="389"/>
    </row>
    <row r="633" hidden="1">
      <c r="C633" s="398"/>
      <c r="L633" s="389"/>
    </row>
    <row r="634" hidden="1">
      <c r="C634" s="398"/>
      <c r="L634" s="389"/>
    </row>
    <row r="635" hidden="1">
      <c r="C635" s="398"/>
      <c r="L635" s="389"/>
    </row>
    <row r="636" hidden="1">
      <c r="C636" s="398"/>
      <c r="L636" s="389"/>
    </row>
    <row r="637" hidden="1">
      <c r="C637" s="398"/>
      <c r="L637" s="389"/>
    </row>
    <row r="638" hidden="1">
      <c r="C638" s="398"/>
      <c r="L638" s="389"/>
    </row>
    <row r="639" hidden="1">
      <c r="C639" s="398"/>
      <c r="L639" s="389"/>
    </row>
    <row r="640" hidden="1">
      <c r="C640" s="398"/>
      <c r="L640" s="389"/>
    </row>
    <row r="641" hidden="1">
      <c r="C641" s="398"/>
      <c r="L641" s="389"/>
    </row>
    <row r="642" hidden="1">
      <c r="C642" s="398"/>
      <c r="L642" s="389"/>
    </row>
    <row r="643" hidden="1">
      <c r="C643" s="398"/>
      <c r="L643" s="389"/>
    </row>
    <row r="644" hidden="1">
      <c r="C644" s="398"/>
      <c r="L644" s="389"/>
    </row>
    <row r="645" hidden="1">
      <c r="C645" s="398"/>
      <c r="L645" s="389"/>
    </row>
    <row r="646" hidden="1">
      <c r="C646" s="398"/>
      <c r="L646" s="389"/>
    </row>
    <row r="647" hidden="1">
      <c r="C647" s="398"/>
      <c r="L647" s="389"/>
    </row>
    <row r="648" hidden="1">
      <c r="C648" s="398"/>
      <c r="L648" s="389"/>
    </row>
    <row r="649" hidden="1">
      <c r="C649" s="398"/>
      <c r="L649" s="389"/>
    </row>
    <row r="650" hidden="1">
      <c r="C650" s="398"/>
      <c r="L650" s="389"/>
    </row>
    <row r="651" hidden="1">
      <c r="C651" s="398"/>
      <c r="L651" s="389"/>
    </row>
    <row r="652" hidden="1">
      <c r="C652" s="398"/>
      <c r="L652" s="389"/>
    </row>
    <row r="653" hidden="1">
      <c r="C653" s="398"/>
      <c r="L653" s="389"/>
    </row>
    <row r="654" hidden="1">
      <c r="C654" s="398"/>
      <c r="L654" s="389"/>
    </row>
    <row r="655" hidden="1">
      <c r="C655" s="398"/>
      <c r="L655" s="389"/>
    </row>
    <row r="656" hidden="1">
      <c r="C656" s="398"/>
      <c r="L656" s="389"/>
    </row>
    <row r="657" hidden="1">
      <c r="C657" s="398"/>
      <c r="L657" s="389"/>
    </row>
    <row r="658" hidden="1">
      <c r="C658" s="398"/>
      <c r="L658" s="389"/>
    </row>
    <row r="659" hidden="1">
      <c r="C659" s="398"/>
      <c r="L659" s="389"/>
    </row>
    <row r="660" hidden="1">
      <c r="C660" s="398"/>
      <c r="L660" s="389"/>
    </row>
    <row r="661" hidden="1">
      <c r="C661" s="398"/>
      <c r="L661" s="389"/>
    </row>
    <row r="662" hidden="1">
      <c r="C662" s="398"/>
      <c r="L662" s="389"/>
    </row>
    <row r="663" hidden="1">
      <c r="C663" s="398"/>
      <c r="L663" s="389"/>
    </row>
    <row r="664" hidden="1">
      <c r="C664" s="398"/>
      <c r="L664" s="389"/>
    </row>
    <row r="665" hidden="1">
      <c r="C665" s="398"/>
      <c r="L665" s="389"/>
    </row>
    <row r="666" hidden="1">
      <c r="C666" s="398"/>
      <c r="L666" s="389"/>
    </row>
    <row r="667" hidden="1">
      <c r="C667" s="398"/>
      <c r="L667" s="389"/>
    </row>
    <row r="668" hidden="1">
      <c r="C668" s="398"/>
      <c r="L668" s="389"/>
    </row>
    <row r="669" hidden="1">
      <c r="C669" s="398"/>
      <c r="L669" s="389"/>
    </row>
    <row r="670" hidden="1">
      <c r="C670" s="398"/>
      <c r="L670" s="389"/>
    </row>
    <row r="671" hidden="1">
      <c r="C671" s="398"/>
      <c r="L671" s="389"/>
    </row>
    <row r="672" hidden="1">
      <c r="C672" s="398"/>
      <c r="L672" s="389"/>
    </row>
    <row r="673" hidden="1">
      <c r="C673" s="398"/>
      <c r="L673" s="389"/>
    </row>
    <row r="674" hidden="1">
      <c r="C674" s="398"/>
      <c r="L674" s="389"/>
    </row>
    <row r="675" hidden="1">
      <c r="C675" s="398"/>
      <c r="L675" s="389"/>
    </row>
    <row r="676" hidden="1">
      <c r="C676" s="398"/>
      <c r="L676" s="389"/>
    </row>
    <row r="677" hidden="1">
      <c r="C677" s="398"/>
      <c r="L677" s="389"/>
    </row>
    <row r="678" hidden="1">
      <c r="C678" s="398"/>
      <c r="L678" s="389"/>
    </row>
    <row r="679" hidden="1">
      <c r="C679" s="398"/>
      <c r="L679" s="389"/>
    </row>
    <row r="680" hidden="1">
      <c r="C680" s="398"/>
      <c r="L680" s="389"/>
    </row>
    <row r="681" hidden="1">
      <c r="C681" s="398"/>
      <c r="L681" s="389"/>
    </row>
    <row r="682" hidden="1">
      <c r="C682" s="398"/>
      <c r="L682" s="389"/>
    </row>
    <row r="683" hidden="1">
      <c r="C683" s="398"/>
      <c r="L683" s="389"/>
    </row>
    <row r="684" hidden="1">
      <c r="C684" s="398"/>
      <c r="L684" s="389"/>
    </row>
    <row r="685" hidden="1">
      <c r="C685" s="398"/>
      <c r="L685" s="389"/>
    </row>
    <row r="686" hidden="1">
      <c r="C686" s="398"/>
      <c r="L686" s="389"/>
    </row>
    <row r="687" hidden="1">
      <c r="C687" s="398"/>
      <c r="L687" s="389"/>
    </row>
    <row r="688" hidden="1">
      <c r="C688" s="398"/>
      <c r="L688" s="389"/>
    </row>
    <row r="689" hidden="1">
      <c r="C689" s="398"/>
      <c r="L689" s="389"/>
    </row>
    <row r="690" hidden="1">
      <c r="C690" s="398"/>
      <c r="L690" s="389"/>
    </row>
    <row r="691" hidden="1">
      <c r="C691" s="398"/>
      <c r="L691" s="389"/>
    </row>
    <row r="692" hidden="1">
      <c r="C692" s="398"/>
      <c r="L692" s="389"/>
    </row>
    <row r="693" hidden="1">
      <c r="C693" s="398"/>
      <c r="L693" s="389"/>
    </row>
    <row r="694" hidden="1">
      <c r="C694" s="398"/>
      <c r="L694" s="389"/>
    </row>
    <row r="695" hidden="1">
      <c r="C695" s="398"/>
      <c r="L695" s="389"/>
    </row>
    <row r="696" hidden="1">
      <c r="C696" s="398"/>
      <c r="L696" s="389"/>
    </row>
    <row r="697" hidden="1">
      <c r="C697" s="398"/>
      <c r="L697" s="389"/>
    </row>
    <row r="698" hidden="1">
      <c r="C698" s="398"/>
      <c r="L698" s="389"/>
    </row>
    <row r="699" hidden="1">
      <c r="C699" s="398"/>
      <c r="L699" s="389"/>
    </row>
    <row r="700" hidden="1">
      <c r="C700" s="398"/>
      <c r="L700" s="389"/>
    </row>
    <row r="701" hidden="1">
      <c r="C701" s="398"/>
      <c r="L701" s="389"/>
    </row>
    <row r="702" hidden="1">
      <c r="C702" s="398"/>
      <c r="L702" s="389"/>
    </row>
    <row r="703" hidden="1">
      <c r="C703" s="398"/>
      <c r="L703" s="389"/>
    </row>
    <row r="704" hidden="1">
      <c r="C704" s="398"/>
      <c r="L704" s="389"/>
    </row>
    <row r="705" hidden="1">
      <c r="C705" s="398"/>
      <c r="L705" s="389"/>
    </row>
    <row r="706" hidden="1">
      <c r="C706" s="398"/>
      <c r="L706" s="389"/>
    </row>
    <row r="707" hidden="1">
      <c r="C707" s="398"/>
      <c r="L707" s="389"/>
    </row>
    <row r="708" hidden="1">
      <c r="C708" s="398"/>
      <c r="L708" s="389"/>
    </row>
    <row r="709" hidden="1">
      <c r="C709" s="398"/>
      <c r="L709" s="389"/>
    </row>
    <row r="710" hidden="1">
      <c r="C710" s="398"/>
      <c r="L710" s="389"/>
    </row>
    <row r="711" hidden="1">
      <c r="C711" s="398"/>
      <c r="L711" s="389"/>
    </row>
    <row r="712" hidden="1">
      <c r="C712" s="398"/>
      <c r="L712" s="389"/>
    </row>
    <row r="713" hidden="1">
      <c r="C713" s="398"/>
      <c r="L713" s="389"/>
    </row>
    <row r="714" hidden="1">
      <c r="C714" s="398"/>
      <c r="L714" s="389"/>
    </row>
    <row r="715" hidden="1">
      <c r="C715" s="398"/>
      <c r="L715" s="389"/>
    </row>
    <row r="716" hidden="1">
      <c r="C716" s="398"/>
      <c r="L716" s="389"/>
    </row>
    <row r="717" hidden="1">
      <c r="C717" s="398"/>
      <c r="L717" s="389"/>
    </row>
    <row r="718" hidden="1">
      <c r="C718" s="398"/>
      <c r="L718" s="389"/>
    </row>
    <row r="719" hidden="1">
      <c r="C719" s="398"/>
      <c r="L719" s="389"/>
    </row>
    <row r="720" hidden="1">
      <c r="C720" s="398"/>
      <c r="L720" s="389"/>
    </row>
    <row r="721" hidden="1">
      <c r="C721" s="398"/>
      <c r="L721" s="389"/>
    </row>
    <row r="722" hidden="1">
      <c r="C722" s="398"/>
      <c r="L722" s="389"/>
    </row>
    <row r="723" hidden="1">
      <c r="C723" s="398"/>
      <c r="L723" s="389"/>
    </row>
    <row r="724" hidden="1">
      <c r="C724" s="398"/>
      <c r="L724" s="389"/>
    </row>
    <row r="725" hidden="1">
      <c r="C725" s="398"/>
      <c r="L725" s="389"/>
    </row>
    <row r="726" hidden="1">
      <c r="C726" s="398"/>
      <c r="L726" s="389"/>
    </row>
    <row r="727" hidden="1">
      <c r="C727" s="398"/>
      <c r="L727" s="389"/>
    </row>
    <row r="728" hidden="1">
      <c r="C728" s="398"/>
      <c r="L728" s="389"/>
    </row>
    <row r="729" hidden="1">
      <c r="C729" s="398"/>
      <c r="L729" s="389"/>
    </row>
    <row r="730" hidden="1">
      <c r="C730" s="398"/>
      <c r="L730" s="389"/>
    </row>
    <row r="731" hidden="1">
      <c r="C731" s="398"/>
      <c r="L731" s="389"/>
    </row>
    <row r="732" hidden="1">
      <c r="C732" s="398"/>
      <c r="L732" s="389"/>
    </row>
    <row r="733" hidden="1">
      <c r="C733" s="398"/>
      <c r="L733" s="389"/>
    </row>
    <row r="734" hidden="1">
      <c r="C734" s="398"/>
      <c r="L734" s="389"/>
    </row>
    <row r="735" hidden="1">
      <c r="C735" s="398"/>
      <c r="L735" s="389"/>
    </row>
    <row r="736" hidden="1">
      <c r="C736" s="398"/>
      <c r="L736" s="389"/>
    </row>
    <row r="737" hidden="1">
      <c r="C737" s="398"/>
      <c r="L737" s="389"/>
    </row>
    <row r="738" hidden="1">
      <c r="C738" s="398"/>
      <c r="L738" s="389"/>
    </row>
    <row r="739" hidden="1">
      <c r="C739" s="398"/>
      <c r="L739" s="389"/>
    </row>
    <row r="740" hidden="1">
      <c r="C740" s="398"/>
      <c r="L740" s="389"/>
    </row>
    <row r="741" hidden="1">
      <c r="C741" s="398"/>
      <c r="L741" s="389"/>
    </row>
    <row r="742" hidden="1">
      <c r="C742" s="398"/>
      <c r="L742" s="389"/>
    </row>
    <row r="743" hidden="1">
      <c r="C743" s="398"/>
      <c r="L743" s="389"/>
    </row>
    <row r="744" hidden="1">
      <c r="C744" s="398"/>
      <c r="L744" s="389"/>
    </row>
    <row r="745" hidden="1">
      <c r="C745" s="398"/>
      <c r="L745" s="389"/>
    </row>
    <row r="746" hidden="1">
      <c r="C746" s="398"/>
      <c r="L746" s="389"/>
    </row>
    <row r="747" hidden="1">
      <c r="C747" s="398"/>
      <c r="L747" s="389"/>
    </row>
    <row r="748" hidden="1">
      <c r="C748" s="398"/>
      <c r="L748" s="389"/>
    </row>
    <row r="749" hidden="1">
      <c r="C749" s="398"/>
      <c r="L749" s="389"/>
    </row>
    <row r="750" hidden="1">
      <c r="C750" s="398"/>
      <c r="L750" s="389"/>
    </row>
    <row r="751" hidden="1">
      <c r="C751" s="398"/>
      <c r="L751" s="389"/>
    </row>
    <row r="752" hidden="1">
      <c r="C752" s="398"/>
      <c r="L752" s="389"/>
    </row>
    <row r="753" hidden="1">
      <c r="C753" s="398"/>
      <c r="L753" s="389"/>
    </row>
    <row r="754" hidden="1">
      <c r="C754" s="398"/>
      <c r="L754" s="389"/>
    </row>
    <row r="755" hidden="1">
      <c r="C755" s="398"/>
      <c r="L755" s="389"/>
    </row>
    <row r="756" hidden="1">
      <c r="C756" s="398"/>
      <c r="L756" s="389"/>
    </row>
    <row r="757" hidden="1">
      <c r="C757" s="398"/>
      <c r="L757" s="389"/>
    </row>
    <row r="758" hidden="1">
      <c r="C758" s="398"/>
      <c r="L758" s="389"/>
    </row>
    <row r="759" hidden="1">
      <c r="C759" s="398"/>
      <c r="L759" s="389"/>
    </row>
    <row r="760" hidden="1">
      <c r="C760" s="398"/>
      <c r="L760" s="389"/>
    </row>
    <row r="761" hidden="1">
      <c r="C761" s="398"/>
      <c r="L761" s="389"/>
    </row>
    <row r="762" hidden="1">
      <c r="C762" s="398"/>
      <c r="L762" s="389"/>
    </row>
    <row r="763" hidden="1">
      <c r="C763" s="398"/>
      <c r="L763" s="389"/>
    </row>
    <row r="764" hidden="1">
      <c r="C764" s="398"/>
      <c r="L764" s="389"/>
    </row>
    <row r="765" hidden="1">
      <c r="C765" s="398"/>
      <c r="L765" s="389"/>
    </row>
    <row r="766" hidden="1">
      <c r="C766" s="398"/>
      <c r="L766" s="389"/>
    </row>
    <row r="767" hidden="1">
      <c r="C767" s="398"/>
      <c r="L767" s="389"/>
    </row>
    <row r="768" hidden="1">
      <c r="C768" s="398"/>
      <c r="L768" s="389"/>
    </row>
    <row r="769" hidden="1">
      <c r="C769" s="398"/>
      <c r="L769" s="389"/>
    </row>
    <row r="770" hidden="1">
      <c r="C770" s="398"/>
      <c r="L770" s="389"/>
    </row>
    <row r="771" hidden="1">
      <c r="C771" s="398"/>
      <c r="L771" s="389"/>
    </row>
    <row r="772" hidden="1">
      <c r="C772" s="398"/>
      <c r="L772" s="389"/>
    </row>
    <row r="773" hidden="1">
      <c r="C773" s="398"/>
      <c r="L773" s="389"/>
    </row>
    <row r="774" hidden="1">
      <c r="C774" s="398"/>
      <c r="L774" s="389"/>
    </row>
    <row r="775" hidden="1">
      <c r="C775" s="398"/>
      <c r="L775" s="389"/>
    </row>
    <row r="776" hidden="1">
      <c r="C776" s="398"/>
      <c r="L776" s="389"/>
    </row>
    <row r="777" hidden="1">
      <c r="C777" s="398"/>
      <c r="L777" s="389"/>
    </row>
    <row r="778" hidden="1">
      <c r="C778" s="398"/>
      <c r="L778" s="389"/>
    </row>
    <row r="779" hidden="1">
      <c r="C779" s="398"/>
      <c r="L779" s="389"/>
    </row>
    <row r="780" hidden="1">
      <c r="C780" s="398"/>
      <c r="L780" s="389"/>
    </row>
    <row r="781" hidden="1">
      <c r="C781" s="398"/>
      <c r="L781" s="389"/>
    </row>
    <row r="782" hidden="1">
      <c r="C782" s="398"/>
      <c r="L782" s="389"/>
    </row>
    <row r="783" hidden="1">
      <c r="C783" s="398"/>
      <c r="L783" s="389"/>
    </row>
    <row r="784" hidden="1">
      <c r="C784" s="398"/>
      <c r="L784" s="389"/>
    </row>
    <row r="785" hidden="1">
      <c r="C785" s="398"/>
      <c r="L785" s="389"/>
    </row>
    <row r="786" hidden="1">
      <c r="C786" s="398"/>
      <c r="L786" s="389"/>
    </row>
    <row r="787" hidden="1">
      <c r="C787" s="398"/>
      <c r="L787" s="389"/>
    </row>
    <row r="788" hidden="1">
      <c r="C788" s="398"/>
      <c r="L788" s="389"/>
    </row>
    <row r="789" hidden="1">
      <c r="C789" s="398"/>
      <c r="L789" s="389"/>
    </row>
    <row r="790" hidden="1">
      <c r="C790" s="398"/>
      <c r="L790" s="389"/>
    </row>
    <row r="791" hidden="1">
      <c r="C791" s="398"/>
      <c r="L791" s="389"/>
    </row>
    <row r="792" hidden="1">
      <c r="C792" s="398"/>
      <c r="L792" s="389"/>
    </row>
    <row r="793" hidden="1">
      <c r="C793" s="398"/>
      <c r="L793" s="389"/>
    </row>
    <row r="794" hidden="1">
      <c r="C794" s="398"/>
      <c r="L794" s="389"/>
    </row>
    <row r="795" hidden="1">
      <c r="C795" s="398"/>
      <c r="L795" s="389"/>
    </row>
    <row r="796" hidden="1">
      <c r="C796" s="398"/>
      <c r="L796" s="389"/>
    </row>
    <row r="797" hidden="1">
      <c r="C797" s="398"/>
      <c r="L797" s="389"/>
    </row>
    <row r="798" hidden="1">
      <c r="C798" s="398"/>
      <c r="L798" s="389"/>
    </row>
    <row r="799" hidden="1">
      <c r="C799" s="398"/>
      <c r="L799" s="389"/>
    </row>
    <row r="800" hidden="1">
      <c r="C800" s="398"/>
      <c r="L800" s="389"/>
    </row>
    <row r="801" hidden="1">
      <c r="C801" s="398"/>
      <c r="L801" s="389"/>
    </row>
    <row r="802" hidden="1">
      <c r="C802" s="398"/>
      <c r="L802" s="389"/>
    </row>
    <row r="803" hidden="1">
      <c r="C803" s="398"/>
      <c r="L803" s="389"/>
    </row>
    <row r="804" hidden="1">
      <c r="C804" s="398"/>
      <c r="L804" s="389"/>
    </row>
    <row r="805" hidden="1">
      <c r="C805" s="398"/>
      <c r="L805" s="389"/>
    </row>
    <row r="806" hidden="1">
      <c r="C806" s="398"/>
      <c r="L806" s="389"/>
    </row>
    <row r="807" hidden="1">
      <c r="C807" s="398"/>
      <c r="L807" s="389"/>
    </row>
    <row r="808" hidden="1">
      <c r="C808" s="398"/>
      <c r="L808" s="389"/>
    </row>
    <row r="809" hidden="1">
      <c r="C809" s="398"/>
      <c r="L809" s="389"/>
    </row>
    <row r="810" hidden="1">
      <c r="C810" s="398"/>
      <c r="L810" s="389"/>
    </row>
    <row r="811" hidden="1">
      <c r="C811" s="398"/>
      <c r="L811" s="389"/>
    </row>
    <row r="812" hidden="1">
      <c r="C812" s="398"/>
      <c r="L812" s="389"/>
    </row>
    <row r="813" hidden="1">
      <c r="C813" s="398"/>
      <c r="L813" s="389"/>
    </row>
    <row r="814" hidden="1">
      <c r="C814" s="398"/>
      <c r="L814" s="389"/>
    </row>
    <row r="815" hidden="1">
      <c r="C815" s="398"/>
      <c r="L815" s="389"/>
    </row>
    <row r="816" hidden="1">
      <c r="C816" s="398"/>
      <c r="L816" s="389"/>
    </row>
    <row r="817" hidden="1">
      <c r="C817" s="398"/>
      <c r="L817" s="389"/>
    </row>
    <row r="818" hidden="1">
      <c r="C818" s="398"/>
      <c r="L818" s="389"/>
    </row>
    <row r="819" hidden="1">
      <c r="C819" s="398"/>
      <c r="L819" s="389"/>
    </row>
    <row r="820" hidden="1">
      <c r="C820" s="398"/>
      <c r="L820" s="389"/>
    </row>
    <row r="821" hidden="1">
      <c r="C821" s="398"/>
      <c r="L821" s="389"/>
    </row>
    <row r="822" hidden="1">
      <c r="C822" s="398"/>
      <c r="L822" s="389"/>
    </row>
    <row r="823" hidden="1">
      <c r="C823" s="398"/>
      <c r="L823" s="389"/>
    </row>
    <row r="824" hidden="1">
      <c r="C824" s="398"/>
      <c r="L824" s="389"/>
    </row>
    <row r="825" hidden="1">
      <c r="C825" s="398"/>
      <c r="L825" s="389"/>
    </row>
    <row r="826" hidden="1">
      <c r="C826" s="398"/>
      <c r="L826" s="389"/>
    </row>
    <row r="827" hidden="1">
      <c r="C827" s="398"/>
      <c r="L827" s="389"/>
    </row>
    <row r="828" hidden="1">
      <c r="C828" s="398"/>
      <c r="L828" s="389"/>
    </row>
    <row r="829" hidden="1">
      <c r="C829" s="398"/>
      <c r="L829" s="389"/>
    </row>
    <row r="830" hidden="1">
      <c r="C830" s="398"/>
      <c r="L830" s="389"/>
    </row>
    <row r="831" hidden="1">
      <c r="C831" s="398"/>
      <c r="L831" s="389"/>
    </row>
    <row r="832" hidden="1">
      <c r="C832" s="398"/>
      <c r="L832" s="389"/>
    </row>
    <row r="833" hidden="1">
      <c r="C833" s="398"/>
      <c r="L833" s="389"/>
    </row>
    <row r="834" hidden="1">
      <c r="C834" s="398"/>
      <c r="L834" s="389"/>
    </row>
    <row r="835" hidden="1">
      <c r="C835" s="398"/>
      <c r="L835" s="389"/>
    </row>
    <row r="836" hidden="1">
      <c r="C836" s="398"/>
      <c r="L836" s="389"/>
    </row>
    <row r="837" hidden="1">
      <c r="C837" s="398"/>
      <c r="L837" s="389"/>
    </row>
    <row r="838" hidden="1">
      <c r="C838" s="398"/>
      <c r="L838" s="389"/>
    </row>
    <row r="839" hidden="1">
      <c r="C839" s="398"/>
      <c r="L839" s="389"/>
    </row>
    <row r="840" hidden="1">
      <c r="C840" s="398"/>
      <c r="L840" s="389"/>
    </row>
    <row r="841" hidden="1">
      <c r="C841" s="398"/>
      <c r="L841" s="389"/>
    </row>
    <row r="842" hidden="1">
      <c r="C842" s="398"/>
      <c r="L842" s="389"/>
    </row>
    <row r="843" hidden="1">
      <c r="C843" s="398"/>
      <c r="L843" s="389"/>
    </row>
    <row r="844" hidden="1">
      <c r="C844" s="398"/>
      <c r="L844" s="389"/>
    </row>
    <row r="845" hidden="1">
      <c r="C845" s="398"/>
      <c r="L845" s="389"/>
    </row>
    <row r="846" hidden="1">
      <c r="C846" s="398"/>
      <c r="L846" s="389"/>
    </row>
    <row r="847" hidden="1">
      <c r="C847" s="398"/>
      <c r="L847" s="389"/>
    </row>
    <row r="848" hidden="1">
      <c r="C848" s="398"/>
      <c r="L848" s="389"/>
    </row>
    <row r="849" hidden="1">
      <c r="C849" s="398"/>
      <c r="L849" s="389"/>
    </row>
    <row r="850" hidden="1">
      <c r="C850" s="398"/>
      <c r="L850" s="389"/>
    </row>
    <row r="851" hidden="1">
      <c r="C851" s="398"/>
      <c r="L851" s="389"/>
    </row>
    <row r="852" hidden="1">
      <c r="C852" s="398"/>
      <c r="L852" s="389"/>
    </row>
    <row r="853" hidden="1">
      <c r="C853" s="398"/>
      <c r="L853" s="389"/>
    </row>
    <row r="854" hidden="1">
      <c r="C854" s="398"/>
      <c r="L854" s="389"/>
    </row>
    <row r="855" hidden="1">
      <c r="C855" s="398"/>
      <c r="L855" s="389"/>
    </row>
    <row r="856" hidden="1">
      <c r="C856" s="398"/>
      <c r="L856" s="389"/>
    </row>
    <row r="857" hidden="1">
      <c r="C857" s="398"/>
      <c r="L857" s="389"/>
    </row>
    <row r="858" hidden="1">
      <c r="C858" s="398"/>
      <c r="L858" s="389"/>
    </row>
    <row r="859" hidden="1">
      <c r="C859" s="398"/>
      <c r="L859" s="389"/>
    </row>
    <row r="860" hidden="1">
      <c r="C860" s="398"/>
      <c r="L860" s="389"/>
    </row>
    <row r="861" hidden="1">
      <c r="C861" s="398"/>
      <c r="L861" s="389"/>
    </row>
    <row r="862" hidden="1">
      <c r="C862" s="398"/>
      <c r="L862" s="389"/>
    </row>
    <row r="863" hidden="1">
      <c r="C863" s="398"/>
      <c r="L863" s="389"/>
    </row>
    <row r="864" hidden="1">
      <c r="C864" s="398"/>
      <c r="L864" s="389"/>
    </row>
    <row r="865" hidden="1">
      <c r="C865" s="398"/>
      <c r="L865" s="389"/>
    </row>
    <row r="866" hidden="1">
      <c r="C866" s="398"/>
      <c r="L866" s="389"/>
    </row>
    <row r="867" hidden="1">
      <c r="C867" s="398"/>
      <c r="L867" s="389"/>
    </row>
    <row r="868" hidden="1">
      <c r="C868" s="398"/>
      <c r="L868" s="389"/>
    </row>
    <row r="869" hidden="1">
      <c r="C869" s="398"/>
      <c r="L869" s="389"/>
    </row>
    <row r="870" hidden="1">
      <c r="C870" s="398"/>
      <c r="L870" s="389"/>
    </row>
    <row r="871" hidden="1">
      <c r="C871" s="398"/>
      <c r="L871" s="389"/>
    </row>
    <row r="872" hidden="1">
      <c r="C872" s="398"/>
      <c r="L872" s="389"/>
    </row>
    <row r="873" hidden="1">
      <c r="C873" s="398"/>
      <c r="L873" s="389"/>
    </row>
    <row r="874" hidden="1">
      <c r="C874" s="398"/>
      <c r="L874" s="389"/>
    </row>
    <row r="875" hidden="1">
      <c r="C875" s="398"/>
      <c r="L875" s="389"/>
    </row>
    <row r="876" hidden="1">
      <c r="C876" s="398"/>
      <c r="L876" s="389"/>
    </row>
    <row r="877" hidden="1">
      <c r="C877" s="398"/>
      <c r="L877" s="389"/>
    </row>
    <row r="878" hidden="1">
      <c r="C878" s="398"/>
      <c r="L878" s="389"/>
    </row>
    <row r="879" hidden="1">
      <c r="C879" s="398"/>
      <c r="L879" s="389"/>
    </row>
    <row r="880" hidden="1">
      <c r="C880" s="398"/>
      <c r="L880" s="389"/>
    </row>
    <row r="881" hidden="1">
      <c r="C881" s="398"/>
      <c r="L881" s="389"/>
    </row>
    <row r="882" hidden="1">
      <c r="C882" s="398"/>
      <c r="L882" s="389"/>
    </row>
    <row r="883" hidden="1">
      <c r="C883" s="398"/>
      <c r="L883" s="389"/>
    </row>
    <row r="884" hidden="1">
      <c r="C884" s="398"/>
      <c r="L884" s="389"/>
    </row>
    <row r="885" hidden="1">
      <c r="C885" s="398"/>
      <c r="L885" s="389"/>
    </row>
    <row r="886" hidden="1">
      <c r="C886" s="398"/>
      <c r="L886" s="389"/>
    </row>
    <row r="887" hidden="1">
      <c r="C887" s="398"/>
      <c r="L887" s="389"/>
    </row>
    <row r="888" hidden="1">
      <c r="C888" s="398"/>
      <c r="L888" s="389"/>
    </row>
    <row r="889" hidden="1">
      <c r="C889" s="398"/>
      <c r="L889" s="389"/>
    </row>
    <row r="890" hidden="1">
      <c r="C890" s="398"/>
      <c r="L890" s="389"/>
    </row>
    <row r="891" hidden="1">
      <c r="C891" s="398"/>
      <c r="L891" s="389"/>
    </row>
    <row r="892" hidden="1">
      <c r="C892" s="398"/>
      <c r="L892" s="389"/>
    </row>
    <row r="893" hidden="1">
      <c r="C893" s="398"/>
      <c r="L893" s="389"/>
    </row>
    <row r="894" hidden="1">
      <c r="C894" s="398"/>
      <c r="L894" s="389"/>
    </row>
    <row r="895" hidden="1">
      <c r="C895" s="398"/>
      <c r="L895" s="389"/>
    </row>
    <row r="896" hidden="1">
      <c r="C896" s="398"/>
      <c r="L896" s="389"/>
    </row>
    <row r="897" hidden="1">
      <c r="C897" s="398"/>
      <c r="L897" s="389"/>
    </row>
    <row r="898" hidden="1">
      <c r="C898" s="398"/>
      <c r="L898" s="389"/>
    </row>
    <row r="899" hidden="1">
      <c r="C899" s="398"/>
      <c r="L899" s="389"/>
    </row>
    <row r="900" hidden="1">
      <c r="C900" s="398"/>
      <c r="L900" s="389"/>
    </row>
    <row r="901" hidden="1">
      <c r="C901" s="398"/>
      <c r="L901" s="389"/>
    </row>
    <row r="902" hidden="1">
      <c r="C902" s="398"/>
      <c r="L902" s="389"/>
    </row>
    <row r="903" hidden="1">
      <c r="C903" s="398"/>
      <c r="L903" s="389"/>
    </row>
    <row r="904" hidden="1">
      <c r="C904" s="398"/>
      <c r="L904" s="389"/>
    </row>
    <row r="905" hidden="1">
      <c r="C905" s="398"/>
      <c r="L905" s="389"/>
    </row>
    <row r="906" hidden="1">
      <c r="C906" s="398"/>
      <c r="L906" s="389"/>
    </row>
    <row r="907" hidden="1">
      <c r="C907" s="398"/>
      <c r="L907" s="389"/>
    </row>
    <row r="908" hidden="1">
      <c r="C908" s="398"/>
      <c r="L908" s="389"/>
    </row>
    <row r="909" hidden="1">
      <c r="C909" s="398"/>
      <c r="L909" s="389"/>
    </row>
    <row r="910" hidden="1">
      <c r="C910" s="398"/>
      <c r="L910" s="389"/>
    </row>
    <row r="911" hidden="1">
      <c r="C911" s="398"/>
      <c r="L911" s="389"/>
    </row>
    <row r="912" hidden="1">
      <c r="C912" s="398"/>
      <c r="L912" s="389"/>
    </row>
    <row r="913" hidden="1">
      <c r="C913" s="398"/>
      <c r="L913" s="389"/>
    </row>
    <row r="914" hidden="1">
      <c r="C914" s="398"/>
      <c r="L914" s="389"/>
    </row>
    <row r="915" hidden="1">
      <c r="C915" s="398"/>
      <c r="L915" s="389"/>
    </row>
    <row r="916" hidden="1">
      <c r="C916" s="398"/>
      <c r="L916" s="389"/>
    </row>
    <row r="917" hidden="1">
      <c r="C917" s="398"/>
      <c r="L917" s="389"/>
    </row>
    <row r="918" hidden="1">
      <c r="C918" s="398"/>
      <c r="L918" s="389"/>
    </row>
    <row r="919" hidden="1">
      <c r="C919" s="398"/>
      <c r="L919" s="389"/>
    </row>
    <row r="920" hidden="1">
      <c r="C920" s="398"/>
      <c r="L920" s="389"/>
    </row>
    <row r="921" hidden="1">
      <c r="C921" s="398"/>
      <c r="L921" s="389"/>
    </row>
    <row r="922" hidden="1">
      <c r="C922" s="398"/>
      <c r="L922" s="389"/>
    </row>
    <row r="923" hidden="1">
      <c r="C923" s="398"/>
      <c r="L923" s="389"/>
    </row>
    <row r="924" hidden="1">
      <c r="C924" s="398"/>
      <c r="L924" s="389"/>
    </row>
    <row r="925" hidden="1">
      <c r="C925" s="398"/>
      <c r="L925" s="389"/>
    </row>
    <row r="926" hidden="1">
      <c r="C926" s="398"/>
      <c r="L926" s="389"/>
    </row>
    <row r="927" hidden="1">
      <c r="C927" s="398"/>
      <c r="L927" s="389"/>
    </row>
    <row r="928" hidden="1">
      <c r="C928" s="398"/>
      <c r="L928" s="389"/>
    </row>
    <row r="929" hidden="1">
      <c r="C929" s="398"/>
      <c r="L929" s="389"/>
    </row>
    <row r="930" hidden="1">
      <c r="C930" s="398"/>
      <c r="L930" s="389"/>
    </row>
    <row r="931" hidden="1">
      <c r="C931" s="398"/>
      <c r="L931" s="389"/>
    </row>
    <row r="932" hidden="1">
      <c r="C932" s="398"/>
      <c r="L932" s="389"/>
    </row>
    <row r="933" hidden="1">
      <c r="C933" s="398"/>
      <c r="L933" s="389"/>
    </row>
    <row r="934" hidden="1">
      <c r="C934" s="398"/>
      <c r="L934" s="389"/>
    </row>
    <row r="935" hidden="1">
      <c r="C935" s="398"/>
      <c r="L935" s="389"/>
    </row>
    <row r="936" hidden="1">
      <c r="C936" s="398"/>
      <c r="L936" s="389"/>
    </row>
    <row r="937" hidden="1">
      <c r="C937" s="398"/>
      <c r="L937" s="389"/>
    </row>
    <row r="938" hidden="1">
      <c r="C938" s="398"/>
      <c r="L938" s="389"/>
    </row>
    <row r="939" hidden="1">
      <c r="C939" s="398"/>
      <c r="L939" s="389"/>
    </row>
    <row r="940" hidden="1">
      <c r="C940" s="398"/>
      <c r="L940" s="389"/>
    </row>
    <row r="941" hidden="1">
      <c r="C941" s="398"/>
      <c r="L941" s="389"/>
    </row>
    <row r="942" hidden="1">
      <c r="C942" s="398"/>
      <c r="L942" s="389"/>
    </row>
    <row r="943" hidden="1">
      <c r="C943" s="398"/>
      <c r="L943" s="389"/>
    </row>
    <row r="944" hidden="1">
      <c r="C944" s="398"/>
      <c r="L944" s="389"/>
    </row>
    <row r="945" hidden="1">
      <c r="C945" s="398"/>
      <c r="L945" s="389"/>
    </row>
    <row r="946" hidden="1">
      <c r="C946" s="398"/>
      <c r="L946" s="389"/>
    </row>
    <row r="947" hidden="1">
      <c r="C947" s="398"/>
      <c r="L947" s="389"/>
    </row>
    <row r="948" hidden="1">
      <c r="C948" s="398"/>
      <c r="L948" s="389"/>
    </row>
    <row r="949" hidden="1">
      <c r="C949" s="398"/>
      <c r="L949" s="389"/>
    </row>
    <row r="950" hidden="1">
      <c r="C950" s="398"/>
      <c r="L950" s="389"/>
    </row>
    <row r="951" hidden="1">
      <c r="C951" s="398"/>
      <c r="L951" s="389"/>
    </row>
    <row r="952" hidden="1">
      <c r="C952" s="398"/>
      <c r="L952" s="389"/>
    </row>
    <row r="953" hidden="1">
      <c r="C953" s="398"/>
      <c r="L953" s="389"/>
    </row>
    <row r="954" hidden="1">
      <c r="C954" s="398"/>
      <c r="L954" s="389"/>
    </row>
    <row r="955" hidden="1">
      <c r="C955" s="398"/>
      <c r="L955" s="389"/>
    </row>
    <row r="956" hidden="1">
      <c r="C956" s="398"/>
      <c r="L956" s="389"/>
    </row>
    <row r="957" hidden="1">
      <c r="C957" s="398"/>
      <c r="L957" s="389"/>
    </row>
    <row r="958" hidden="1">
      <c r="C958" s="398"/>
      <c r="L958" s="389"/>
    </row>
    <row r="959" hidden="1">
      <c r="C959" s="398"/>
      <c r="L959" s="389"/>
    </row>
    <row r="960" hidden="1">
      <c r="C960" s="398"/>
      <c r="L960" s="389"/>
    </row>
    <row r="961" hidden="1">
      <c r="C961" s="398"/>
      <c r="L961" s="389"/>
    </row>
    <row r="962" hidden="1">
      <c r="C962" s="398"/>
      <c r="L962" s="389"/>
    </row>
    <row r="963" hidden="1">
      <c r="C963" s="398"/>
      <c r="L963" s="389"/>
    </row>
    <row r="964" hidden="1">
      <c r="C964" s="398"/>
      <c r="L964" s="389"/>
    </row>
    <row r="965" hidden="1">
      <c r="C965" s="398"/>
      <c r="L965" s="389"/>
    </row>
    <row r="966" hidden="1">
      <c r="C966" s="398"/>
      <c r="L966" s="389"/>
    </row>
    <row r="967" hidden="1">
      <c r="C967" s="398"/>
      <c r="L967" s="389"/>
    </row>
    <row r="968" hidden="1">
      <c r="C968" s="398"/>
      <c r="L968" s="389"/>
    </row>
    <row r="969" hidden="1">
      <c r="C969" s="398"/>
      <c r="L969" s="389"/>
    </row>
    <row r="970" hidden="1">
      <c r="C970" s="398"/>
      <c r="L970" s="389"/>
    </row>
    <row r="971" hidden="1">
      <c r="C971" s="398"/>
      <c r="L971" s="389"/>
    </row>
    <row r="972" hidden="1">
      <c r="C972" s="398"/>
      <c r="L972" s="389"/>
    </row>
    <row r="973" hidden="1">
      <c r="C973" s="398"/>
      <c r="L973" s="389"/>
    </row>
    <row r="974" hidden="1">
      <c r="C974" s="398"/>
      <c r="L974" s="389"/>
    </row>
    <row r="975" hidden="1">
      <c r="C975" s="398"/>
      <c r="L975" s="389"/>
    </row>
    <row r="976" hidden="1">
      <c r="C976" s="398"/>
      <c r="L976" s="389"/>
    </row>
    <row r="977" hidden="1">
      <c r="C977" s="398"/>
      <c r="L977" s="389"/>
    </row>
    <row r="978" hidden="1">
      <c r="C978" s="398"/>
      <c r="L978" s="389"/>
    </row>
    <row r="979" hidden="1">
      <c r="C979" s="398"/>
      <c r="L979" s="389"/>
    </row>
    <row r="980" hidden="1">
      <c r="C980" s="398"/>
      <c r="L980" s="389"/>
    </row>
    <row r="981" hidden="1">
      <c r="C981" s="398"/>
      <c r="L981" s="389"/>
    </row>
    <row r="982" hidden="1">
      <c r="C982" s="398"/>
      <c r="L982" s="389"/>
    </row>
    <row r="983" hidden="1">
      <c r="C983" s="398"/>
      <c r="L983" s="389"/>
    </row>
    <row r="984" hidden="1">
      <c r="C984" s="398"/>
      <c r="L984" s="389"/>
    </row>
    <row r="985" hidden="1">
      <c r="C985" s="398"/>
      <c r="L985" s="389"/>
    </row>
    <row r="986" hidden="1">
      <c r="C986" s="398"/>
      <c r="L986" s="389"/>
    </row>
    <row r="987" hidden="1">
      <c r="C987" s="398"/>
      <c r="L987" s="389"/>
    </row>
    <row r="988" hidden="1">
      <c r="C988" s="398"/>
      <c r="L988" s="389"/>
    </row>
    <row r="989" hidden="1">
      <c r="C989" s="398"/>
      <c r="L989" s="389"/>
    </row>
    <row r="990" hidden="1">
      <c r="C990" s="398"/>
      <c r="L990" s="389"/>
    </row>
    <row r="991" hidden="1">
      <c r="C991" s="398"/>
      <c r="L991" s="389"/>
    </row>
    <row r="992" hidden="1">
      <c r="C992" s="398"/>
      <c r="L992" s="389"/>
    </row>
    <row r="993" hidden="1">
      <c r="C993" s="398"/>
      <c r="L993" s="389"/>
    </row>
    <row r="994" hidden="1">
      <c r="C994" s="398"/>
      <c r="L994" s="389"/>
    </row>
    <row r="995" hidden="1">
      <c r="C995" s="398"/>
      <c r="L995" s="389"/>
    </row>
    <row r="996" hidden="1">
      <c r="C996" s="398"/>
      <c r="L996" s="389"/>
    </row>
    <row r="997" hidden="1">
      <c r="C997" s="398"/>
      <c r="L997" s="389"/>
    </row>
    <row r="998" hidden="1">
      <c r="C998" s="398"/>
      <c r="L998" s="389"/>
    </row>
  </sheetData>
  <autoFilter ref="$C$1:$C$998">
    <filterColumn colId="0">
      <filters>
        <filter val="Active"/>
      </filters>
    </filterColumn>
  </autoFilter>
  <mergeCells count="1">
    <mergeCell ref="K47:M47"/>
  </mergeCells>
  <dataValidations>
    <dataValidation type="list" allowBlank="1" showErrorMessage="1" sqref="C4:C998">
      <formula1>"Active,Inactive,Drop"</formula1>
    </dataValidation>
  </dataValidations>
  <printOptions gridLines="1" horizontalCentered="1"/>
  <pageMargins bottom="0.75" footer="0.0" header="0.0" left="0.7" right="0.7" top="0.75"/>
  <pageSetup paperSize="12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9.13"/>
    <col customWidth="1" min="6" max="6" width="36.63"/>
  </cols>
  <sheetData>
    <row r="1">
      <c r="A1" s="40" t="s">
        <v>1161</v>
      </c>
      <c r="B1" s="399" t="s">
        <v>89</v>
      </c>
      <c r="C1" s="400" t="s">
        <v>90</v>
      </c>
      <c r="D1" s="400" t="s">
        <v>91</v>
      </c>
      <c r="E1" s="400" t="s">
        <v>92</v>
      </c>
      <c r="F1" s="400" t="s">
        <v>93</v>
      </c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>
      <c r="A2" s="302" t="s">
        <v>1162</v>
      </c>
      <c r="B2" s="186" t="s">
        <v>745</v>
      </c>
      <c r="C2" s="195"/>
      <c r="D2" s="186">
        <v>3000.0</v>
      </c>
      <c r="E2" s="186">
        <v>3000.0</v>
      </c>
      <c r="F2" s="186" t="s">
        <v>1163</v>
      </c>
    </row>
    <row r="3">
      <c r="A3" s="401" t="s">
        <v>1164</v>
      </c>
      <c r="B3" s="186" t="s">
        <v>764</v>
      </c>
      <c r="C3" s="195"/>
      <c r="D3" s="186">
        <v>3000.0</v>
      </c>
      <c r="E3" s="195">
        <f t="shared" ref="E3:E16" si="1">E2+D3-C3</f>
        <v>6000</v>
      </c>
      <c r="F3" s="186" t="s">
        <v>1163</v>
      </c>
    </row>
    <row r="4">
      <c r="A4" s="401" t="s">
        <v>1165</v>
      </c>
      <c r="B4" s="186" t="s">
        <v>761</v>
      </c>
      <c r="C4" s="195"/>
      <c r="D4" s="186">
        <v>2500.0</v>
      </c>
      <c r="E4" s="195">
        <f t="shared" si="1"/>
        <v>8500</v>
      </c>
      <c r="F4" s="186" t="s">
        <v>1163</v>
      </c>
    </row>
    <row r="5">
      <c r="A5" s="401" t="s">
        <v>1166</v>
      </c>
      <c r="B5" s="186" t="s">
        <v>757</v>
      </c>
      <c r="C5" s="195"/>
      <c r="D5" s="186">
        <v>2500.0</v>
      </c>
      <c r="E5" s="195">
        <f t="shared" si="1"/>
        <v>11000</v>
      </c>
      <c r="F5" s="186" t="s">
        <v>1163</v>
      </c>
    </row>
    <row r="6">
      <c r="A6" s="401" t="s">
        <v>285</v>
      </c>
      <c r="B6" s="186" t="s">
        <v>773</v>
      </c>
      <c r="C6" s="195"/>
      <c r="D6" s="186">
        <v>3000.0</v>
      </c>
      <c r="E6" s="195">
        <f t="shared" si="1"/>
        <v>14000</v>
      </c>
      <c r="F6" s="186" t="s">
        <v>1167</v>
      </c>
    </row>
    <row r="7">
      <c r="A7" s="401" t="s">
        <v>285</v>
      </c>
      <c r="B7" s="186" t="s">
        <v>751</v>
      </c>
      <c r="C7" s="195"/>
      <c r="D7" s="186">
        <v>3000.0</v>
      </c>
      <c r="E7" s="195">
        <f t="shared" si="1"/>
        <v>17000</v>
      </c>
      <c r="F7" s="186" t="s">
        <v>1163</v>
      </c>
    </row>
    <row r="8">
      <c r="A8" s="401" t="s">
        <v>769</v>
      </c>
      <c r="B8" s="186" t="s">
        <v>768</v>
      </c>
      <c r="C8" s="195"/>
      <c r="D8" s="186">
        <v>2500.0</v>
      </c>
      <c r="E8" s="195">
        <f t="shared" si="1"/>
        <v>19500</v>
      </c>
      <c r="F8" s="186" t="s">
        <v>1163</v>
      </c>
    </row>
    <row r="9">
      <c r="A9" s="401" t="s">
        <v>1168</v>
      </c>
      <c r="B9" s="186" t="s">
        <v>777</v>
      </c>
      <c r="C9" s="195"/>
      <c r="D9" s="186">
        <v>2500.0</v>
      </c>
      <c r="E9" s="195">
        <f t="shared" si="1"/>
        <v>22000</v>
      </c>
      <c r="F9" s="186" t="s">
        <v>1169</v>
      </c>
    </row>
    <row r="10">
      <c r="A10" s="401" t="s">
        <v>1168</v>
      </c>
      <c r="B10" s="186" t="s">
        <v>781</v>
      </c>
      <c r="C10" s="195"/>
      <c r="D10" s="186">
        <v>8000.0</v>
      </c>
      <c r="E10" s="195">
        <f t="shared" si="1"/>
        <v>30000</v>
      </c>
      <c r="F10" s="186" t="s">
        <v>1170</v>
      </c>
    </row>
    <row r="11">
      <c r="A11" s="401" t="s">
        <v>292</v>
      </c>
      <c r="B11" s="186" t="s">
        <v>787</v>
      </c>
      <c r="C11" s="195"/>
      <c r="D11" s="186">
        <v>2500.0</v>
      </c>
      <c r="E11" s="195">
        <f t="shared" si="1"/>
        <v>32500</v>
      </c>
      <c r="F11" s="186" t="s">
        <v>1167</v>
      </c>
    </row>
    <row r="12">
      <c r="A12" s="401" t="s">
        <v>292</v>
      </c>
      <c r="B12" s="186" t="s">
        <v>791</v>
      </c>
      <c r="C12" s="195"/>
      <c r="D12" s="186">
        <v>2500.0</v>
      </c>
      <c r="E12" s="195">
        <f t="shared" si="1"/>
        <v>35000</v>
      </c>
      <c r="F12" s="186" t="s">
        <v>1169</v>
      </c>
    </row>
    <row r="13">
      <c r="A13" s="401" t="s">
        <v>795</v>
      </c>
      <c r="B13" s="186" t="s">
        <v>1171</v>
      </c>
      <c r="C13" s="186">
        <v>17000.0</v>
      </c>
      <c r="D13" s="186">
        <v>0.0</v>
      </c>
      <c r="E13" s="195">
        <f t="shared" si="1"/>
        <v>18000</v>
      </c>
      <c r="F13" s="186" t="s">
        <v>1172</v>
      </c>
    </row>
    <row r="14">
      <c r="A14" s="401" t="s">
        <v>795</v>
      </c>
      <c r="B14" s="186" t="s">
        <v>794</v>
      </c>
      <c r="C14" s="195"/>
      <c r="D14" s="186">
        <v>3000.0</v>
      </c>
      <c r="E14" s="195">
        <f t="shared" si="1"/>
        <v>21000</v>
      </c>
      <c r="F14" s="186" t="s">
        <v>1167</v>
      </c>
    </row>
    <row r="15">
      <c r="A15" s="401" t="s">
        <v>1173</v>
      </c>
      <c r="B15" s="186" t="s">
        <v>761</v>
      </c>
      <c r="C15" s="195"/>
      <c r="D15" s="186">
        <v>2500.0</v>
      </c>
      <c r="E15" s="195">
        <f t="shared" si="1"/>
        <v>23500</v>
      </c>
      <c r="F15" s="186" t="s">
        <v>1167</v>
      </c>
    </row>
    <row r="16">
      <c r="A16" s="401"/>
      <c r="B16" s="186" t="s">
        <v>294</v>
      </c>
      <c r="C16" s="186">
        <v>23500.0</v>
      </c>
      <c r="D16" s="186">
        <v>0.0</v>
      </c>
      <c r="E16" s="195">
        <f t="shared" si="1"/>
        <v>0</v>
      </c>
      <c r="F16" s="186"/>
    </row>
    <row r="17">
      <c r="A17" s="401" t="s">
        <v>296</v>
      </c>
      <c r="B17" s="186" t="s">
        <v>798</v>
      </c>
      <c r="C17" s="195"/>
      <c r="D17" s="186">
        <v>3000.0</v>
      </c>
      <c r="E17" s="186">
        <v>3000.0</v>
      </c>
      <c r="F17" s="186" t="s">
        <v>1174</v>
      </c>
    </row>
    <row r="18">
      <c r="A18" s="401" t="s">
        <v>296</v>
      </c>
      <c r="B18" s="186" t="s">
        <v>803</v>
      </c>
      <c r="C18" s="195"/>
      <c r="D18" s="186">
        <v>3000.0</v>
      </c>
      <c r="E18" s="195">
        <f t="shared" ref="E18:E77" si="2">E17+D18-C18</f>
        <v>6000</v>
      </c>
      <c r="F18" s="186" t="s">
        <v>1175</v>
      </c>
    </row>
    <row r="19">
      <c r="A19" s="401" t="s">
        <v>296</v>
      </c>
      <c r="B19" s="186" t="s">
        <v>807</v>
      </c>
      <c r="C19" s="195"/>
      <c r="D19" s="186">
        <v>3000.0</v>
      </c>
      <c r="E19" s="195">
        <f t="shared" si="2"/>
        <v>9000</v>
      </c>
      <c r="F19" s="186" t="s">
        <v>1175</v>
      </c>
    </row>
    <row r="20">
      <c r="A20" s="401" t="s">
        <v>1176</v>
      </c>
      <c r="B20" s="186" t="s">
        <v>757</v>
      </c>
      <c r="C20" s="195"/>
      <c r="D20" s="186">
        <v>2500.0</v>
      </c>
      <c r="E20" s="195">
        <f t="shared" si="2"/>
        <v>11500</v>
      </c>
      <c r="F20" s="186" t="s">
        <v>1167</v>
      </c>
    </row>
    <row r="21">
      <c r="A21" s="186" t="s">
        <v>303</v>
      </c>
      <c r="B21" s="186" t="s">
        <v>294</v>
      </c>
      <c r="C21" s="186">
        <v>11500.0</v>
      </c>
      <c r="D21" s="195"/>
      <c r="E21" s="195">
        <f t="shared" si="2"/>
        <v>0</v>
      </c>
      <c r="F21" s="195"/>
      <c r="H21" s="182" t="s">
        <v>313</v>
      </c>
      <c r="I21" s="398">
        <f>D24</f>
        <v>2500</v>
      </c>
    </row>
    <row r="22">
      <c r="A22" s="186" t="s">
        <v>303</v>
      </c>
      <c r="B22" s="186" t="s">
        <v>811</v>
      </c>
      <c r="C22" s="195"/>
      <c r="D22" s="186">
        <v>7500.0</v>
      </c>
      <c r="E22" s="195">
        <f t="shared" si="2"/>
        <v>7500</v>
      </c>
      <c r="F22" s="186" t="s">
        <v>1177</v>
      </c>
      <c r="H22" s="182" t="s">
        <v>314</v>
      </c>
      <c r="I22" s="182">
        <v>10500.0</v>
      </c>
    </row>
    <row r="23">
      <c r="A23" s="186" t="s">
        <v>304</v>
      </c>
      <c r="B23" s="186" t="s">
        <v>764</v>
      </c>
      <c r="C23" s="195"/>
      <c r="D23" s="186">
        <v>3000.0</v>
      </c>
      <c r="E23" s="195">
        <f t="shared" si="2"/>
        <v>10500</v>
      </c>
      <c r="F23" s="186" t="s">
        <v>1167</v>
      </c>
    </row>
    <row r="24">
      <c r="A24" s="186" t="s">
        <v>1178</v>
      </c>
      <c r="B24" s="186" t="s">
        <v>787</v>
      </c>
      <c r="C24" s="195"/>
      <c r="D24" s="186">
        <v>2500.0</v>
      </c>
      <c r="E24" s="195">
        <f t="shared" si="2"/>
        <v>13000</v>
      </c>
      <c r="F24" s="186" t="s">
        <v>1175</v>
      </c>
    </row>
    <row r="25">
      <c r="A25" s="186" t="s">
        <v>1179</v>
      </c>
      <c r="B25" s="82" t="s">
        <v>813</v>
      </c>
      <c r="C25" s="195"/>
      <c r="D25" s="186">
        <v>2500.0</v>
      </c>
      <c r="E25" s="195">
        <f t="shared" si="2"/>
        <v>15500</v>
      </c>
      <c r="F25" s="186" t="s">
        <v>1174</v>
      </c>
    </row>
    <row r="26">
      <c r="A26" s="186" t="s">
        <v>1179</v>
      </c>
      <c r="B26" s="186" t="s">
        <v>226</v>
      </c>
      <c r="C26" s="186">
        <v>1000.0</v>
      </c>
      <c r="D26" s="195"/>
      <c r="E26" s="195">
        <f t="shared" si="2"/>
        <v>14500</v>
      </c>
      <c r="F26" s="186" t="s">
        <v>1180</v>
      </c>
    </row>
    <row r="27">
      <c r="A27" s="186" t="s">
        <v>327</v>
      </c>
      <c r="B27" s="82" t="s">
        <v>817</v>
      </c>
      <c r="C27" s="195"/>
      <c r="D27" s="186">
        <v>12000.0</v>
      </c>
      <c r="E27" s="195">
        <f t="shared" si="2"/>
        <v>26500</v>
      </c>
      <c r="F27" s="186" t="s">
        <v>1181</v>
      </c>
    </row>
    <row r="28">
      <c r="A28" s="186" t="s">
        <v>328</v>
      </c>
      <c r="B28" s="186" t="s">
        <v>294</v>
      </c>
      <c r="C28" s="186">
        <v>26500.0</v>
      </c>
      <c r="D28" s="195"/>
      <c r="E28" s="195">
        <f t="shared" si="2"/>
        <v>0</v>
      </c>
      <c r="F28" s="186" t="s">
        <v>329</v>
      </c>
    </row>
    <row r="29">
      <c r="A29" s="186" t="s">
        <v>1182</v>
      </c>
      <c r="B29" s="186" t="s">
        <v>820</v>
      </c>
      <c r="C29" s="195"/>
      <c r="D29" s="186">
        <v>3000.0</v>
      </c>
      <c r="E29" s="195">
        <f t="shared" si="2"/>
        <v>3000</v>
      </c>
      <c r="F29" s="186" t="s">
        <v>1183</v>
      </c>
    </row>
    <row r="30">
      <c r="A30" s="186" t="s">
        <v>1184</v>
      </c>
      <c r="B30" s="186" t="s">
        <v>1185</v>
      </c>
      <c r="C30" s="195"/>
      <c r="D30" s="186">
        <v>3000.0</v>
      </c>
      <c r="E30" s="195">
        <f t="shared" si="2"/>
        <v>6000</v>
      </c>
      <c r="F30" s="186" t="s">
        <v>1183</v>
      </c>
    </row>
    <row r="31">
      <c r="A31" s="186" t="s">
        <v>336</v>
      </c>
      <c r="B31" s="186" t="s">
        <v>764</v>
      </c>
      <c r="C31" s="195"/>
      <c r="D31" s="186">
        <v>6000.0</v>
      </c>
      <c r="E31" s="195">
        <f t="shared" si="2"/>
        <v>12000</v>
      </c>
      <c r="F31" s="186" t="s">
        <v>1186</v>
      </c>
    </row>
    <row r="32">
      <c r="A32" s="186" t="s">
        <v>1187</v>
      </c>
      <c r="B32" s="186" t="s">
        <v>828</v>
      </c>
      <c r="C32" s="195"/>
      <c r="D32" s="186">
        <v>3000.0</v>
      </c>
      <c r="E32" s="195">
        <f t="shared" si="2"/>
        <v>15000</v>
      </c>
      <c r="F32" s="186" t="s">
        <v>1183</v>
      </c>
    </row>
    <row r="33">
      <c r="A33" s="186" t="s">
        <v>338</v>
      </c>
      <c r="B33" s="186" t="s">
        <v>294</v>
      </c>
      <c r="C33" s="186">
        <v>15000.0</v>
      </c>
      <c r="D33" s="195"/>
      <c r="E33" s="195">
        <f t="shared" si="2"/>
        <v>0</v>
      </c>
      <c r="F33" s="186" t="s">
        <v>329</v>
      </c>
    </row>
    <row r="34">
      <c r="A34" s="186" t="s">
        <v>1188</v>
      </c>
      <c r="B34" s="186" t="s">
        <v>798</v>
      </c>
      <c r="C34" s="195"/>
      <c r="D34" s="186">
        <v>3000.0</v>
      </c>
      <c r="E34" s="195">
        <f t="shared" si="2"/>
        <v>3000</v>
      </c>
      <c r="F34" s="186" t="s">
        <v>1189</v>
      </c>
    </row>
    <row r="35">
      <c r="A35" s="186" t="s">
        <v>339</v>
      </c>
      <c r="B35" s="186" t="s">
        <v>1190</v>
      </c>
      <c r="C35" s="186">
        <v>2860.0</v>
      </c>
      <c r="D35" s="195"/>
      <c r="E35" s="195">
        <f t="shared" si="2"/>
        <v>140</v>
      </c>
      <c r="F35" s="186" t="s">
        <v>1191</v>
      </c>
    </row>
    <row r="36">
      <c r="A36" s="402">
        <v>45529.0</v>
      </c>
      <c r="B36" s="186" t="s">
        <v>832</v>
      </c>
      <c r="C36" s="195"/>
      <c r="D36" s="186">
        <v>6000.0</v>
      </c>
      <c r="E36" s="195">
        <f t="shared" si="2"/>
        <v>6140</v>
      </c>
      <c r="F36" s="186" t="s">
        <v>1192</v>
      </c>
    </row>
    <row r="37">
      <c r="A37" s="402">
        <v>45529.0</v>
      </c>
      <c r="B37" s="186" t="s">
        <v>836</v>
      </c>
      <c r="C37" s="195"/>
      <c r="D37" s="186">
        <v>6000.0</v>
      </c>
      <c r="E37" s="195">
        <f t="shared" si="2"/>
        <v>12140</v>
      </c>
      <c r="F37" s="302" t="s">
        <v>1193</v>
      </c>
    </row>
    <row r="38">
      <c r="A38" s="402">
        <v>45529.0</v>
      </c>
      <c r="B38" s="186" t="s">
        <v>840</v>
      </c>
      <c r="C38" s="195"/>
      <c r="D38" s="186">
        <v>6000.0</v>
      </c>
      <c r="E38" s="195">
        <f t="shared" si="2"/>
        <v>18140</v>
      </c>
      <c r="F38" s="302" t="s">
        <v>1194</v>
      </c>
    </row>
    <row r="39">
      <c r="A39" s="402">
        <v>45529.0</v>
      </c>
      <c r="B39" s="186" t="s">
        <v>1195</v>
      </c>
      <c r="C39" s="195"/>
      <c r="D39" s="186">
        <v>6000.0</v>
      </c>
      <c r="E39" s="195">
        <f t="shared" si="2"/>
        <v>24140</v>
      </c>
      <c r="F39" s="302" t="s">
        <v>1196</v>
      </c>
    </row>
    <row r="40">
      <c r="A40" s="186" t="s">
        <v>1197</v>
      </c>
      <c r="B40" s="82" t="s">
        <v>787</v>
      </c>
      <c r="C40" s="195"/>
      <c r="D40" s="186">
        <v>2500.0</v>
      </c>
      <c r="E40" s="195">
        <f t="shared" si="2"/>
        <v>26640</v>
      </c>
      <c r="F40" s="186" t="s">
        <v>1189</v>
      </c>
    </row>
    <row r="41">
      <c r="A41" s="186" t="s">
        <v>349</v>
      </c>
      <c r="B41" s="186" t="s">
        <v>849</v>
      </c>
      <c r="C41" s="195"/>
      <c r="D41" s="186">
        <v>3000.0</v>
      </c>
      <c r="E41" s="195">
        <f t="shared" si="2"/>
        <v>29640</v>
      </c>
      <c r="F41" s="186" t="s">
        <v>1198</v>
      </c>
    </row>
    <row r="42">
      <c r="A42" s="186" t="s">
        <v>345</v>
      </c>
      <c r="B42" s="186" t="s">
        <v>1199</v>
      </c>
      <c r="C42" s="186">
        <v>20000.0</v>
      </c>
      <c r="D42" s="195"/>
      <c r="E42" s="195">
        <f t="shared" si="2"/>
        <v>9640</v>
      </c>
      <c r="F42" s="186" t="s">
        <v>1199</v>
      </c>
    </row>
    <row r="43">
      <c r="A43" s="186" t="s">
        <v>352</v>
      </c>
      <c r="B43" s="186" t="s">
        <v>294</v>
      </c>
      <c r="C43" s="186">
        <v>9640.0</v>
      </c>
      <c r="D43" s="195"/>
      <c r="E43" s="195">
        <f t="shared" si="2"/>
        <v>0</v>
      </c>
      <c r="F43" s="186" t="s">
        <v>329</v>
      </c>
    </row>
    <row r="44">
      <c r="A44" s="186" t="s">
        <v>1200</v>
      </c>
      <c r="B44" s="186" t="s">
        <v>1201</v>
      </c>
      <c r="C44" s="195"/>
      <c r="D44" s="186">
        <v>3000.0</v>
      </c>
      <c r="E44" s="195">
        <f t="shared" si="2"/>
        <v>3000</v>
      </c>
      <c r="F44" s="186" t="s">
        <v>1202</v>
      </c>
    </row>
    <row r="45">
      <c r="A45" s="186" t="s">
        <v>360</v>
      </c>
      <c r="B45" s="197" t="s">
        <v>757</v>
      </c>
      <c r="C45" s="195"/>
      <c r="D45" s="186">
        <v>2500.0</v>
      </c>
      <c r="E45" s="195">
        <f t="shared" si="2"/>
        <v>5500</v>
      </c>
      <c r="F45" s="186" t="s">
        <v>1198</v>
      </c>
    </row>
    <row r="46" ht="14.25" customHeight="1">
      <c r="A46" s="186" t="s">
        <v>365</v>
      </c>
      <c r="B46" s="186" t="s">
        <v>854</v>
      </c>
      <c r="C46" s="195"/>
      <c r="D46" s="186">
        <v>2500.0</v>
      </c>
      <c r="E46" s="195">
        <f t="shared" si="2"/>
        <v>8000</v>
      </c>
      <c r="F46" s="186" t="s">
        <v>1198</v>
      </c>
    </row>
    <row r="47">
      <c r="A47" s="186" t="s">
        <v>1203</v>
      </c>
      <c r="B47" s="186" t="s">
        <v>858</v>
      </c>
      <c r="C47" s="195"/>
      <c r="D47" s="186">
        <v>3000.0</v>
      </c>
      <c r="E47" s="195">
        <f t="shared" si="2"/>
        <v>11000</v>
      </c>
      <c r="F47" s="186" t="s">
        <v>1204</v>
      </c>
      <c r="H47" s="182">
        <v>6000.0</v>
      </c>
      <c r="I47" s="398">
        <f>18000-H47</f>
        <v>12000</v>
      </c>
    </row>
    <row r="48">
      <c r="A48" s="186" t="s">
        <v>374</v>
      </c>
      <c r="B48" s="186" t="s">
        <v>861</v>
      </c>
      <c r="C48" s="195"/>
      <c r="D48" s="186">
        <v>4000.0</v>
      </c>
      <c r="E48" s="195">
        <f t="shared" si="2"/>
        <v>15000</v>
      </c>
      <c r="F48" s="186" t="s">
        <v>1205</v>
      </c>
      <c r="G48" s="182" t="s">
        <v>322</v>
      </c>
    </row>
    <row r="49">
      <c r="A49" s="186" t="s">
        <v>1206</v>
      </c>
      <c r="B49" s="186" t="s">
        <v>865</v>
      </c>
      <c r="C49" s="195"/>
      <c r="D49" s="186">
        <v>3000.0</v>
      </c>
      <c r="E49" s="195">
        <f t="shared" si="2"/>
        <v>18000</v>
      </c>
      <c r="F49" s="186" t="s">
        <v>1207</v>
      </c>
    </row>
    <row r="50">
      <c r="A50" s="186" t="s">
        <v>1208</v>
      </c>
      <c r="B50" s="186" t="s">
        <v>1209</v>
      </c>
      <c r="C50" s="186">
        <v>18000.0</v>
      </c>
      <c r="D50" s="195"/>
      <c r="E50" s="195">
        <f t="shared" si="2"/>
        <v>0</v>
      </c>
      <c r="F50" s="186" t="s">
        <v>329</v>
      </c>
    </row>
    <row r="51">
      <c r="A51" s="186" t="s">
        <v>377</v>
      </c>
      <c r="B51" s="186" t="s">
        <v>867</v>
      </c>
      <c r="C51" s="195"/>
      <c r="D51" s="186">
        <v>3000.0</v>
      </c>
      <c r="E51" s="195">
        <f t="shared" si="2"/>
        <v>3000</v>
      </c>
      <c r="F51" s="186" t="s">
        <v>1207</v>
      </c>
    </row>
    <row r="52">
      <c r="A52" s="186" t="s">
        <v>382</v>
      </c>
      <c r="B52" s="186" t="s">
        <v>871</v>
      </c>
      <c r="C52" s="195"/>
      <c r="D52" s="186">
        <v>6000.0</v>
      </c>
      <c r="E52" s="195">
        <f t="shared" si="2"/>
        <v>9000</v>
      </c>
      <c r="F52" s="186" t="s">
        <v>1210</v>
      </c>
      <c r="H52" s="182">
        <v>6000.0</v>
      </c>
    </row>
    <row r="53">
      <c r="A53" s="186" t="s">
        <v>388</v>
      </c>
      <c r="B53" s="186" t="s">
        <v>787</v>
      </c>
      <c r="C53" s="195"/>
      <c r="D53" s="186">
        <v>2500.0</v>
      </c>
      <c r="E53" s="195">
        <f t="shared" si="2"/>
        <v>11500</v>
      </c>
      <c r="F53" s="186" t="s">
        <v>1207</v>
      </c>
    </row>
    <row r="54">
      <c r="A54" s="186" t="s">
        <v>1211</v>
      </c>
      <c r="B54" s="186" t="s">
        <v>764</v>
      </c>
      <c r="C54" s="195"/>
      <c r="D54" s="186">
        <v>3000.0</v>
      </c>
      <c r="E54" s="195">
        <f t="shared" si="2"/>
        <v>14500</v>
      </c>
      <c r="F54" s="186" t="s">
        <v>1212</v>
      </c>
    </row>
    <row r="55">
      <c r="A55" s="186" t="s">
        <v>1211</v>
      </c>
      <c r="B55" s="186" t="s">
        <v>854</v>
      </c>
      <c r="C55" s="195"/>
      <c r="D55" s="186">
        <v>2500.0</v>
      </c>
      <c r="E55" s="195">
        <f t="shared" si="2"/>
        <v>17000</v>
      </c>
      <c r="F55" s="186" t="s">
        <v>1212</v>
      </c>
    </row>
    <row r="56">
      <c r="A56" s="186" t="s">
        <v>1211</v>
      </c>
      <c r="B56" s="186" t="s">
        <v>858</v>
      </c>
      <c r="C56" s="195"/>
      <c r="D56" s="186">
        <v>3000.0</v>
      </c>
      <c r="E56" s="195">
        <f t="shared" si="2"/>
        <v>20000</v>
      </c>
      <c r="F56" s="186" t="s">
        <v>1207</v>
      </c>
    </row>
    <row r="57">
      <c r="A57" s="186" t="s">
        <v>1213</v>
      </c>
      <c r="B57" s="197" t="s">
        <v>757</v>
      </c>
      <c r="C57" s="195"/>
      <c r="D57" s="186">
        <v>2500.0</v>
      </c>
      <c r="E57" s="195">
        <f t="shared" si="2"/>
        <v>22500</v>
      </c>
      <c r="F57" s="186" t="s">
        <v>1207</v>
      </c>
    </row>
    <row r="58">
      <c r="A58" s="186" t="s">
        <v>1213</v>
      </c>
      <c r="B58" s="186" t="s">
        <v>875</v>
      </c>
      <c r="C58" s="195"/>
      <c r="D58" s="186">
        <v>6000.0</v>
      </c>
      <c r="E58" s="195">
        <f t="shared" si="2"/>
        <v>28500</v>
      </c>
      <c r="F58" s="186" t="s">
        <v>1214</v>
      </c>
    </row>
    <row r="59">
      <c r="A59" s="186" t="s">
        <v>401</v>
      </c>
      <c r="B59" s="186" t="s">
        <v>878</v>
      </c>
      <c r="C59" s="195"/>
      <c r="D59" s="186">
        <v>2000.0</v>
      </c>
      <c r="E59" s="195">
        <f t="shared" si="2"/>
        <v>30500</v>
      </c>
      <c r="F59" s="186" t="s">
        <v>1215</v>
      </c>
    </row>
    <row r="60">
      <c r="A60" s="186" t="s">
        <v>404</v>
      </c>
      <c r="B60" s="186" t="s">
        <v>1209</v>
      </c>
      <c r="C60" s="186">
        <v>30500.0</v>
      </c>
      <c r="D60" s="195"/>
      <c r="E60" s="195">
        <f t="shared" si="2"/>
        <v>0</v>
      </c>
      <c r="F60" s="186" t="s">
        <v>329</v>
      </c>
    </row>
    <row r="61">
      <c r="A61" s="186" t="s">
        <v>404</v>
      </c>
      <c r="B61" s="186" t="s">
        <v>882</v>
      </c>
      <c r="C61" s="195"/>
      <c r="D61" s="186">
        <v>2500.0</v>
      </c>
      <c r="E61" s="195">
        <f t="shared" si="2"/>
        <v>2500</v>
      </c>
      <c r="F61" s="186" t="s">
        <v>1216</v>
      </c>
    </row>
    <row r="62">
      <c r="A62" s="186" t="s">
        <v>196</v>
      </c>
      <c r="B62" s="186" t="s">
        <v>887</v>
      </c>
      <c r="C62" s="195"/>
      <c r="D62" s="186">
        <v>3000.0</v>
      </c>
      <c r="E62" s="195">
        <f t="shared" si="2"/>
        <v>5500</v>
      </c>
      <c r="F62" s="186" t="s">
        <v>1216</v>
      </c>
    </row>
    <row r="63">
      <c r="A63" s="186" t="s">
        <v>410</v>
      </c>
      <c r="B63" s="186" t="s">
        <v>892</v>
      </c>
      <c r="C63" s="195"/>
      <c r="D63" s="186">
        <v>3000.0</v>
      </c>
      <c r="E63" s="195">
        <f t="shared" si="2"/>
        <v>8500</v>
      </c>
      <c r="F63" s="186" t="s">
        <v>1216</v>
      </c>
    </row>
    <row r="64">
      <c r="A64" s="186" t="s">
        <v>418</v>
      </c>
      <c r="B64" s="186" t="s">
        <v>865</v>
      </c>
      <c r="C64" s="195"/>
      <c r="D64" s="186">
        <v>3000.0</v>
      </c>
      <c r="E64" s="195">
        <f t="shared" si="2"/>
        <v>11500</v>
      </c>
      <c r="F64" s="186" t="s">
        <v>1216</v>
      </c>
    </row>
    <row r="65">
      <c r="A65" s="186" t="s">
        <v>423</v>
      </c>
      <c r="B65" s="186" t="s">
        <v>896</v>
      </c>
      <c r="C65" s="195"/>
      <c r="D65" s="186">
        <v>2500.0</v>
      </c>
      <c r="E65" s="195">
        <f t="shared" si="2"/>
        <v>14000</v>
      </c>
      <c r="F65" s="186" t="s">
        <v>1216</v>
      </c>
    </row>
    <row r="66">
      <c r="A66" s="186" t="s">
        <v>423</v>
      </c>
      <c r="B66" s="186" t="s">
        <v>900</v>
      </c>
      <c r="C66" s="195"/>
      <c r="D66" s="186">
        <v>2500.0</v>
      </c>
      <c r="E66" s="195">
        <f t="shared" si="2"/>
        <v>16500</v>
      </c>
      <c r="F66" s="186" t="s">
        <v>1216</v>
      </c>
    </row>
    <row r="67">
      <c r="A67" s="186" t="s">
        <v>427</v>
      </c>
      <c r="B67" s="186" t="s">
        <v>787</v>
      </c>
      <c r="C67" s="195"/>
      <c r="D67" s="186">
        <v>2500.0</v>
      </c>
      <c r="E67" s="195">
        <f t="shared" si="2"/>
        <v>19000</v>
      </c>
      <c r="F67" s="186" t="s">
        <v>1217</v>
      </c>
    </row>
    <row r="68">
      <c r="A68" s="186" t="s">
        <v>427</v>
      </c>
      <c r="B68" s="197" t="s">
        <v>751</v>
      </c>
      <c r="C68" s="195"/>
      <c r="D68" s="186">
        <v>6000.0</v>
      </c>
      <c r="E68" s="195">
        <f t="shared" si="2"/>
        <v>25000</v>
      </c>
      <c r="F68" s="186" t="s">
        <v>1218</v>
      </c>
    </row>
    <row r="69">
      <c r="A69" s="186" t="s">
        <v>432</v>
      </c>
      <c r="B69" s="186" t="s">
        <v>854</v>
      </c>
      <c r="C69" s="195"/>
      <c r="D69" s="186">
        <v>2500.0</v>
      </c>
      <c r="E69" s="195">
        <f t="shared" si="2"/>
        <v>27500</v>
      </c>
      <c r="F69" s="186" t="s">
        <v>1218</v>
      </c>
    </row>
    <row r="70">
      <c r="A70" s="186" t="s">
        <v>432</v>
      </c>
      <c r="B70" s="186" t="s">
        <v>757</v>
      </c>
      <c r="C70" s="195"/>
      <c r="D70" s="186">
        <v>2000.0</v>
      </c>
      <c r="E70" s="195">
        <f t="shared" si="2"/>
        <v>29500</v>
      </c>
      <c r="F70" s="186" t="s">
        <v>1219</v>
      </c>
    </row>
    <row r="71">
      <c r="A71" s="186" t="s">
        <v>432</v>
      </c>
      <c r="B71" s="186" t="s">
        <v>1220</v>
      </c>
      <c r="C71" s="186">
        <v>2500.0</v>
      </c>
      <c r="D71" s="195"/>
      <c r="E71" s="195">
        <f t="shared" si="2"/>
        <v>27000</v>
      </c>
      <c r="F71" s="186" t="s">
        <v>1221</v>
      </c>
    </row>
    <row r="72">
      <c r="A72" s="186" t="s">
        <v>1222</v>
      </c>
      <c r="B72" s="186" t="s">
        <v>764</v>
      </c>
      <c r="C72" s="195"/>
      <c r="D72" s="186">
        <v>3000.0</v>
      </c>
      <c r="E72" s="195">
        <f t="shared" si="2"/>
        <v>30000</v>
      </c>
      <c r="F72" s="186" t="s">
        <v>1217</v>
      </c>
    </row>
    <row r="73">
      <c r="A73" s="186" t="s">
        <v>1223</v>
      </c>
      <c r="B73" s="186" t="s">
        <v>858</v>
      </c>
      <c r="C73" s="195"/>
      <c r="D73" s="186">
        <v>3000.0</v>
      </c>
      <c r="E73" s="195">
        <f t="shared" si="2"/>
        <v>33000</v>
      </c>
      <c r="F73" s="186" t="s">
        <v>1217</v>
      </c>
    </row>
    <row r="74">
      <c r="A74" s="186" t="s">
        <v>905</v>
      </c>
      <c r="B74" s="186" t="s">
        <v>904</v>
      </c>
      <c r="C74" s="195"/>
      <c r="D74" s="186">
        <v>9000.0</v>
      </c>
      <c r="E74" s="195">
        <f t="shared" si="2"/>
        <v>42000</v>
      </c>
      <c r="F74" s="186" t="s">
        <v>1224</v>
      </c>
    </row>
    <row r="75">
      <c r="A75" s="186" t="s">
        <v>1225</v>
      </c>
      <c r="B75" s="186" t="s">
        <v>1226</v>
      </c>
      <c r="C75" s="186">
        <v>600.0</v>
      </c>
      <c r="D75" s="195"/>
      <c r="E75" s="195">
        <f t="shared" si="2"/>
        <v>41400</v>
      </c>
      <c r="F75" s="186" t="s">
        <v>1227</v>
      </c>
    </row>
    <row r="76">
      <c r="A76" s="186" t="s">
        <v>1225</v>
      </c>
      <c r="B76" s="186" t="s">
        <v>1228</v>
      </c>
      <c r="C76" s="186">
        <v>1000.0</v>
      </c>
      <c r="D76" s="195"/>
      <c r="E76" s="195">
        <f t="shared" si="2"/>
        <v>40400</v>
      </c>
      <c r="F76" s="186"/>
    </row>
    <row r="77">
      <c r="A77" s="186" t="s">
        <v>1225</v>
      </c>
      <c r="B77" s="186" t="s">
        <v>1229</v>
      </c>
      <c r="C77" s="186">
        <f>40000+400</f>
        <v>40400</v>
      </c>
      <c r="D77" s="195"/>
      <c r="E77" s="403">
        <f t="shared" si="2"/>
        <v>0</v>
      </c>
      <c r="F77" s="186" t="s">
        <v>329</v>
      </c>
    </row>
    <row r="78">
      <c r="A78" s="186" t="s">
        <v>926</v>
      </c>
      <c r="B78" s="197" t="s">
        <v>1230</v>
      </c>
      <c r="C78" s="195"/>
      <c r="D78" s="186">
        <v>3000.0</v>
      </c>
      <c r="E78" s="186">
        <v>3000.0</v>
      </c>
      <c r="F78" s="186" t="s">
        <v>1231</v>
      </c>
    </row>
    <row r="79">
      <c r="A79" s="186" t="s">
        <v>442</v>
      </c>
      <c r="B79" s="186" t="s">
        <v>910</v>
      </c>
      <c r="C79" s="195"/>
      <c r="D79" s="186">
        <v>4000.0</v>
      </c>
      <c r="E79" s="195">
        <f t="shared" ref="E79:E95" si="3">E78+D79-C79</f>
        <v>7000</v>
      </c>
      <c r="F79" s="186" t="s">
        <v>1232</v>
      </c>
    </row>
    <row r="80">
      <c r="A80" s="186" t="s">
        <v>442</v>
      </c>
      <c r="B80" s="186" t="s">
        <v>882</v>
      </c>
      <c r="C80" s="195"/>
      <c r="D80" s="186">
        <v>2500.0</v>
      </c>
      <c r="E80" s="195">
        <f t="shared" si="3"/>
        <v>9500</v>
      </c>
      <c r="F80" s="186" t="s">
        <v>1233</v>
      </c>
    </row>
    <row r="81">
      <c r="A81" s="186" t="s">
        <v>1234</v>
      </c>
      <c r="B81" s="186" t="s">
        <v>916</v>
      </c>
      <c r="C81" s="195"/>
      <c r="D81" s="186">
        <v>6000.0</v>
      </c>
      <c r="E81" s="195">
        <f t="shared" si="3"/>
        <v>15500</v>
      </c>
      <c r="F81" s="186" t="s">
        <v>1235</v>
      </c>
    </row>
    <row r="82">
      <c r="A82" s="186" t="s">
        <v>1236</v>
      </c>
      <c r="B82" s="186" t="s">
        <v>861</v>
      </c>
      <c r="C82" s="195"/>
      <c r="D82" s="186">
        <v>3000.0</v>
      </c>
      <c r="E82" s="195">
        <f t="shared" si="3"/>
        <v>18500</v>
      </c>
      <c r="F82" s="186" t="s">
        <v>1233</v>
      </c>
    </row>
    <row r="83">
      <c r="A83" s="186" t="s">
        <v>1236</v>
      </c>
      <c r="B83" s="186" t="s">
        <v>921</v>
      </c>
      <c r="C83" s="195"/>
      <c r="D83" s="186">
        <v>6000.0</v>
      </c>
      <c r="E83" s="195">
        <f t="shared" si="3"/>
        <v>24500</v>
      </c>
      <c r="F83" s="186" t="s">
        <v>1235</v>
      </c>
    </row>
    <row r="84">
      <c r="A84" s="186" t="s">
        <v>1236</v>
      </c>
      <c r="B84" s="186" t="s">
        <v>764</v>
      </c>
      <c r="C84" s="195"/>
      <c r="D84" s="186">
        <v>3000.0</v>
      </c>
      <c r="E84" s="195">
        <f t="shared" si="3"/>
        <v>27500</v>
      </c>
      <c r="F84" s="186" t="s">
        <v>1237</v>
      </c>
    </row>
    <row r="85">
      <c r="A85" s="186" t="s">
        <v>1236</v>
      </c>
      <c r="B85" s="186" t="s">
        <v>1238</v>
      </c>
      <c r="C85" s="186">
        <v>840.0</v>
      </c>
      <c r="D85" s="195"/>
      <c r="E85" s="195">
        <f t="shared" si="3"/>
        <v>26660</v>
      </c>
      <c r="F85" s="186" t="s">
        <v>1239</v>
      </c>
    </row>
    <row r="86">
      <c r="A86" s="186" t="s">
        <v>453</v>
      </c>
      <c r="B86" s="186" t="s">
        <v>865</v>
      </c>
      <c r="C86" s="195"/>
      <c r="D86" s="186">
        <v>4000.0</v>
      </c>
      <c r="E86" s="195">
        <f t="shared" si="3"/>
        <v>30660</v>
      </c>
      <c r="F86" s="186" t="s">
        <v>1232</v>
      </c>
    </row>
    <row r="87">
      <c r="A87" s="186" t="s">
        <v>1240</v>
      </c>
      <c r="B87" s="186" t="s">
        <v>1195</v>
      </c>
      <c r="C87" s="195"/>
      <c r="D87" s="186">
        <v>6000.0</v>
      </c>
      <c r="E87" s="195">
        <f t="shared" si="3"/>
        <v>36660</v>
      </c>
      <c r="F87" s="186" t="s">
        <v>1235</v>
      </c>
    </row>
    <row r="88">
      <c r="A88" s="186" t="s">
        <v>1240</v>
      </c>
      <c r="B88" s="186" t="s">
        <v>892</v>
      </c>
      <c r="C88" s="195"/>
      <c r="D88" s="186">
        <v>3000.0</v>
      </c>
      <c r="E88" s="195">
        <f t="shared" si="3"/>
        <v>39660</v>
      </c>
      <c r="F88" s="186" t="s">
        <v>1233</v>
      </c>
    </row>
    <row r="89">
      <c r="A89" s="186" t="s">
        <v>1241</v>
      </c>
      <c r="B89" s="186" t="s">
        <v>878</v>
      </c>
      <c r="C89" s="195"/>
      <c r="D89" s="186">
        <v>2000.0</v>
      </c>
      <c r="E89" s="195">
        <f t="shared" si="3"/>
        <v>41660</v>
      </c>
      <c r="F89" s="186" t="s">
        <v>1233</v>
      </c>
    </row>
    <row r="90">
      <c r="A90" s="186" t="s">
        <v>1242</v>
      </c>
      <c r="B90" s="186" t="s">
        <v>840</v>
      </c>
      <c r="C90" s="195"/>
      <c r="D90" s="186">
        <v>6000.0</v>
      </c>
      <c r="E90" s="195">
        <f t="shared" si="3"/>
        <v>47660</v>
      </c>
      <c r="F90" s="186" t="s">
        <v>1235</v>
      </c>
    </row>
    <row r="91">
      <c r="A91" s="186" t="s">
        <v>461</v>
      </c>
      <c r="B91" s="186" t="s">
        <v>1157</v>
      </c>
      <c r="C91" s="195"/>
      <c r="D91" s="186">
        <v>4000.0</v>
      </c>
      <c r="E91" s="195">
        <f t="shared" si="3"/>
        <v>51660</v>
      </c>
      <c r="F91" s="186" t="s">
        <v>1235</v>
      </c>
    </row>
    <row r="92">
      <c r="A92" s="186" t="s">
        <v>467</v>
      </c>
      <c r="B92" s="186" t="s">
        <v>854</v>
      </c>
      <c r="C92" s="195"/>
      <c r="D92" s="186">
        <v>2500.0</v>
      </c>
      <c r="E92" s="195">
        <f t="shared" si="3"/>
        <v>54160</v>
      </c>
      <c r="F92" s="186" t="s">
        <v>1233</v>
      </c>
    </row>
    <row r="93">
      <c r="A93" s="186" t="s">
        <v>467</v>
      </c>
      <c r="B93" s="186" t="s">
        <v>865</v>
      </c>
      <c r="C93" s="195"/>
      <c r="D93" s="186">
        <v>2000.0</v>
      </c>
      <c r="E93" s="195">
        <f t="shared" si="3"/>
        <v>56160</v>
      </c>
      <c r="F93" s="186" t="s">
        <v>1243</v>
      </c>
    </row>
    <row r="94">
      <c r="A94" s="186" t="s">
        <v>467</v>
      </c>
      <c r="B94" s="197" t="s">
        <v>811</v>
      </c>
      <c r="C94" s="195"/>
      <c r="D94" s="186">
        <v>6000.0</v>
      </c>
      <c r="E94" s="195">
        <f t="shared" si="3"/>
        <v>62160</v>
      </c>
      <c r="F94" s="186" t="s">
        <v>1244</v>
      </c>
    </row>
    <row r="95">
      <c r="A95" s="186" t="s">
        <v>467</v>
      </c>
      <c r="B95" s="186" t="s">
        <v>1209</v>
      </c>
      <c r="C95" s="186">
        <f>40000+22160</f>
        <v>62160</v>
      </c>
      <c r="D95" s="195"/>
      <c r="E95" s="391">
        <f t="shared" si="3"/>
        <v>0</v>
      </c>
      <c r="F95" s="186" t="s">
        <v>329</v>
      </c>
    </row>
    <row r="96">
      <c r="A96" s="186" t="s">
        <v>930</v>
      </c>
      <c r="B96" s="186" t="s">
        <v>929</v>
      </c>
      <c r="C96" s="195"/>
      <c r="D96" s="186">
        <v>6000.0</v>
      </c>
      <c r="E96" s="197">
        <v>6000.0</v>
      </c>
      <c r="F96" s="186" t="s">
        <v>1244</v>
      </c>
    </row>
    <row r="97">
      <c r="A97" s="186" t="s">
        <v>930</v>
      </c>
      <c r="B97" s="197" t="s">
        <v>849</v>
      </c>
      <c r="C97" s="195"/>
      <c r="D97" s="186">
        <v>6000.0</v>
      </c>
      <c r="E97" s="391">
        <f t="shared" ref="E97:E115" si="4">E96+D97-C97</f>
        <v>12000</v>
      </c>
      <c r="F97" s="186" t="s">
        <v>1244</v>
      </c>
    </row>
    <row r="98">
      <c r="A98" s="186" t="s">
        <v>1245</v>
      </c>
      <c r="B98" s="186" t="s">
        <v>787</v>
      </c>
      <c r="C98" s="195"/>
      <c r="D98" s="186">
        <v>2500.0</v>
      </c>
      <c r="E98" s="391">
        <f t="shared" si="4"/>
        <v>14500</v>
      </c>
      <c r="F98" s="186" t="s">
        <v>1246</v>
      </c>
    </row>
    <row r="99">
      <c r="A99" s="186" t="s">
        <v>475</v>
      </c>
      <c r="B99" s="186" t="s">
        <v>933</v>
      </c>
      <c r="C99" s="195"/>
      <c r="D99" s="186">
        <v>6000.0</v>
      </c>
      <c r="E99" s="391">
        <f t="shared" si="4"/>
        <v>20500</v>
      </c>
      <c r="F99" s="186" t="s">
        <v>1244</v>
      </c>
    </row>
    <row r="100">
      <c r="A100" s="186" t="s">
        <v>1247</v>
      </c>
      <c r="B100" s="186" t="s">
        <v>836</v>
      </c>
      <c r="C100" s="195"/>
      <c r="D100" s="186">
        <v>3000.0</v>
      </c>
      <c r="E100" s="391">
        <f t="shared" si="4"/>
        <v>23500</v>
      </c>
      <c r="F100" s="186" t="s">
        <v>1248</v>
      </c>
      <c r="I100" s="398">
        <f>2500+3000+3000+2500</f>
        <v>11000</v>
      </c>
    </row>
    <row r="101">
      <c r="A101" s="186" t="s">
        <v>1249</v>
      </c>
      <c r="B101" s="186" t="s">
        <v>1250</v>
      </c>
      <c r="C101" s="195">
        <f>840*2</f>
        <v>1680</v>
      </c>
      <c r="D101" s="195"/>
      <c r="E101" s="391">
        <f t="shared" si="4"/>
        <v>21820</v>
      </c>
      <c r="F101" s="186" t="s">
        <v>1251</v>
      </c>
    </row>
    <row r="102">
      <c r="A102" s="186" t="s">
        <v>1252</v>
      </c>
      <c r="B102" s="186" t="s">
        <v>892</v>
      </c>
      <c r="C102" s="195"/>
      <c r="D102" s="186">
        <v>3000.0</v>
      </c>
      <c r="E102" s="391">
        <f t="shared" si="4"/>
        <v>24820</v>
      </c>
      <c r="F102" s="186" t="s">
        <v>1253</v>
      </c>
    </row>
    <row r="103">
      <c r="A103" s="186" t="s">
        <v>482</v>
      </c>
      <c r="B103" s="197" t="s">
        <v>836</v>
      </c>
      <c r="C103" s="195"/>
      <c r="D103" s="186">
        <v>3000.0</v>
      </c>
      <c r="E103" s="391">
        <f t="shared" si="4"/>
        <v>27820</v>
      </c>
      <c r="F103" s="186" t="s">
        <v>1254</v>
      </c>
    </row>
    <row r="104">
      <c r="A104" s="186" t="s">
        <v>479</v>
      </c>
      <c r="B104" s="186" t="s">
        <v>878</v>
      </c>
      <c r="C104" s="195"/>
      <c r="D104" s="186">
        <v>2000.0</v>
      </c>
      <c r="E104" s="391">
        <f t="shared" si="4"/>
        <v>29820</v>
      </c>
      <c r="F104" s="186" t="s">
        <v>1253</v>
      </c>
    </row>
    <row r="105">
      <c r="A105" s="186" t="s">
        <v>1255</v>
      </c>
      <c r="B105" s="197" t="s">
        <v>751</v>
      </c>
      <c r="C105" s="195"/>
      <c r="D105" s="186">
        <v>3000.0</v>
      </c>
      <c r="E105" s="391">
        <f t="shared" si="4"/>
        <v>32820</v>
      </c>
      <c r="F105" s="186" t="s">
        <v>1253</v>
      </c>
    </row>
    <row r="106">
      <c r="A106" s="186" t="s">
        <v>938</v>
      </c>
      <c r="B106" s="186" t="s">
        <v>937</v>
      </c>
      <c r="C106" s="195"/>
      <c r="D106" s="186">
        <v>3000.0</v>
      </c>
      <c r="E106" s="391">
        <f t="shared" si="4"/>
        <v>35820</v>
      </c>
      <c r="F106" s="186" t="s">
        <v>1256</v>
      </c>
    </row>
    <row r="107">
      <c r="A107" s="186" t="s">
        <v>945</v>
      </c>
      <c r="B107" s="186" t="s">
        <v>764</v>
      </c>
      <c r="C107" s="195"/>
      <c r="D107" s="186">
        <v>3000.0</v>
      </c>
      <c r="E107" s="391">
        <f t="shared" si="4"/>
        <v>38820</v>
      </c>
      <c r="F107" s="186" t="s">
        <v>1246</v>
      </c>
    </row>
    <row r="108">
      <c r="A108" s="186" t="s">
        <v>945</v>
      </c>
      <c r="B108" s="186" t="s">
        <v>1156</v>
      </c>
      <c r="C108" s="195"/>
      <c r="D108" s="186">
        <v>2500.0</v>
      </c>
      <c r="E108" s="391">
        <f t="shared" si="4"/>
        <v>41320</v>
      </c>
      <c r="F108" s="186" t="s">
        <v>1246</v>
      </c>
    </row>
    <row r="109">
      <c r="A109" s="186" t="s">
        <v>945</v>
      </c>
      <c r="B109" s="186" t="s">
        <v>944</v>
      </c>
      <c r="C109" s="195"/>
      <c r="D109" s="186">
        <v>3000.0</v>
      </c>
      <c r="E109" s="391">
        <f t="shared" si="4"/>
        <v>44320</v>
      </c>
      <c r="F109" s="186" t="s">
        <v>1257</v>
      </c>
    </row>
    <row r="110">
      <c r="A110" s="186" t="s">
        <v>945</v>
      </c>
      <c r="B110" s="186" t="s">
        <v>1209</v>
      </c>
      <c r="C110" s="195">
        <f>E109</f>
        <v>44320</v>
      </c>
      <c r="D110" s="186"/>
      <c r="E110" s="391">
        <f t="shared" si="4"/>
        <v>0</v>
      </c>
      <c r="F110" s="186" t="s">
        <v>329</v>
      </c>
    </row>
    <row r="111">
      <c r="A111" s="186" t="s">
        <v>488</v>
      </c>
      <c r="B111" s="186" t="s">
        <v>787</v>
      </c>
      <c r="C111" s="195"/>
      <c r="D111" s="186">
        <v>2500.0</v>
      </c>
      <c r="E111" s="391">
        <f t="shared" si="4"/>
        <v>2500</v>
      </c>
      <c r="F111" s="186" t="s">
        <v>1258</v>
      </c>
    </row>
    <row r="112">
      <c r="A112" s="186" t="s">
        <v>505</v>
      </c>
      <c r="B112" s="186" t="s">
        <v>892</v>
      </c>
      <c r="C112" s="195"/>
      <c r="D112" s="186">
        <v>3000.0</v>
      </c>
      <c r="E112" s="391">
        <f t="shared" si="4"/>
        <v>5500</v>
      </c>
      <c r="F112" s="186" t="s">
        <v>1259</v>
      </c>
    </row>
    <row r="113">
      <c r="A113" s="182" t="s">
        <v>505</v>
      </c>
      <c r="B113" s="186" t="s">
        <v>861</v>
      </c>
      <c r="C113" s="195"/>
      <c r="D113" s="186">
        <v>3000.0</v>
      </c>
      <c r="E113" s="391">
        <f t="shared" si="4"/>
        <v>8500</v>
      </c>
      <c r="F113" s="186" t="s">
        <v>1259</v>
      </c>
    </row>
    <row r="114">
      <c r="A114" s="186" t="s">
        <v>507</v>
      </c>
      <c r="B114" s="302" t="s">
        <v>949</v>
      </c>
      <c r="C114" s="195"/>
      <c r="D114" s="186">
        <v>6000.0</v>
      </c>
      <c r="E114" s="391">
        <f t="shared" si="4"/>
        <v>14500</v>
      </c>
      <c r="F114" s="186" t="s">
        <v>1260</v>
      </c>
    </row>
    <row r="115">
      <c r="A115" s="186" t="s">
        <v>513</v>
      </c>
      <c r="B115" s="186" t="s">
        <v>764</v>
      </c>
      <c r="C115" s="195"/>
      <c r="D115" s="186">
        <v>3000.0</v>
      </c>
      <c r="E115" s="404">
        <f t="shared" si="4"/>
        <v>17500</v>
      </c>
      <c r="F115" s="186" t="s">
        <v>1261</v>
      </c>
    </row>
    <row r="116">
      <c r="A116" s="186" t="s">
        <v>515</v>
      </c>
      <c r="B116" s="186" t="s">
        <v>878</v>
      </c>
      <c r="C116" s="195"/>
      <c r="D116" s="186">
        <v>2000.0</v>
      </c>
      <c r="E116" s="197">
        <v>2000.0</v>
      </c>
      <c r="F116" s="186" t="s">
        <v>1259</v>
      </c>
    </row>
    <row r="117">
      <c r="A117" s="186" t="s">
        <v>1262</v>
      </c>
      <c r="B117" s="186" t="s">
        <v>787</v>
      </c>
      <c r="C117" s="195"/>
      <c r="D117" s="186">
        <v>2500.0</v>
      </c>
      <c r="E117" s="391">
        <f t="shared" ref="E117:E118" si="5">E116+D117-C117</f>
        <v>4500</v>
      </c>
      <c r="F117" s="186" t="s">
        <v>1263</v>
      </c>
    </row>
    <row r="118">
      <c r="A118" s="186" t="s">
        <v>1264</v>
      </c>
      <c r="B118" s="186" t="s">
        <v>824</v>
      </c>
      <c r="C118" s="195"/>
      <c r="D118" s="186">
        <v>3000.0</v>
      </c>
      <c r="E118" s="391">
        <f t="shared" si="5"/>
        <v>7500</v>
      </c>
      <c r="F118" s="186" t="s">
        <v>1263</v>
      </c>
    </row>
    <row r="119">
      <c r="A119" s="186" t="s">
        <v>533</v>
      </c>
      <c r="B119" s="197" t="s">
        <v>878</v>
      </c>
      <c r="C119" s="195"/>
      <c r="D119" s="186">
        <v>2000.0</v>
      </c>
      <c r="E119" s="197">
        <v>2000.0</v>
      </c>
      <c r="F119" s="186" t="s">
        <v>1263</v>
      </c>
    </row>
    <row r="120">
      <c r="A120" s="186" t="s">
        <v>540</v>
      </c>
      <c r="B120" s="186" t="s">
        <v>844</v>
      </c>
      <c r="C120" s="195"/>
      <c r="D120" s="186">
        <v>2000.0</v>
      </c>
      <c r="E120" s="391">
        <f t="shared" ref="E120:E122" si="6">E119+D120-C120</f>
        <v>4000</v>
      </c>
      <c r="F120" s="186" t="s">
        <v>1263</v>
      </c>
    </row>
    <row r="121">
      <c r="A121" s="186" t="s">
        <v>1265</v>
      </c>
      <c r="B121" s="186" t="s">
        <v>904</v>
      </c>
      <c r="C121" s="195"/>
      <c r="D121" s="186">
        <v>6000.0</v>
      </c>
      <c r="E121" s="391">
        <f t="shared" si="6"/>
        <v>10000</v>
      </c>
      <c r="F121" s="186" t="s">
        <v>1266</v>
      </c>
    </row>
    <row r="122">
      <c r="B122" s="182" t="s">
        <v>1267</v>
      </c>
      <c r="C122" s="182">
        <v>6000.0</v>
      </c>
      <c r="E122" s="391">
        <f t="shared" si="6"/>
        <v>4000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7.75"/>
    <col customWidth="1" min="4" max="4" width="14.88"/>
    <col customWidth="1" min="5" max="5" width="17.63"/>
    <col customWidth="1" min="6" max="6" width="20.38"/>
    <col customWidth="1" min="7" max="7" width="14.75"/>
    <col customWidth="1" min="8" max="8" width="13.5"/>
    <col customWidth="1" min="9" max="9" width="17.63"/>
  </cols>
  <sheetData>
    <row r="1">
      <c r="A1" s="405" t="s">
        <v>1268</v>
      </c>
      <c r="B1" s="405" t="s">
        <v>722</v>
      </c>
      <c r="C1" s="405" t="s">
        <v>1269</v>
      </c>
      <c r="D1" s="405" t="s">
        <v>14</v>
      </c>
      <c r="E1" s="405" t="s">
        <v>15</v>
      </c>
      <c r="F1" s="405" t="s">
        <v>16</v>
      </c>
      <c r="G1" s="405" t="s">
        <v>17</v>
      </c>
      <c r="H1" s="406" t="s">
        <v>18</v>
      </c>
      <c r="I1" s="289"/>
      <c r="J1" s="289"/>
      <c r="K1" s="289"/>
      <c r="L1" s="289"/>
      <c r="M1" s="289"/>
      <c r="N1" s="289"/>
      <c r="O1" s="289"/>
      <c r="P1" s="289"/>
      <c r="Q1" s="289"/>
    </row>
    <row r="2">
      <c r="A2" s="376">
        <v>1.0</v>
      </c>
      <c r="B2" s="407" t="s">
        <v>108</v>
      </c>
      <c r="C2" s="358">
        <v>3000.0</v>
      </c>
      <c r="D2" s="358">
        <v>3000.0</v>
      </c>
      <c r="E2" s="358" t="s">
        <v>37</v>
      </c>
      <c r="F2" s="358" t="s">
        <v>37</v>
      </c>
      <c r="G2" s="358" t="s">
        <v>1270</v>
      </c>
      <c r="H2" s="408"/>
      <c r="I2" s="409" t="s">
        <v>1271</v>
      </c>
      <c r="J2" s="289"/>
      <c r="K2" s="289"/>
      <c r="L2" s="289"/>
      <c r="M2" s="289"/>
      <c r="N2" s="289"/>
      <c r="O2" s="289"/>
      <c r="P2" s="289"/>
      <c r="Q2" s="289"/>
    </row>
    <row r="3">
      <c r="A3" s="376">
        <v>2.0</v>
      </c>
      <c r="B3" s="376" t="s">
        <v>113</v>
      </c>
      <c r="C3" s="410"/>
      <c r="D3" s="410"/>
      <c r="E3" s="410"/>
      <c r="F3" s="410"/>
      <c r="G3" s="309">
        <v>3000.0</v>
      </c>
      <c r="H3" s="411"/>
      <c r="I3" s="409" t="s">
        <v>1272</v>
      </c>
      <c r="J3" s="289"/>
      <c r="K3" s="289"/>
      <c r="L3" s="289"/>
      <c r="M3" s="289"/>
      <c r="N3" s="289"/>
      <c r="O3" s="289"/>
      <c r="P3" s="289"/>
      <c r="Q3" s="289"/>
    </row>
    <row r="4">
      <c r="A4" s="376">
        <v>3.0</v>
      </c>
      <c r="B4" s="376" t="s">
        <v>136</v>
      </c>
      <c r="C4" s="309" t="s">
        <v>37</v>
      </c>
      <c r="D4" s="309" t="s">
        <v>37</v>
      </c>
      <c r="E4" s="410" t="s">
        <v>37</v>
      </c>
      <c r="F4" s="410" t="s">
        <v>37</v>
      </c>
      <c r="G4" s="309" t="s">
        <v>37</v>
      </c>
      <c r="H4" s="411"/>
      <c r="I4" s="409" t="s">
        <v>38</v>
      </c>
      <c r="J4" s="289"/>
      <c r="K4" s="289"/>
      <c r="L4" s="289"/>
      <c r="M4" s="289"/>
      <c r="N4" s="289"/>
      <c r="O4" s="289"/>
      <c r="P4" s="289"/>
      <c r="Q4" s="289"/>
    </row>
    <row r="5">
      <c r="A5" s="376">
        <v>4.0</v>
      </c>
      <c r="B5" s="412" t="s">
        <v>36</v>
      </c>
      <c r="C5" s="309" t="s">
        <v>38</v>
      </c>
      <c r="D5" s="309">
        <v>3000.0</v>
      </c>
      <c r="E5" s="410" t="s">
        <v>37</v>
      </c>
      <c r="F5" s="410" t="s">
        <v>37</v>
      </c>
      <c r="G5" s="309">
        <v>3000.0</v>
      </c>
      <c r="H5" s="411"/>
      <c r="I5" s="409" t="s">
        <v>1272</v>
      </c>
      <c r="J5" s="289"/>
      <c r="K5" s="289"/>
      <c r="L5" s="289"/>
      <c r="M5" s="289"/>
      <c r="N5" s="289"/>
      <c r="O5" s="289"/>
      <c r="P5" s="289"/>
      <c r="Q5" s="289"/>
    </row>
    <row r="6">
      <c r="A6" s="376">
        <v>5.0</v>
      </c>
      <c r="B6" s="309" t="s">
        <v>40</v>
      </c>
      <c r="C6" s="348">
        <v>3000.0</v>
      </c>
      <c r="D6" s="348">
        <v>3000.0</v>
      </c>
      <c r="E6" s="348">
        <v>3000.0</v>
      </c>
      <c r="F6" s="348">
        <v>3000.0</v>
      </c>
      <c r="G6" s="309">
        <v>3000.0</v>
      </c>
      <c r="H6" s="411"/>
      <c r="I6" s="409" t="s">
        <v>1273</v>
      </c>
      <c r="J6" s="289"/>
      <c r="K6" s="289"/>
      <c r="L6" s="289"/>
      <c r="M6" s="289"/>
      <c r="N6" s="289"/>
      <c r="O6" s="289"/>
      <c r="P6" s="289"/>
      <c r="Q6" s="289"/>
    </row>
    <row r="7">
      <c r="A7" s="376">
        <v>6.0</v>
      </c>
      <c r="B7" s="309" t="s">
        <v>41</v>
      </c>
      <c r="C7" s="348">
        <v>3000.0</v>
      </c>
      <c r="D7" s="348">
        <v>3000.0</v>
      </c>
      <c r="E7" s="348">
        <v>3000.0</v>
      </c>
      <c r="F7" s="349" t="s">
        <v>35</v>
      </c>
      <c r="G7" s="349" t="s">
        <v>35</v>
      </c>
      <c r="H7" s="411"/>
      <c r="I7" s="409" t="s">
        <v>1274</v>
      </c>
      <c r="J7" s="289"/>
      <c r="K7" s="289"/>
      <c r="L7" s="289"/>
      <c r="M7" s="289"/>
      <c r="N7" s="289"/>
      <c r="O7" s="289"/>
      <c r="P7" s="289"/>
      <c r="Q7" s="289"/>
    </row>
    <row r="8">
      <c r="A8" s="376">
        <v>7.0</v>
      </c>
      <c r="B8" s="309" t="s">
        <v>95</v>
      </c>
      <c r="C8" s="309" t="s">
        <v>37</v>
      </c>
      <c r="D8" s="309">
        <v>3000.0</v>
      </c>
      <c r="E8" s="413"/>
      <c r="F8" s="413"/>
      <c r="G8" s="349" t="s">
        <v>35</v>
      </c>
      <c r="H8" s="411"/>
      <c r="I8" s="409" t="s">
        <v>1275</v>
      </c>
      <c r="J8" s="289"/>
      <c r="K8" s="289"/>
      <c r="L8" s="289"/>
      <c r="M8" s="289"/>
      <c r="N8" s="289"/>
      <c r="O8" s="289"/>
      <c r="P8" s="289"/>
      <c r="Q8" s="289"/>
    </row>
    <row r="9">
      <c r="A9" s="376">
        <v>8.0</v>
      </c>
      <c r="B9" s="358" t="s">
        <v>181</v>
      </c>
      <c r="C9" s="358">
        <v>3000.0</v>
      </c>
      <c r="D9" s="358" t="s">
        <v>35</v>
      </c>
      <c r="E9" s="358" t="s">
        <v>38</v>
      </c>
      <c r="F9" s="358" t="s">
        <v>37</v>
      </c>
      <c r="G9" s="358" t="s">
        <v>35</v>
      </c>
      <c r="H9" s="411"/>
      <c r="I9" s="409" t="s">
        <v>1276</v>
      </c>
      <c r="J9" s="289"/>
      <c r="K9" s="289"/>
      <c r="L9" s="289"/>
      <c r="M9" s="289"/>
      <c r="N9" s="289"/>
      <c r="O9" s="289"/>
      <c r="P9" s="289"/>
      <c r="Q9" s="289"/>
    </row>
    <row r="10">
      <c r="A10" s="376">
        <v>9.0</v>
      </c>
      <c r="B10" s="309" t="s">
        <v>102</v>
      </c>
      <c r="C10" s="348">
        <v>3000.0</v>
      </c>
      <c r="D10" s="348" t="s">
        <v>37</v>
      </c>
      <c r="E10" s="348">
        <v>3000.0</v>
      </c>
      <c r="F10" s="410" t="s">
        <v>35</v>
      </c>
      <c r="G10" s="348" t="s">
        <v>1270</v>
      </c>
      <c r="H10" s="411"/>
      <c r="I10" s="409" t="s">
        <v>1277</v>
      </c>
      <c r="J10" s="289"/>
      <c r="K10" s="289"/>
      <c r="L10" s="289"/>
      <c r="M10" s="289"/>
      <c r="N10" s="289"/>
      <c r="O10" s="289"/>
      <c r="P10" s="289"/>
      <c r="Q10" s="289"/>
    </row>
    <row r="11">
      <c r="A11" s="376">
        <v>10.0</v>
      </c>
      <c r="B11" s="309" t="s">
        <v>43</v>
      </c>
      <c r="C11" s="348">
        <v>3000.0</v>
      </c>
      <c r="D11" s="348">
        <v>3000.0</v>
      </c>
      <c r="E11" s="348">
        <v>3000.0</v>
      </c>
      <c r="F11" s="348">
        <v>3000.0</v>
      </c>
      <c r="G11" s="348">
        <v>3000.0</v>
      </c>
      <c r="H11" s="411"/>
      <c r="I11" s="409" t="s">
        <v>1276</v>
      </c>
      <c r="J11" s="289"/>
      <c r="K11" s="289"/>
      <c r="L11" s="289"/>
      <c r="M11" s="289"/>
      <c r="N11" s="289"/>
      <c r="O11" s="289"/>
      <c r="P11" s="289"/>
      <c r="Q11" s="289"/>
    </row>
    <row r="12">
      <c r="A12" s="376">
        <v>11.0</v>
      </c>
      <c r="B12" s="309" t="s">
        <v>190</v>
      </c>
      <c r="C12" s="309">
        <v>3000.0</v>
      </c>
      <c r="D12" s="309">
        <v>3000.0</v>
      </c>
      <c r="E12" s="410" t="s">
        <v>38</v>
      </c>
      <c r="F12" s="410" t="s">
        <v>38</v>
      </c>
      <c r="G12" s="309">
        <v>3000.0</v>
      </c>
      <c r="H12" s="411"/>
      <c r="I12" s="409" t="s">
        <v>1272</v>
      </c>
      <c r="J12" s="289"/>
      <c r="K12" s="289"/>
      <c r="L12" s="289"/>
      <c r="M12" s="289"/>
      <c r="N12" s="289"/>
      <c r="O12" s="289"/>
      <c r="P12" s="289"/>
      <c r="Q12" s="289"/>
    </row>
    <row r="13">
      <c r="A13" s="376">
        <v>12.0</v>
      </c>
      <c r="B13" s="309" t="s">
        <v>45</v>
      </c>
      <c r="C13" s="348">
        <v>3000.0</v>
      </c>
      <c r="D13" s="348">
        <v>3000.0</v>
      </c>
      <c r="E13" s="348">
        <v>3000.0</v>
      </c>
      <c r="F13" s="348">
        <v>3000.0</v>
      </c>
      <c r="G13" s="348">
        <v>3000.0</v>
      </c>
      <c r="H13" s="411"/>
      <c r="I13" s="409" t="s">
        <v>1272</v>
      </c>
      <c r="J13" s="289"/>
      <c r="K13" s="289"/>
      <c r="L13" s="289"/>
      <c r="M13" s="289"/>
      <c r="N13" s="289"/>
      <c r="O13" s="289"/>
      <c r="P13" s="289"/>
      <c r="Q13" s="289"/>
    </row>
    <row r="14">
      <c r="A14" s="376">
        <v>13.0</v>
      </c>
      <c r="B14" s="309" t="s">
        <v>106</v>
      </c>
      <c r="C14" s="348">
        <v>3000.0</v>
      </c>
      <c r="D14" s="348">
        <v>3000.0</v>
      </c>
      <c r="E14" s="348">
        <v>3000.0</v>
      </c>
      <c r="F14" s="348">
        <v>3000.0</v>
      </c>
      <c r="G14" s="348">
        <v>3000.0</v>
      </c>
      <c r="H14" s="411"/>
      <c r="I14" s="409" t="s">
        <v>1272</v>
      </c>
      <c r="J14" s="289"/>
      <c r="K14" s="289"/>
      <c r="L14" s="289"/>
      <c r="M14" s="289"/>
      <c r="N14" s="289"/>
      <c r="O14" s="289"/>
      <c r="P14" s="289"/>
      <c r="Q14" s="289"/>
    </row>
    <row r="15">
      <c r="A15" s="376">
        <v>14.0</v>
      </c>
      <c r="B15" s="309" t="s">
        <v>46</v>
      </c>
      <c r="C15" s="348">
        <v>3000.0</v>
      </c>
      <c r="D15" s="348">
        <v>3000.0</v>
      </c>
      <c r="E15" s="348">
        <v>3000.0</v>
      </c>
      <c r="F15" s="348">
        <v>3000.0</v>
      </c>
      <c r="G15" s="348">
        <v>3000.0</v>
      </c>
      <c r="H15" s="411"/>
      <c r="I15" s="409" t="s">
        <v>1278</v>
      </c>
      <c r="J15" s="289"/>
      <c r="K15" s="289"/>
      <c r="L15" s="289"/>
      <c r="M15" s="289"/>
      <c r="N15" s="289"/>
      <c r="O15" s="289"/>
      <c r="P15" s="289"/>
      <c r="Q15" s="289"/>
    </row>
    <row r="16">
      <c r="A16" s="376">
        <v>15.0</v>
      </c>
      <c r="B16" s="309" t="s">
        <v>119</v>
      </c>
      <c r="C16" s="348">
        <v>3000.0</v>
      </c>
      <c r="D16" s="348">
        <v>3000.0</v>
      </c>
      <c r="E16" s="348">
        <v>3000.0</v>
      </c>
      <c r="F16" s="348">
        <v>3000.0</v>
      </c>
      <c r="G16" s="348">
        <v>3000.0</v>
      </c>
      <c r="H16" s="411"/>
      <c r="I16" s="409" t="s">
        <v>1279</v>
      </c>
      <c r="J16" s="289"/>
      <c r="K16" s="289"/>
      <c r="L16" s="289"/>
      <c r="M16" s="289"/>
      <c r="N16" s="289"/>
      <c r="O16" s="289"/>
      <c r="P16" s="289"/>
      <c r="Q16" s="289"/>
    </row>
    <row r="17">
      <c r="A17" s="376">
        <v>16.0</v>
      </c>
      <c r="B17" s="309" t="s">
        <v>126</v>
      </c>
      <c r="C17" s="348">
        <v>3000.0</v>
      </c>
      <c r="D17" s="348">
        <v>3000.0</v>
      </c>
      <c r="E17" s="348">
        <v>3000.0</v>
      </c>
      <c r="F17" s="309">
        <v>3000.0</v>
      </c>
      <c r="G17" s="348" t="s">
        <v>1270</v>
      </c>
      <c r="H17" s="411"/>
      <c r="I17" s="409"/>
      <c r="J17" s="289"/>
      <c r="K17" s="289"/>
      <c r="L17" s="289"/>
      <c r="M17" s="289"/>
      <c r="N17" s="289"/>
      <c r="O17" s="289"/>
      <c r="P17" s="289"/>
      <c r="Q17" s="289"/>
    </row>
    <row r="18">
      <c r="A18" s="376">
        <v>17.0</v>
      </c>
      <c r="B18" s="309" t="s">
        <v>129</v>
      </c>
      <c r="C18" s="348">
        <v>3000.0</v>
      </c>
      <c r="D18" s="348">
        <v>3000.0</v>
      </c>
      <c r="E18" s="348">
        <v>3000.0</v>
      </c>
      <c r="F18" s="348">
        <v>3000.0</v>
      </c>
      <c r="G18" s="348">
        <v>3000.0</v>
      </c>
      <c r="H18" s="411"/>
      <c r="I18" s="409" t="s">
        <v>1280</v>
      </c>
      <c r="J18" s="289"/>
      <c r="K18" s="289"/>
      <c r="L18" s="289"/>
      <c r="M18" s="289"/>
      <c r="N18" s="289"/>
      <c r="O18" s="289"/>
      <c r="P18" s="289"/>
      <c r="Q18" s="289"/>
    </row>
    <row r="19">
      <c r="A19" s="376">
        <v>18.0</v>
      </c>
      <c r="B19" s="414" t="s">
        <v>133</v>
      </c>
      <c r="C19" s="349">
        <v>2000.0</v>
      </c>
      <c r="D19" s="349">
        <v>2000.0</v>
      </c>
      <c r="E19" s="349" t="s">
        <v>37</v>
      </c>
      <c r="F19" s="349" t="s">
        <v>1270</v>
      </c>
      <c r="G19" s="309" t="s">
        <v>35</v>
      </c>
      <c r="H19" s="411"/>
      <c r="I19" s="409" t="s">
        <v>1281</v>
      </c>
      <c r="J19" s="289"/>
      <c r="K19" s="289"/>
      <c r="L19" s="289"/>
      <c r="M19" s="289"/>
      <c r="N19" s="289"/>
      <c r="O19" s="289"/>
      <c r="P19" s="289"/>
      <c r="Q19" s="289"/>
    </row>
    <row r="20">
      <c r="A20" s="376">
        <v>19.0</v>
      </c>
      <c r="B20" s="309" t="s">
        <v>48</v>
      </c>
      <c r="C20" s="348">
        <v>3000.0</v>
      </c>
      <c r="D20" s="348">
        <v>3000.0</v>
      </c>
      <c r="E20" s="348">
        <v>3000.0</v>
      </c>
      <c r="F20" s="348">
        <v>3000.0</v>
      </c>
      <c r="G20" s="348">
        <v>3000.0</v>
      </c>
      <c r="H20" s="411"/>
      <c r="I20" s="409" t="s">
        <v>1282</v>
      </c>
      <c r="J20" s="289"/>
      <c r="K20" s="289"/>
      <c r="L20" s="289"/>
      <c r="M20" s="289"/>
      <c r="N20" s="289"/>
      <c r="O20" s="289"/>
      <c r="P20" s="289"/>
      <c r="Q20" s="289"/>
    </row>
    <row r="21">
      <c r="A21" s="376">
        <v>20.0</v>
      </c>
      <c r="B21" s="309" t="s">
        <v>148</v>
      </c>
      <c r="C21" s="348">
        <v>3000.0</v>
      </c>
      <c r="D21" s="348">
        <v>3000.0</v>
      </c>
      <c r="E21" s="348">
        <v>3000.0</v>
      </c>
      <c r="F21" s="348">
        <v>3000.0</v>
      </c>
      <c r="G21" s="348">
        <v>3000.0</v>
      </c>
      <c r="H21" s="411"/>
      <c r="I21" s="409" t="s">
        <v>1272</v>
      </c>
      <c r="J21" s="289"/>
      <c r="K21" s="289"/>
      <c r="L21" s="289"/>
      <c r="M21" s="289"/>
      <c r="N21" s="289"/>
      <c r="O21" s="289"/>
      <c r="P21" s="289"/>
      <c r="Q21" s="289"/>
    </row>
    <row r="22">
      <c r="A22" s="376">
        <v>21.0</v>
      </c>
      <c r="B22" s="309" t="s">
        <v>156</v>
      </c>
      <c r="C22" s="348">
        <v>3000.0</v>
      </c>
      <c r="D22" s="348">
        <v>3000.0</v>
      </c>
      <c r="E22" s="348">
        <v>3000.0</v>
      </c>
      <c r="F22" s="349" t="s">
        <v>35</v>
      </c>
      <c r="G22" s="348" t="s">
        <v>35</v>
      </c>
      <c r="H22" s="411"/>
      <c r="I22" s="409" t="s">
        <v>1283</v>
      </c>
      <c r="J22" s="289"/>
      <c r="K22" s="289"/>
      <c r="L22" s="289"/>
      <c r="M22" s="289"/>
      <c r="N22" s="289"/>
      <c r="O22" s="289"/>
      <c r="P22" s="289"/>
      <c r="Q22" s="289"/>
    </row>
    <row r="23">
      <c r="A23" s="376">
        <v>22.0</v>
      </c>
      <c r="B23" s="309" t="s">
        <v>164</v>
      </c>
      <c r="C23" s="348" t="s">
        <v>44</v>
      </c>
      <c r="D23" s="348">
        <v>3000.0</v>
      </c>
      <c r="E23" s="348">
        <v>3000.0</v>
      </c>
      <c r="F23" s="348">
        <v>3000.0</v>
      </c>
      <c r="G23" s="348">
        <v>3000.0</v>
      </c>
      <c r="H23" s="411"/>
      <c r="I23" s="409" t="s">
        <v>1272</v>
      </c>
      <c r="J23" s="289"/>
      <c r="K23" s="289"/>
      <c r="L23" s="289"/>
      <c r="M23" s="289"/>
      <c r="N23" s="289"/>
      <c r="O23" s="289"/>
      <c r="P23" s="289"/>
      <c r="Q23" s="289"/>
    </row>
    <row r="24">
      <c r="A24" s="376">
        <v>23.0</v>
      </c>
      <c r="B24" s="309" t="s">
        <v>174</v>
      </c>
      <c r="C24" s="333"/>
      <c r="D24" s="348" t="s">
        <v>44</v>
      </c>
      <c r="E24" s="348">
        <v>3000.0</v>
      </c>
      <c r="F24" s="348">
        <v>3000.0</v>
      </c>
      <c r="G24" s="348">
        <v>3000.0</v>
      </c>
      <c r="H24" s="411"/>
      <c r="I24" s="409" t="s">
        <v>1284</v>
      </c>
      <c r="J24" s="289"/>
      <c r="K24" s="289"/>
      <c r="L24" s="289"/>
      <c r="M24" s="289"/>
      <c r="N24" s="289"/>
      <c r="O24" s="289"/>
      <c r="P24" s="289"/>
      <c r="Q24" s="289"/>
    </row>
    <row r="25">
      <c r="A25" s="376">
        <v>24.0</v>
      </c>
      <c r="B25" s="309" t="s">
        <v>176</v>
      </c>
      <c r="C25" s="333"/>
      <c r="D25" s="348" t="s">
        <v>44</v>
      </c>
      <c r="E25" s="348">
        <v>3000.0</v>
      </c>
      <c r="F25" s="348">
        <v>3000.0</v>
      </c>
      <c r="G25" s="348" t="s">
        <v>1270</v>
      </c>
      <c r="H25" s="411"/>
      <c r="I25" s="409" t="s">
        <v>1285</v>
      </c>
      <c r="J25" s="289"/>
      <c r="K25" s="289"/>
      <c r="L25" s="289"/>
      <c r="M25" s="289"/>
      <c r="N25" s="289"/>
      <c r="O25" s="289"/>
      <c r="P25" s="289"/>
      <c r="Q25" s="289"/>
    </row>
    <row r="26">
      <c r="A26" s="376">
        <v>25.0</v>
      </c>
      <c r="B26" s="309" t="s">
        <v>183</v>
      </c>
      <c r="C26" s="333"/>
      <c r="D26" s="348" t="s">
        <v>47</v>
      </c>
      <c r="E26" s="348" t="s">
        <v>44</v>
      </c>
      <c r="F26" s="348">
        <v>3000.0</v>
      </c>
      <c r="G26" s="348" t="s">
        <v>35</v>
      </c>
      <c r="H26" s="411"/>
      <c r="I26" s="409" t="s">
        <v>1286</v>
      </c>
      <c r="J26" s="289"/>
      <c r="K26" s="289"/>
      <c r="L26" s="289"/>
      <c r="M26" s="289"/>
      <c r="N26" s="289"/>
      <c r="O26" s="289"/>
      <c r="P26" s="289"/>
      <c r="Q26" s="289"/>
    </row>
    <row r="27">
      <c r="A27" s="376">
        <v>26.0</v>
      </c>
      <c r="B27" s="309" t="s">
        <v>189</v>
      </c>
      <c r="C27" s="333"/>
      <c r="D27" s="333"/>
      <c r="E27" s="348" t="s">
        <v>44</v>
      </c>
      <c r="F27" s="348" t="s">
        <v>1287</v>
      </c>
      <c r="G27" s="348" t="s">
        <v>1287</v>
      </c>
      <c r="H27" s="411"/>
      <c r="I27" s="289"/>
      <c r="J27" s="289"/>
      <c r="K27" s="289"/>
      <c r="L27" s="289"/>
      <c r="M27" s="289"/>
      <c r="N27" s="289"/>
      <c r="O27" s="289"/>
      <c r="P27" s="289"/>
      <c r="Q27" s="289"/>
    </row>
    <row r="28">
      <c r="A28" s="376">
        <v>27.0</v>
      </c>
      <c r="B28" s="309" t="s">
        <v>200</v>
      </c>
      <c r="C28" s="333"/>
      <c r="D28" s="333"/>
      <c r="E28" s="333"/>
      <c r="F28" s="348" t="s">
        <v>44</v>
      </c>
      <c r="G28" s="348">
        <v>3000.0</v>
      </c>
      <c r="H28" s="411"/>
      <c r="I28" s="289"/>
      <c r="J28" s="289"/>
      <c r="K28" s="289"/>
      <c r="L28" s="289"/>
      <c r="M28" s="289"/>
      <c r="N28" s="289"/>
      <c r="O28" s="289"/>
      <c r="P28" s="289"/>
      <c r="Q28" s="289"/>
    </row>
    <row r="29">
      <c r="A29" s="376">
        <v>28.0</v>
      </c>
      <c r="B29" s="309" t="s">
        <v>215</v>
      </c>
      <c r="C29" s="333"/>
      <c r="D29" s="333"/>
      <c r="E29" s="333"/>
      <c r="F29" s="333"/>
      <c r="G29" s="348" t="s">
        <v>44</v>
      </c>
      <c r="H29" s="411"/>
      <c r="I29" s="289"/>
      <c r="J29" s="289"/>
      <c r="K29" s="289"/>
      <c r="L29" s="289"/>
      <c r="M29" s="289"/>
      <c r="N29" s="289"/>
      <c r="O29" s="289"/>
      <c r="P29" s="289"/>
      <c r="Q29" s="289"/>
    </row>
    <row r="30">
      <c r="A30" s="376">
        <v>29.0</v>
      </c>
      <c r="B30" s="309" t="s">
        <v>222</v>
      </c>
      <c r="C30" s="333"/>
      <c r="D30" s="333"/>
      <c r="E30" s="333"/>
      <c r="F30" s="333"/>
      <c r="G30" s="348" t="s">
        <v>44</v>
      </c>
      <c r="H30" s="411"/>
      <c r="I30" s="289"/>
      <c r="J30" s="289"/>
      <c r="K30" s="289"/>
      <c r="L30" s="289"/>
      <c r="M30" s="289"/>
      <c r="N30" s="289"/>
      <c r="O30" s="289"/>
      <c r="P30" s="289"/>
      <c r="Q30" s="289"/>
    </row>
    <row r="31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</row>
    <row r="32">
      <c r="A32" s="289"/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</row>
    <row r="33">
      <c r="A33" s="289"/>
      <c r="B33" s="289"/>
      <c r="C33" s="289"/>
      <c r="D33" s="289"/>
      <c r="E33" s="409" t="s">
        <v>256</v>
      </c>
      <c r="F33" s="289"/>
      <c r="G33" s="409">
        <v>27.0</v>
      </c>
      <c r="H33" s="289"/>
      <c r="I33" s="289"/>
      <c r="J33" s="289"/>
      <c r="K33" s="289"/>
      <c r="L33" s="289"/>
      <c r="M33" s="289"/>
      <c r="N33" s="289"/>
      <c r="O33" s="289"/>
      <c r="P33" s="289"/>
      <c r="Q33" s="289"/>
    </row>
    <row r="34">
      <c r="A34" s="289"/>
      <c r="B34" s="289"/>
      <c r="C34" s="289"/>
      <c r="D34" s="289"/>
      <c r="E34" s="409" t="s">
        <v>257</v>
      </c>
      <c r="F34" s="409">
        <v>36000.0</v>
      </c>
      <c r="G34" s="409" t="s">
        <v>258</v>
      </c>
      <c r="H34" s="289"/>
      <c r="I34" s="289"/>
      <c r="J34" s="289"/>
      <c r="K34" s="289"/>
      <c r="L34" s="289"/>
      <c r="M34" s="289"/>
      <c r="N34" s="289"/>
      <c r="O34" s="289"/>
      <c r="P34" s="289"/>
      <c r="Q34" s="289"/>
    </row>
    <row r="35">
      <c r="A35" s="289"/>
      <c r="B35" s="289"/>
      <c r="C35" s="289"/>
      <c r="D35" s="289"/>
      <c r="E35" s="409" t="s">
        <v>260</v>
      </c>
      <c r="F35" s="409">
        <v>6000.0</v>
      </c>
      <c r="G35" s="409" t="s">
        <v>261</v>
      </c>
      <c r="H35" s="289"/>
      <c r="I35" s="289"/>
      <c r="J35" s="289"/>
      <c r="K35" s="289"/>
      <c r="L35" s="289"/>
      <c r="M35" s="289"/>
      <c r="N35" s="289"/>
      <c r="O35" s="289"/>
      <c r="P35" s="289"/>
      <c r="Q35" s="289"/>
    </row>
    <row r="36">
      <c r="A36" s="289"/>
      <c r="B36" s="289"/>
      <c r="C36" s="289"/>
      <c r="D36" s="289"/>
      <c r="E36" s="409" t="s">
        <v>37</v>
      </c>
      <c r="F36" s="289"/>
      <c r="G36" s="409" t="s">
        <v>263</v>
      </c>
      <c r="H36" s="289"/>
      <c r="I36" s="289"/>
      <c r="J36" s="289"/>
      <c r="K36" s="289"/>
      <c r="L36" s="289"/>
      <c r="M36" s="289"/>
      <c r="N36" s="289"/>
      <c r="O36" s="289"/>
      <c r="P36" s="289"/>
      <c r="Q36" s="289"/>
    </row>
    <row r="37">
      <c r="A37" s="289"/>
      <c r="B37" s="289"/>
      <c r="C37" s="289"/>
      <c r="D37" s="289"/>
      <c r="E37" s="409" t="s">
        <v>35</v>
      </c>
      <c r="F37" s="289"/>
      <c r="G37" s="409" t="s">
        <v>266</v>
      </c>
      <c r="H37" s="289"/>
      <c r="I37" s="289"/>
      <c r="J37" s="289"/>
      <c r="K37" s="289"/>
      <c r="L37" s="289"/>
      <c r="M37" s="289"/>
      <c r="N37" s="289"/>
      <c r="O37" s="289"/>
      <c r="P37" s="289"/>
      <c r="Q37" s="289"/>
    </row>
    <row r="38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</row>
    <row r="39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</row>
    <row r="40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</row>
    <row r="41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</row>
    <row r="4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</row>
    <row r="43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</row>
    <row r="44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</row>
    <row r="45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</row>
    <row r="46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</row>
    <row r="47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</row>
    <row r="48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</row>
    <row r="49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</row>
    <row r="50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</row>
    <row r="5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</row>
    <row r="52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</row>
    <row r="53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</row>
    <row r="54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</row>
    <row r="5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</row>
    <row r="56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</row>
    <row r="57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</row>
    <row r="58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</row>
    <row r="59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</row>
    <row r="60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</row>
    <row r="6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</row>
    <row r="6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</row>
    <row r="63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</row>
    <row r="64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</row>
    <row r="6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</row>
    <row r="66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</row>
    <row r="67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</row>
    <row r="68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</row>
    <row r="69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</row>
    <row r="70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</row>
    <row r="7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</row>
    <row r="7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</row>
    <row r="73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</row>
    <row r="7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</row>
    <row r="75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</row>
    <row r="76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</row>
    <row r="77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</row>
    <row r="78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</row>
    <row r="79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</row>
    <row r="80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</row>
    <row r="8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</row>
    <row r="8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</row>
    <row r="83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</row>
    <row r="84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</row>
    <row r="85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</row>
    <row r="86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</row>
    <row r="87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</row>
    <row r="88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</row>
    <row r="89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</row>
    <row r="90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</row>
    <row r="9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</row>
    <row r="9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</row>
    <row r="93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</row>
    <row r="94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</row>
    <row r="95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</row>
    <row r="96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</row>
    <row r="97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</row>
    <row r="98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</row>
    <row r="99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</row>
    <row r="100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</row>
    <row r="10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</row>
    <row r="102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</row>
    <row r="103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</row>
    <row r="104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</row>
    <row r="105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</row>
    <row r="106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</row>
    <row r="107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</row>
    <row r="108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</row>
    <row r="109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</row>
    <row r="110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</row>
    <row r="11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</row>
    <row r="11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</row>
    <row r="113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</row>
    <row r="114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</row>
    <row r="115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</row>
    <row r="116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</row>
    <row r="117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</row>
    <row r="118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</row>
    <row r="119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</row>
    <row r="120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</row>
    <row r="12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</row>
    <row r="12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</row>
    <row r="123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</row>
    <row r="124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</row>
    <row r="125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</row>
    <row r="126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</row>
    <row r="127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</row>
    <row r="128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</row>
    <row r="129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</row>
    <row r="130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</row>
    <row r="13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</row>
    <row r="132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</row>
    <row r="133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</row>
    <row r="134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</row>
    <row r="135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</row>
    <row r="136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</row>
    <row r="137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</row>
    <row r="138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</row>
    <row r="139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</row>
    <row r="140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</row>
    <row r="14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</row>
    <row r="14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</row>
    <row r="143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</row>
    <row r="144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</row>
    <row r="145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</row>
    <row r="146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</row>
    <row r="147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</row>
    <row r="148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</row>
    <row r="149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</row>
    <row r="150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</row>
    <row r="15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</row>
    <row r="15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</row>
    <row r="153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</row>
    <row r="154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</row>
    <row r="155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</row>
    <row r="156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</row>
    <row r="157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</row>
    <row r="158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</row>
    <row r="159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</row>
    <row r="160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</row>
    <row r="16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</row>
    <row r="16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</row>
    <row r="163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</row>
    <row r="164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</row>
    <row r="165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</row>
    <row r="166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</row>
    <row r="167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</row>
    <row r="168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</row>
    <row r="169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</row>
    <row r="170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</row>
    <row r="17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</row>
    <row r="17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</row>
    <row r="173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</row>
    <row r="174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</row>
    <row r="175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</row>
    <row r="176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</row>
    <row r="177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</row>
    <row r="178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</row>
    <row r="179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</row>
    <row r="180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</row>
    <row r="18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</row>
    <row r="18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</row>
    <row r="183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</row>
    <row r="184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</row>
    <row r="185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</row>
    <row r="186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</row>
    <row r="187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</row>
    <row r="188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</row>
    <row r="189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</row>
    <row r="190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</row>
    <row r="19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</row>
    <row r="19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</row>
    <row r="193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</row>
    <row r="194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</row>
    <row r="195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</row>
    <row r="196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</row>
    <row r="197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</row>
    <row r="198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</row>
    <row r="199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</row>
    <row r="200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</row>
    <row r="20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</row>
    <row r="20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</row>
    <row r="203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</row>
    <row r="204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</row>
    <row r="205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</row>
    <row r="206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</row>
    <row r="207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</row>
    <row r="208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</row>
    <row r="209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</row>
    <row r="210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</row>
    <row r="21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</row>
    <row r="21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</row>
    <row r="213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</row>
    <row r="214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</row>
    <row r="215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</row>
    <row r="216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</row>
    <row r="217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</row>
    <row r="218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</row>
    <row r="219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</row>
    <row r="220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</row>
    <row r="22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</row>
    <row r="22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</row>
    <row r="223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</row>
    <row r="224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</row>
    <row r="225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</row>
    <row r="226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</row>
    <row r="227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</row>
    <row r="228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</row>
    <row r="229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</row>
    <row r="230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</row>
    <row r="23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</row>
    <row r="23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</row>
    <row r="233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</row>
    <row r="234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</row>
    <row r="235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</row>
    <row r="236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</row>
    <row r="237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</row>
    <row r="238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</row>
    <row r="239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</row>
    <row r="240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</row>
    <row r="24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</row>
    <row r="24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</row>
    <row r="243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</row>
    <row r="244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</row>
    <row r="245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</row>
    <row r="246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</row>
    <row r="247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</row>
    <row r="248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</row>
    <row r="249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</row>
    <row r="250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</row>
    <row r="25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</row>
    <row r="25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</row>
    <row r="253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</row>
    <row r="254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</row>
    <row r="255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</row>
    <row r="256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</row>
    <row r="257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</row>
    <row r="258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</row>
    <row r="259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</row>
    <row r="260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</row>
    <row r="26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</row>
    <row r="262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</row>
    <row r="263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</row>
    <row r="264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</row>
    <row r="265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</row>
    <row r="266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</row>
    <row r="267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</row>
    <row r="268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</row>
    <row r="269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</row>
    <row r="270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</row>
    <row r="27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</row>
    <row r="27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</row>
    <row r="273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</row>
    <row r="274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</row>
    <row r="275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</row>
    <row r="276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</row>
    <row r="277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</row>
    <row r="278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</row>
    <row r="279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</row>
    <row r="280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</row>
    <row r="28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</row>
    <row r="28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</row>
    <row r="283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</row>
    <row r="284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</row>
    <row r="285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</row>
    <row r="286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</row>
    <row r="287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</row>
    <row r="288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</row>
    <row r="289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</row>
    <row r="290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</row>
    <row r="29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</row>
    <row r="292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</row>
    <row r="293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</row>
    <row r="294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</row>
    <row r="295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</row>
    <row r="296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</row>
    <row r="297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</row>
    <row r="298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</row>
    <row r="299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</row>
    <row r="300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</row>
    <row r="30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</row>
    <row r="302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</row>
    <row r="303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</row>
    <row r="304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</row>
    <row r="305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</row>
    <row r="306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</row>
    <row r="307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</row>
    <row r="308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</row>
    <row r="309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</row>
    <row r="310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</row>
    <row r="31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</row>
    <row r="312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</row>
    <row r="313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</row>
    <row r="314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</row>
    <row r="315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</row>
    <row r="316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</row>
    <row r="317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</row>
    <row r="318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</row>
    <row r="319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</row>
    <row r="320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</row>
    <row r="32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</row>
    <row r="322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</row>
    <row r="323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</row>
    <row r="324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</row>
    <row r="325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</row>
    <row r="326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</row>
    <row r="327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</row>
    <row r="328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</row>
    <row r="329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</row>
    <row r="330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</row>
    <row r="33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</row>
    <row r="332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</row>
    <row r="333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</row>
    <row r="334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</row>
    <row r="335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</row>
    <row r="336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</row>
    <row r="337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</row>
    <row r="338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</row>
    <row r="339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</row>
    <row r="340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</row>
    <row r="34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</row>
    <row r="342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</row>
    <row r="343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</row>
    <row r="344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</row>
    <row r="345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</row>
    <row r="346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</row>
    <row r="347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</row>
    <row r="348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</row>
    <row r="349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</row>
    <row r="350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</row>
    <row r="35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</row>
    <row r="352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</row>
    <row r="353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</row>
    <row r="354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</row>
    <row r="355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</row>
    <row r="356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</row>
    <row r="357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</row>
    <row r="358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</row>
    <row r="359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</row>
    <row r="360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</row>
    <row r="36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</row>
    <row r="362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</row>
    <row r="363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</row>
    <row r="364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</row>
    <row r="365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</row>
    <row r="366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</row>
    <row r="367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</row>
    <row r="368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</row>
    <row r="369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</row>
    <row r="370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</row>
    <row r="37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</row>
    <row r="372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</row>
    <row r="373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</row>
    <row r="374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</row>
    <row r="375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</row>
    <row r="376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</row>
    <row r="377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</row>
    <row r="378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</row>
    <row r="379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</row>
    <row r="380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</row>
    <row r="38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</row>
    <row r="382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</row>
    <row r="383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</row>
    <row r="384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</row>
    <row r="385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</row>
    <row r="386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</row>
    <row r="387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</row>
    <row r="388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</row>
    <row r="389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</row>
    <row r="390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</row>
    <row r="39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</row>
    <row r="392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</row>
    <row r="393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</row>
    <row r="394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</row>
    <row r="395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</row>
    <row r="396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</row>
    <row r="397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</row>
    <row r="398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</row>
    <row r="399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</row>
    <row r="400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</row>
    <row r="40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</row>
    <row r="402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</row>
    <row r="403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</row>
    <row r="404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</row>
    <row r="405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</row>
    <row r="406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</row>
    <row r="407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</row>
    <row r="408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</row>
    <row r="409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</row>
    <row r="410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</row>
    <row r="41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</row>
    <row r="412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</row>
    <row r="413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</row>
    <row r="414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</row>
    <row r="415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</row>
    <row r="416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</row>
    <row r="417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</row>
    <row r="418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</row>
    <row r="419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</row>
    <row r="420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</row>
    <row r="42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</row>
    <row r="422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</row>
    <row r="423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</row>
    <row r="424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</row>
    <row r="425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</row>
    <row r="426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</row>
    <row r="427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</row>
    <row r="428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</row>
    <row r="429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</row>
    <row r="430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</row>
    <row r="43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</row>
    <row r="432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</row>
    <row r="433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</row>
    <row r="434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</row>
    <row r="435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</row>
    <row r="436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</row>
    <row r="437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</row>
    <row r="438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</row>
    <row r="439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</row>
    <row r="440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</row>
    <row r="44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</row>
    <row r="442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</row>
    <row r="443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</row>
    <row r="444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</row>
    <row r="445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</row>
    <row r="446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</row>
    <row r="447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</row>
    <row r="448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</row>
    <row r="449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</row>
    <row r="450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</row>
    <row r="45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</row>
    <row r="452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</row>
    <row r="453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</row>
    <row r="454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</row>
    <row r="455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</row>
    <row r="456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</row>
    <row r="457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</row>
    <row r="458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</row>
    <row r="459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</row>
    <row r="460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</row>
    <row r="46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</row>
    <row r="462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</row>
    <row r="463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</row>
    <row r="464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</row>
    <row r="465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</row>
    <row r="466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</row>
    <row r="467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</row>
    <row r="468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</row>
    <row r="469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</row>
    <row r="470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</row>
    <row r="47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</row>
    <row r="472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</row>
    <row r="473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</row>
    <row r="474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</row>
    <row r="475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</row>
    <row r="476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</row>
    <row r="477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</row>
    <row r="478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</row>
    <row r="479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</row>
    <row r="480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</row>
    <row r="48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</row>
    <row r="482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</row>
    <row r="483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</row>
    <row r="484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</row>
    <row r="485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</row>
    <row r="486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</row>
    <row r="487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</row>
    <row r="488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</row>
    <row r="489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</row>
    <row r="490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</row>
    <row r="49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</row>
    <row r="492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</row>
    <row r="493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</row>
    <row r="494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</row>
    <row r="495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</row>
    <row r="496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</row>
    <row r="497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</row>
    <row r="498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</row>
    <row r="499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</row>
    <row r="500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</row>
    <row r="50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</row>
    <row r="502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</row>
    <row r="503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</row>
    <row r="504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</row>
    <row r="505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</row>
    <row r="506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</row>
    <row r="507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</row>
    <row r="508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</row>
    <row r="509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</row>
    <row r="510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</row>
    <row r="51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</row>
    <row r="512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</row>
    <row r="513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</row>
    <row r="514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</row>
    <row r="515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</row>
    <row r="516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</row>
    <row r="517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</row>
    <row r="518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</row>
    <row r="519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</row>
    <row r="520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</row>
    <row r="52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</row>
    <row r="522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</row>
    <row r="523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</row>
    <row r="524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</row>
    <row r="525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</row>
    <row r="526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</row>
    <row r="527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</row>
    <row r="528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</row>
    <row r="529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</row>
    <row r="530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</row>
    <row r="53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</row>
    <row r="532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</row>
    <row r="533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</row>
    <row r="534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</row>
    <row r="535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</row>
    <row r="536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</row>
    <row r="537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</row>
    <row r="538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</row>
    <row r="539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</row>
    <row r="540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</row>
    <row r="54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</row>
    <row r="542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</row>
    <row r="543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</row>
    <row r="544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</row>
    <row r="545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</row>
    <row r="546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</row>
    <row r="547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</row>
    <row r="548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</row>
    <row r="549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</row>
    <row r="550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</row>
    <row r="55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</row>
    <row r="552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</row>
    <row r="553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</row>
    <row r="554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</row>
    <row r="555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</row>
    <row r="556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</row>
    <row r="557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</row>
    <row r="558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</row>
    <row r="559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</row>
    <row r="560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</row>
    <row r="56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</row>
    <row r="562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</row>
    <row r="563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</row>
    <row r="564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</row>
    <row r="565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</row>
    <row r="566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</row>
    <row r="567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</row>
    <row r="568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</row>
    <row r="569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</row>
    <row r="570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</row>
    <row r="57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</row>
    <row r="572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</row>
    <row r="573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</row>
    <row r="574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</row>
    <row r="575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</row>
    <row r="576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</row>
    <row r="577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</row>
    <row r="578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</row>
    <row r="579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</row>
    <row r="580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</row>
    <row r="58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</row>
    <row r="582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</row>
    <row r="583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</row>
    <row r="584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</row>
    <row r="585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</row>
    <row r="586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</row>
    <row r="587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</row>
    <row r="588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</row>
    <row r="589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</row>
    <row r="590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</row>
    <row r="59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</row>
    <row r="592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</row>
    <row r="593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</row>
    <row r="594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</row>
    <row r="595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</row>
    <row r="596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</row>
    <row r="597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</row>
    <row r="598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</row>
    <row r="599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</row>
    <row r="600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</row>
    <row r="60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</row>
    <row r="602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</row>
    <row r="603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</row>
    <row r="604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</row>
    <row r="605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</row>
    <row r="606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</row>
    <row r="607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</row>
    <row r="608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</row>
    <row r="609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</row>
    <row r="610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</row>
    <row r="61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</row>
    <row r="612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</row>
    <row r="613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</row>
    <row r="614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</row>
    <row r="615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</row>
    <row r="616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</row>
    <row r="617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</row>
    <row r="618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</row>
    <row r="619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</row>
    <row r="620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</row>
    <row r="62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</row>
    <row r="622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</row>
    <row r="623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</row>
    <row r="624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</row>
    <row r="625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</row>
    <row r="626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</row>
    <row r="627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</row>
    <row r="628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</row>
    <row r="629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</row>
    <row r="630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</row>
    <row r="63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</row>
    <row r="632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</row>
    <row r="633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</row>
    <row r="634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</row>
    <row r="635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</row>
    <row r="636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</row>
    <row r="637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</row>
    <row r="638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</row>
    <row r="639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</row>
    <row r="640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</row>
    <row r="64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</row>
    <row r="642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</row>
    <row r="643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</row>
    <row r="644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</row>
    <row r="645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</row>
    <row r="646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</row>
    <row r="647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</row>
    <row r="648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</row>
    <row r="649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</row>
    <row r="650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</row>
    <row r="65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</row>
    <row r="652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</row>
    <row r="653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</row>
    <row r="654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</row>
    <row r="655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</row>
    <row r="656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</row>
    <row r="657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</row>
    <row r="658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</row>
    <row r="659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</row>
    <row r="660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</row>
    <row r="66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</row>
    <row r="662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</row>
    <row r="663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</row>
    <row r="664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</row>
    <row r="665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</row>
    <row r="666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</row>
    <row r="667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</row>
    <row r="668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</row>
    <row r="669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</row>
    <row r="670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</row>
    <row r="67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</row>
    <row r="672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</row>
    <row r="673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</row>
    <row r="674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</row>
    <row r="675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</row>
    <row r="676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</row>
    <row r="677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</row>
    <row r="678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</row>
    <row r="679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</row>
    <row r="680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</row>
    <row r="68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</row>
    <row r="682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</row>
    <row r="683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</row>
    <row r="684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</row>
    <row r="685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</row>
    <row r="686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</row>
    <row r="687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</row>
    <row r="688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</row>
    <row r="689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</row>
    <row r="690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</row>
    <row r="69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</row>
    <row r="692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</row>
    <row r="693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</row>
    <row r="694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</row>
    <row r="695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</row>
    <row r="696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</row>
    <row r="697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</row>
    <row r="698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</row>
    <row r="699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</row>
    <row r="700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</row>
    <row r="70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</row>
    <row r="702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</row>
    <row r="703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</row>
    <row r="704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</row>
    <row r="705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</row>
    <row r="706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</row>
    <row r="707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</row>
    <row r="708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</row>
    <row r="709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</row>
    <row r="710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</row>
    <row r="71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</row>
    <row r="712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</row>
    <row r="713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</row>
    <row r="714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</row>
    <row r="715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</row>
    <row r="716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</row>
    <row r="717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</row>
    <row r="718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</row>
    <row r="719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</row>
    <row r="720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</row>
    <row r="72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</row>
    <row r="722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</row>
    <row r="723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</row>
    <row r="724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</row>
    <row r="725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</row>
    <row r="726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</row>
    <row r="727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</row>
    <row r="728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</row>
    <row r="729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</row>
    <row r="730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</row>
    <row r="73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</row>
    <row r="732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</row>
    <row r="733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</row>
    <row r="734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</row>
    <row r="735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</row>
    <row r="736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</row>
    <row r="737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</row>
    <row r="738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</row>
    <row r="739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</row>
    <row r="740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</row>
    <row r="74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</row>
    <row r="742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</row>
    <row r="743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</row>
    <row r="744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</row>
    <row r="745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</row>
    <row r="746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</row>
    <row r="747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</row>
    <row r="748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</row>
    <row r="749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</row>
    <row r="750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</row>
    <row r="75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</row>
    <row r="752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</row>
    <row r="753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</row>
    <row r="754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</row>
    <row r="755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</row>
    <row r="756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</row>
    <row r="757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</row>
    <row r="758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</row>
    <row r="759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</row>
    <row r="760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</row>
    <row r="76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</row>
    <row r="762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</row>
    <row r="763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</row>
    <row r="764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</row>
    <row r="765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</row>
    <row r="766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</row>
    <row r="767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</row>
    <row r="768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</row>
    <row r="769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</row>
    <row r="770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</row>
    <row r="77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</row>
    <row r="772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</row>
    <row r="773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</row>
    <row r="774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</row>
    <row r="775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</row>
    <row r="776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</row>
    <row r="777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</row>
    <row r="778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</row>
    <row r="779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</row>
    <row r="780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</row>
    <row r="78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</row>
    <row r="782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</row>
    <row r="783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</row>
    <row r="784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</row>
    <row r="785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</row>
    <row r="786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</row>
    <row r="787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</row>
    <row r="788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</row>
    <row r="789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</row>
    <row r="790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</row>
    <row r="79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</row>
    <row r="792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</row>
    <row r="793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</row>
    <row r="794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</row>
    <row r="795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</row>
    <row r="796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</row>
    <row r="797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</row>
    <row r="798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</row>
    <row r="799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</row>
    <row r="800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</row>
    <row r="80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</row>
    <row r="802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</row>
    <row r="803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</row>
    <row r="804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</row>
    <row r="805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</row>
    <row r="806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</row>
    <row r="807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</row>
    <row r="808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</row>
    <row r="809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</row>
    <row r="810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</row>
    <row r="81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</row>
    <row r="812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</row>
    <row r="813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</row>
    <row r="814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</row>
    <row r="815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</row>
    <row r="816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</row>
    <row r="817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</row>
    <row r="818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</row>
    <row r="819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</row>
    <row r="820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</row>
    <row r="82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</row>
    <row r="822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</row>
    <row r="823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</row>
    <row r="824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</row>
    <row r="825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</row>
    <row r="826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</row>
    <row r="827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</row>
    <row r="828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</row>
    <row r="829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</row>
    <row r="830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</row>
    <row r="83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</row>
    <row r="832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</row>
    <row r="833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</row>
    <row r="834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</row>
    <row r="835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</row>
    <row r="836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</row>
    <row r="837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</row>
    <row r="838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</row>
    <row r="839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</row>
    <row r="840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</row>
    <row r="84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</row>
    <row r="842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</row>
    <row r="843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</row>
    <row r="844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</row>
    <row r="845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</row>
    <row r="846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</row>
    <row r="847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</row>
    <row r="848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</row>
    <row r="849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</row>
    <row r="850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</row>
    <row r="85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</row>
    <row r="852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</row>
    <row r="853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</row>
    <row r="854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</row>
    <row r="855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</row>
    <row r="856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</row>
    <row r="857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</row>
    <row r="858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</row>
    <row r="859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</row>
    <row r="860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</row>
    <row r="86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</row>
    <row r="862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</row>
    <row r="863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</row>
    <row r="864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</row>
    <row r="865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</row>
    <row r="866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</row>
    <row r="867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</row>
    <row r="868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</row>
    <row r="869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</row>
    <row r="870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</row>
    <row r="87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</row>
    <row r="872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</row>
    <row r="873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</row>
    <row r="874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</row>
    <row r="875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</row>
    <row r="876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</row>
    <row r="877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</row>
    <row r="878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</row>
    <row r="879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</row>
    <row r="880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</row>
    <row r="88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</row>
    <row r="882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</row>
    <row r="883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</row>
    <row r="884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</row>
    <row r="885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</row>
    <row r="886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</row>
    <row r="887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</row>
    <row r="888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</row>
    <row r="889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</row>
    <row r="890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</row>
    <row r="89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</row>
    <row r="892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</row>
    <row r="893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</row>
    <row r="894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</row>
    <row r="895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</row>
    <row r="896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</row>
    <row r="897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</row>
    <row r="898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</row>
    <row r="899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</row>
    <row r="900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</row>
    <row r="90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</row>
    <row r="902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</row>
    <row r="903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</row>
    <row r="904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</row>
    <row r="905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</row>
    <row r="906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</row>
    <row r="907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</row>
    <row r="908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</row>
    <row r="909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</row>
    <row r="910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</row>
    <row r="91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</row>
    <row r="912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</row>
    <row r="913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</row>
    <row r="914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</row>
    <row r="915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</row>
    <row r="916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</row>
    <row r="917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</row>
    <row r="918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</row>
    <row r="919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</row>
    <row r="920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</row>
    <row r="92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</row>
    <row r="922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</row>
    <row r="923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</row>
    <row r="924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</row>
    <row r="925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</row>
    <row r="926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</row>
    <row r="927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</row>
    <row r="928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</row>
    <row r="929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</row>
    <row r="930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</row>
    <row r="93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</row>
    <row r="932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</row>
    <row r="933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</row>
    <row r="934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</row>
    <row r="935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</row>
    <row r="936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</row>
    <row r="937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</row>
    <row r="938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</row>
    <row r="939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</row>
    <row r="940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</row>
    <row r="94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</row>
    <row r="942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</row>
    <row r="943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</row>
    <row r="944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</row>
    <row r="945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</row>
    <row r="946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</row>
    <row r="947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</row>
    <row r="948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</row>
    <row r="949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</row>
    <row r="950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</row>
    <row r="95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</row>
    <row r="952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</row>
    <row r="953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</row>
    <row r="954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</row>
    <row r="955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</row>
    <row r="956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</row>
    <row r="957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</row>
    <row r="958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</row>
    <row r="959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</row>
    <row r="960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</row>
    <row r="96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</row>
    <row r="962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</row>
    <row r="963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</row>
    <row r="964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</row>
    <row r="965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</row>
    <row r="966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</row>
    <row r="967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8.38"/>
    <col customWidth="1" min="3" max="3" width="16.88"/>
    <col customWidth="1" min="4" max="4" width="15.88"/>
    <col customWidth="1" min="6" max="6" width="14.63"/>
  </cols>
  <sheetData>
    <row r="1">
      <c r="A1" s="415">
        <v>0.0</v>
      </c>
      <c r="B1" s="416" t="s">
        <v>722</v>
      </c>
      <c r="C1" s="415" t="s">
        <v>2</v>
      </c>
      <c r="D1" s="415" t="s">
        <v>1288</v>
      </c>
      <c r="E1" s="415" t="s">
        <v>1289</v>
      </c>
      <c r="F1" s="416" t="s">
        <v>1290</v>
      </c>
      <c r="G1" s="416" t="s">
        <v>555</v>
      </c>
      <c r="H1" s="417"/>
      <c r="I1" s="182" t="s">
        <v>17</v>
      </c>
      <c r="J1" s="182" t="s">
        <v>18</v>
      </c>
      <c r="K1" s="182" t="s">
        <v>7</v>
      </c>
      <c r="L1" s="182" t="s">
        <v>8</v>
      </c>
      <c r="M1" s="182" t="s">
        <v>9</v>
      </c>
      <c r="N1" s="182" t="s">
        <v>10</v>
      </c>
      <c r="O1" s="182" t="s">
        <v>11</v>
      </c>
      <c r="P1" s="182" t="s">
        <v>12</v>
      </c>
    </row>
    <row r="2">
      <c r="A2" s="418" t="s">
        <v>744</v>
      </c>
      <c r="B2" s="418"/>
      <c r="C2" s="418"/>
      <c r="D2" s="418"/>
      <c r="E2" s="418"/>
      <c r="F2" s="418"/>
      <c r="G2" s="418"/>
    </row>
    <row r="3">
      <c r="A3" s="419" t="s">
        <v>721</v>
      </c>
      <c r="B3" s="419" t="s">
        <v>722</v>
      </c>
      <c r="C3" s="419" t="s">
        <v>1291</v>
      </c>
      <c r="D3" s="419" t="s">
        <v>1292</v>
      </c>
      <c r="E3" s="419" t="s">
        <v>1293</v>
      </c>
      <c r="F3" s="419" t="s">
        <v>1294</v>
      </c>
      <c r="G3" s="420"/>
    </row>
    <row r="4">
      <c r="A4" s="421">
        <v>1.0</v>
      </c>
      <c r="B4" s="422" t="s">
        <v>1295</v>
      </c>
      <c r="C4" s="421">
        <v>1.922789773E9</v>
      </c>
      <c r="D4" s="423">
        <v>44716.0</v>
      </c>
      <c r="E4" s="421" t="s">
        <v>746</v>
      </c>
      <c r="F4" s="421">
        <v>2500.0</v>
      </c>
      <c r="G4" s="125"/>
    </row>
    <row r="5">
      <c r="A5" s="421">
        <v>2.0</v>
      </c>
      <c r="B5" s="424" t="s">
        <v>1296</v>
      </c>
      <c r="C5" s="425">
        <v>1.521429522E9</v>
      </c>
      <c r="D5" s="426">
        <v>44716.0</v>
      </c>
      <c r="E5" s="425" t="s">
        <v>746</v>
      </c>
      <c r="F5" s="425">
        <v>2500.0</v>
      </c>
      <c r="G5" s="427" t="s">
        <v>982</v>
      </c>
    </row>
    <row r="6">
      <c r="A6" s="421">
        <v>3.0</v>
      </c>
      <c r="B6" s="422" t="s">
        <v>811</v>
      </c>
      <c r="C6" s="421">
        <v>1.833106263E9</v>
      </c>
      <c r="D6" s="423">
        <v>44719.0</v>
      </c>
      <c r="E6" s="421" t="s">
        <v>782</v>
      </c>
      <c r="F6" s="421">
        <v>6400.0</v>
      </c>
      <c r="G6" s="428" t="s">
        <v>1297</v>
      </c>
    </row>
    <row r="7">
      <c r="A7" s="421">
        <v>4.0</v>
      </c>
      <c r="B7" s="424" t="s">
        <v>1298</v>
      </c>
      <c r="C7" s="425">
        <v>1.710731157E9</v>
      </c>
      <c r="D7" s="426">
        <v>44726.0</v>
      </c>
      <c r="E7" s="425" t="s">
        <v>746</v>
      </c>
      <c r="F7" s="425">
        <v>2400.0</v>
      </c>
      <c r="G7" s="427" t="s">
        <v>982</v>
      </c>
      <c r="I7" s="182" t="s">
        <v>1299</v>
      </c>
    </row>
    <row r="8">
      <c r="A8" s="421">
        <v>5.0</v>
      </c>
      <c r="B8" s="422" t="s">
        <v>1300</v>
      </c>
      <c r="C8" s="421">
        <v>1.794625819E9</v>
      </c>
      <c r="D8" s="429">
        <v>44730.0</v>
      </c>
      <c r="E8" s="421" t="s">
        <v>746</v>
      </c>
      <c r="F8" s="421">
        <v>1500.0</v>
      </c>
      <c r="G8" s="430"/>
    </row>
    <row r="9">
      <c r="A9" s="421">
        <v>6.0</v>
      </c>
      <c r="B9" s="424" t="s">
        <v>1301</v>
      </c>
      <c r="C9" s="425">
        <v>1.778999786E9</v>
      </c>
      <c r="D9" s="426">
        <v>44734.0</v>
      </c>
      <c r="E9" s="425" t="s">
        <v>1302</v>
      </c>
      <c r="F9" s="425">
        <v>400.0</v>
      </c>
      <c r="G9" s="427" t="s">
        <v>982</v>
      </c>
    </row>
    <row r="10">
      <c r="A10" s="421">
        <v>7.0</v>
      </c>
      <c r="B10" s="424" t="s">
        <v>757</v>
      </c>
      <c r="C10" s="425">
        <v>1.729477574E9</v>
      </c>
      <c r="D10" s="426">
        <v>44734.0</v>
      </c>
      <c r="E10" s="425" t="s">
        <v>746</v>
      </c>
      <c r="F10" s="425">
        <v>1500.0</v>
      </c>
      <c r="G10" s="431" t="s">
        <v>982</v>
      </c>
    </row>
    <row r="11">
      <c r="A11" s="421">
        <v>8.0</v>
      </c>
      <c r="B11" s="422" t="s">
        <v>1303</v>
      </c>
      <c r="C11" s="421">
        <v>1.677378081E9</v>
      </c>
      <c r="D11" s="423">
        <v>44734.0</v>
      </c>
      <c r="E11" s="421" t="s">
        <v>746</v>
      </c>
      <c r="F11" s="421">
        <v>1500.0</v>
      </c>
      <c r="G11" s="136" t="s">
        <v>1297</v>
      </c>
    </row>
    <row r="12">
      <c r="A12" s="421">
        <v>9.0</v>
      </c>
      <c r="B12" s="424" t="s">
        <v>1304</v>
      </c>
      <c r="C12" s="425">
        <v>1.712055926E9</v>
      </c>
      <c r="D12" s="426">
        <v>44734.0</v>
      </c>
      <c r="E12" s="425" t="s">
        <v>746</v>
      </c>
      <c r="F12" s="425">
        <v>2150.0</v>
      </c>
      <c r="G12" s="431" t="s">
        <v>982</v>
      </c>
    </row>
    <row r="13">
      <c r="A13" s="421">
        <v>10.0</v>
      </c>
      <c r="B13" s="422" t="s">
        <v>1305</v>
      </c>
      <c r="C13" s="432"/>
      <c r="D13" s="423">
        <v>44735.0</v>
      </c>
      <c r="E13" s="421" t="s">
        <v>746</v>
      </c>
      <c r="F13" s="421">
        <v>1500.0</v>
      </c>
      <c r="G13" s="125"/>
    </row>
    <row r="14">
      <c r="A14" s="421">
        <v>11.0</v>
      </c>
      <c r="B14" s="422" t="s">
        <v>1306</v>
      </c>
      <c r="C14" s="421">
        <v>1.71563415E8</v>
      </c>
      <c r="D14" s="423">
        <v>44769.0</v>
      </c>
      <c r="E14" s="421" t="s">
        <v>746</v>
      </c>
      <c r="F14" s="421">
        <v>1500.0</v>
      </c>
      <c r="G14" s="125"/>
    </row>
    <row r="15">
      <c r="A15" s="421">
        <v>12.0</v>
      </c>
      <c r="B15" s="433" t="s">
        <v>1307</v>
      </c>
      <c r="C15" s="421">
        <v>1.819424482E9</v>
      </c>
      <c r="D15" s="423">
        <v>44738.0</v>
      </c>
      <c r="E15" s="421" t="s">
        <v>911</v>
      </c>
      <c r="F15" s="421">
        <v>7500.0</v>
      </c>
      <c r="G15" s="125"/>
    </row>
    <row r="16">
      <c r="A16" s="421">
        <v>13.0</v>
      </c>
      <c r="B16" s="422" t="s">
        <v>1308</v>
      </c>
      <c r="C16" s="421">
        <v>1.858249019E9</v>
      </c>
      <c r="D16" s="421" t="s">
        <v>1309</v>
      </c>
      <c r="E16" s="421" t="s">
        <v>746</v>
      </c>
      <c r="F16" s="421">
        <v>2000.0</v>
      </c>
      <c r="G16" s="125"/>
    </row>
    <row r="17">
      <c r="A17" s="421">
        <v>14.0</v>
      </c>
      <c r="B17" s="422" t="s">
        <v>1310</v>
      </c>
      <c r="C17" s="421">
        <v>1.674026672E9</v>
      </c>
      <c r="D17" s="421" t="s">
        <v>1309</v>
      </c>
      <c r="E17" s="421" t="s">
        <v>746</v>
      </c>
      <c r="F17" s="421">
        <v>2000.0</v>
      </c>
      <c r="G17" s="125"/>
    </row>
    <row r="18">
      <c r="A18" s="421">
        <v>15.0</v>
      </c>
      <c r="B18" s="422" t="s">
        <v>1311</v>
      </c>
      <c r="C18" s="421">
        <v>1.678083251E9</v>
      </c>
      <c r="D18" s="423">
        <v>44738.0</v>
      </c>
      <c r="E18" s="421" t="s">
        <v>746</v>
      </c>
      <c r="F18" s="421">
        <v>2000.0</v>
      </c>
      <c r="G18" s="125"/>
    </row>
    <row r="19">
      <c r="A19" s="421">
        <v>16.0</v>
      </c>
      <c r="B19" s="424" t="s">
        <v>1312</v>
      </c>
      <c r="C19" s="425">
        <v>1.772345276E9</v>
      </c>
      <c r="D19" s="426">
        <v>44738.0</v>
      </c>
      <c r="E19" s="425" t="s">
        <v>746</v>
      </c>
      <c r="F19" s="425">
        <v>2000.0</v>
      </c>
      <c r="G19" s="431" t="s">
        <v>982</v>
      </c>
    </row>
    <row r="20">
      <c r="A20" s="421">
        <v>17.0</v>
      </c>
      <c r="B20" s="434" t="s">
        <v>1313</v>
      </c>
      <c r="C20" s="421">
        <v>1.841977935E9</v>
      </c>
      <c r="D20" s="423">
        <v>44741.0</v>
      </c>
      <c r="E20" s="421" t="s">
        <v>746</v>
      </c>
      <c r="F20" s="421">
        <v>2000.0</v>
      </c>
      <c r="G20" s="125"/>
    </row>
    <row r="21">
      <c r="A21" s="421">
        <v>18.0</v>
      </c>
      <c r="B21" s="424" t="s">
        <v>1314</v>
      </c>
      <c r="C21" s="425">
        <v>1.680990332E9</v>
      </c>
      <c r="D21" s="426">
        <v>44741.0</v>
      </c>
      <c r="E21" s="425" t="s">
        <v>746</v>
      </c>
      <c r="F21" s="425">
        <v>2000.0</v>
      </c>
      <c r="G21" s="431" t="s">
        <v>982</v>
      </c>
    </row>
    <row r="22">
      <c r="A22" s="421">
        <v>19.0</v>
      </c>
      <c r="B22" s="424" t="s">
        <v>1315</v>
      </c>
      <c r="C22" s="425">
        <v>1.811907908E9</v>
      </c>
      <c r="D22" s="426">
        <v>44741.0</v>
      </c>
      <c r="E22" s="425" t="s">
        <v>746</v>
      </c>
      <c r="F22" s="425">
        <v>2000.0</v>
      </c>
      <c r="G22" s="431" t="s">
        <v>982</v>
      </c>
    </row>
    <row r="23">
      <c r="A23" s="421">
        <v>20.0</v>
      </c>
      <c r="B23" s="422" t="s">
        <v>1316</v>
      </c>
      <c r="C23" s="421">
        <v>1.711960351E9</v>
      </c>
      <c r="D23" s="423">
        <v>44742.0</v>
      </c>
      <c r="E23" s="421" t="s">
        <v>782</v>
      </c>
      <c r="F23" s="421">
        <v>5000.0</v>
      </c>
      <c r="G23" s="136" t="s">
        <v>1297</v>
      </c>
    </row>
    <row r="24">
      <c r="A24" s="421">
        <v>21.0</v>
      </c>
      <c r="B24" s="422" t="s">
        <v>1317</v>
      </c>
      <c r="C24" s="421">
        <v>1.914330894E9</v>
      </c>
      <c r="D24" s="423">
        <v>44742.0</v>
      </c>
      <c r="E24" s="421" t="s">
        <v>782</v>
      </c>
      <c r="F24" s="421">
        <v>5000.0</v>
      </c>
      <c r="G24" s="125"/>
    </row>
    <row r="25">
      <c r="A25" s="421">
        <v>22.0</v>
      </c>
      <c r="B25" s="422" t="s">
        <v>1318</v>
      </c>
      <c r="C25" s="421">
        <v>1.819814702E9</v>
      </c>
      <c r="D25" s="423">
        <v>44742.0</v>
      </c>
      <c r="E25" s="421" t="s">
        <v>746</v>
      </c>
      <c r="F25" s="421">
        <v>2000.0</v>
      </c>
      <c r="G25" s="125"/>
    </row>
    <row r="26">
      <c r="A26" s="421">
        <v>23.0</v>
      </c>
      <c r="B26" s="433" t="s">
        <v>1319</v>
      </c>
      <c r="C26" s="421">
        <v>1.942303259E9</v>
      </c>
      <c r="D26" s="423">
        <v>44744.0</v>
      </c>
      <c r="E26" s="421" t="s">
        <v>746</v>
      </c>
      <c r="F26" s="421">
        <v>3000.0</v>
      </c>
      <c r="G26" s="125"/>
    </row>
    <row r="27">
      <c r="A27" s="421">
        <v>24.0</v>
      </c>
      <c r="B27" s="422" t="s">
        <v>1320</v>
      </c>
      <c r="C27" s="421">
        <v>1.9266716E9</v>
      </c>
      <c r="D27" s="423">
        <v>44745.0</v>
      </c>
      <c r="E27" s="421" t="s">
        <v>782</v>
      </c>
      <c r="F27" s="421">
        <v>5500.0</v>
      </c>
      <c r="G27" s="136" t="s">
        <v>1297</v>
      </c>
    </row>
    <row r="28">
      <c r="A28" s="421">
        <v>25.0</v>
      </c>
      <c r="B28" s="422" t="s">
        <v>1321</v>
      </c>
      <c r="C28" s="421">
        <v>1.711285921E9</v>
      </c>
      <c r="D28" s="423">
        <v>44745.0</v>
      </c>
      <c r="E28" s="421" t="s">
        <v>746</v>
      </c>
      <c r="F28" s="421">
        <v>3000.0</v>
      </c>
      <c r="G28" s="125"/>
    </row>
    <row r="29">
      <c r="A29" s="421">
        <v>26.0</v>
      </c>
      <c r="B29" s="434" t="s">
        <v>1322</v>
      </c>
      <c r="C29" s="421">
        <v>1.552320738E9</v>
      </c>
      <c r="D29" s="423">
        <v>44746.0</v>
      </c>
      <c r="E29" s="421" t="s">
        <v>746</v>
      </c>
      <c r="F29" s="421">
        <v>3000.0</v>
      </c>
      <c r="G29" s="125"/>
    </row>
    <row r="30">
      <c r="A30" s="421">
        <v>27.0</v>
      </c>
      <c r="B30" s="424" t="s">
        <v>1323</v>
      </c>
      <c r="C30" s="421">
        <v>1.796590777E9</v>
      </c>
      <c r="D30" s="423">
        <v>44760.0</v>
      </c>
      <c r="E30" s="421" t="s">
        <v>746</v>
      </c>
      <c r="F30" s="421">
        <v>2500.0</v>
      </c>
      <c r="G30" s="125"/>
    </row>
    <row r="31">
      <c r="A31" s="421">
        <v>28.0</v>
      </c>
      <c r="B31" s="434" t="s">
        <v>1324</v>
      </c>
      <c r="C31" s="421">
        <v>1.730858831E9</v>
      </c>
      <c r="D31" s="423">
        <v>44760.0</v>
      </c>
      <c r="E31" s="421" t="s">
        <v>746</v>
      </c>
      <c r="F31" s="421">
        <v>3000.0</v>
      </c>
      <c r="G31" s="125"/>
    </row>
    <row r="32">
      <c r="A32" s="421">
        <v>29.0</v>
      </c>
      <c r="B32" s="422" t="s">
        <v>1325</v>
      </c>
      <c r="C32" s="421">
        <v>1.720507776E9</v>
      </c>
      <c r="D32" s="423">
        <v>44763.0</v>
      </c>
      <c r="E32" s="421" t="s">
        <v>746</v>
      </c>
      <c r="F32" s="421">
        <v>3000.0</v>
      </c>
      <c r="G32" s="125"/>
    </row>
    <row r="33">
      <c r="A33" s="421">
        <v>30.0</v>
      </c>
      <c r="B33" s="435" t="s">
        <v>1326</v>
      </c>
      <c r="C33" s="421"/>
      <c r="D33" s="423">
        <v>44763.0</v>
      </c>
      <c r="E33" s="421" t="s">
        <v>746</v>
      </c>
      <c r="F33" s="421">
        <v>2500.0</v>
      </c>
      <c r="G33" s="125"/>
    </row>
    <row r="34">
      <c r="A34" s="421">
        <v>31.0</v>
      </c>
      <c r="B34" s="422" t="s">
        <v>1327</v>
      </c>
      <c r="C34" s="421">
        <v>1.312241571E9</v>
      </c>
      <c r="D34" s="423">
        <v>44767.0</v>
      </c>
      <c r="E34" s="421" t="s">
        <v>746</v>
      </c>
      <c r="F34" s="421">
        <v>2500.0</v>
      </c>
      <c r="G34" s="125"/>
    </row>
    <row r="35">
      <c r="A35" s="421">
        <v>32.0</v>
      </c>
      <c r="B35" s="435" t="s">
        <v>1328</v>
      </c>
      <c r="C35" s="363">
        <v>1.761753437E9</v>
      </c>
      <c r="D35" s="436">
        <v>44768.0</v>
      </c>
      <c r="E35" s="421" t="s">
        <v>746</v>
      </c>
      <c r="F35" s="293"/>
      <c r="G35" s="182" t="s">
        <v>1297</v>
      </c>
    </row>
    <row r="36">
      <c r="A36" s="421">
        <v>33.0</v>
      </c>
      <c r="B36" s="281" t="s">
        <v>1329</v>
      </c>
      <c r="C36" s="363">
        <v>1.719033487E9</v>
      </c>
      <c r="D36" s="437">
        <v>44772.0</v>
      </c>
      <c r="E36" s="421" t="s">
        <v>746</v>
      </c>
      <c r="F36" s="438">
        <v>3000.0</v>
      </c>
    </row>
    <row r="37">
      <c r="A37" s="421">
        <v>34.0</v>
      </c>
      <c r="B37" s="439" t="s">
        <v>1330</v>
      </c>
      <c r="C37" s="363">
        <v>1.310979015E9</v>
      </c>
      <c r="D37" s="440">
        <v>44776.0</v>
      </c>
      <c r="E37" s="421" t="s">
        <v>746</v>
      </c>
      <c r="F37" s="441">
        <v>2000.0</v>
      </c>
    </row>
    <row r="38">
      <c r="A38" s="421">
        <v>35.0</v>
      </c>
      <c r="B38" s="442" t="s">
        <v>1331</v>
      </c>
      <c r="C38" s="363">
        <v>1.511302604E9</v>
      </c>
      <c r="D38" s="440">
        <v>44779.0</v>
      </c>
      <c r="E38" s="421" t="s">
        <v>746</v>
      </c>
      <c r="F38" s="441">
        <v>2000.0</v>
      </c>
      <c r="G38" s="182" t="s">
        <v>1297</v>
      </c>
    </row>
    <row r="39">
      <c r="A39" s="421">
        <v>36.0</v>
      </c>
      <c r="B39" s="443" t="s">
        <v>1332</v>
      </c>
      <c r="C39" s="363">
        <v>1.612165121E9</v>
      </c>
      <c r="D39" s="440">
        <v>44779.0</v>
      </c>
      <c r="E39" s="421" t="s">
        <v>746</v>
      </c>
      <c r="F39" s="441">
        <v>2000.0</v>
      </c>
      <c r="G39" s="182" t="s">
        <v>1297</v>
      </c>
    </row>
    <row r="40">
      <c r="A40" s="421">
        <v>37.0</v>
      </c>
      <c r="B40" s="443" t="s">
        <v>1333</v>
      </c>
      <c r="C40" s="363">
        <v>1.746332134E9</v>
      </c>
      <c r="D40" s="440">
        <v>44780.0</v>
      </c>
      <c r="E40" s="421" t="s">
        <v>746</v>
      </c>
      <c r="F40" s="441">
        <v>1000.0</v>
      </c>
    </row>
    <row r="41">
      <c r="A41" s="421">
        <v>38.0</v>
      </c>
      <c r="B41" s="444" t="s">
        <v>1334</v>
      </c>
      <c r="C41" s="363">
        <v>1.730858831E9</v>
      </c>
      <c r="D41" s="440">
        <v>44780.0</v>
      </c>
      <c r="E41" s="421" t="s">
        <v>746</v>
      </c>
      <c r="F41" s="441">
        <v>3000.0</v>
      </c>
    </row>
    <row r="42">
      <c r="A42" s="421">
        <v>39.0</v>
      </c>
      <c r="B42" s="439" t="s">
        <v>1335</v>
      </c>
      <c r="C42" s="363">
        <v>1.796590777E9</v>
      </c>
      <c r="D42" s="440">
        <v>44780.0</v>
      </c>
      <c r="E42" s="421" t="s">
        <v>746</v>
      </c>
      <c r="F42" s="441">
        <v>2500.0</v>
      </c>
    </row>
    <row r="43">
      <c r="A43" s="421">
        <v>40.0</v>
      </c>
      <c r="B43" s="442" t="s">
        <v>1336</v>
      </c>
      <c r="C43" s="363">
        <v>1.746332134E9</v>
      </c>
      <c r="D43" s="440">
        <v>44780.0</v>
      </c>
      <c r="E43" s="421" t="s">
        <v>746</v>
      </c>
      <c r="F43" s="441">
        <v>0.0</v>
      </c>
      <c r="G43" s="182" t="s">
        <v>1297</v>
      </c>
    </row>
    <row r="44">
      <c r="A44" s="441">
        <v>41.0</v>
      </c>
      <c r="B44" s="281" t="s">
        <v>1337</v>
      </c>
      <c r="C44" s="363">
        <v>1.819492627E9</v>
      </c>
      <c r="D44" s="440">
        <v>44781.0</v>
      </c>
      <c r="E44" s="363" t="s">
        <v>911</v>
      </c>
      <c r="F44" s="363">
        <v>6000.0</v>
      </c>
    </row>
    <row r="45">
      <c r="A45" s="441">
        <v>42.0</v>
      </c>
      <c r="B45" s="445" t="s">
        <v>1338</v>
      </c>
      <c r="C45" s="363">
        <v>1.955900062E9</v>
      </c>
      <c r="D45" s="437">
        <v>44782.0</v>
      </c>
      <c r="E45" s="363" t="s">
        <v>746</v>
      </c>
      <c r="F45" s="363">
        <v>2500.0</v>
      </c>
    </row>
    <row r="46">
      <c r="A46" s="363">
        <v>43.0</v>
      </c>
      <c r="B46" s="182" t="s">
        <v>1339</v>
      </c>
      <c r="C46" s="363">
        <v>1.83318239E9</v>
      </c>
      <c r="D46" s="437">
        <v>44793.0</v>
      </c>
      <c r="E46" s="363" t="s">
        <v>746</v>
      </c>
      <c r="F46" s="363">
        <v>2500.0</v>
      </c>
    </row>
    <row r="47">
      <c r="A47" s="441">
        <v>44.0</v>
      </c>
      <c r="B47" s="446" t="s">
        <v>1340</v>
      </c>
      <c r="C47" s="293"/>
      <c r="D47" s="447">
        <v>44793.0</v>
      </c>
      <c r="E47" s="363" t="s">
        <v>746</v>
      </c>
      <c r="F47" s="363">
        <v>7000.0</v>
      </c>
    </row>
    <row r="48">
      <c r="A48" s="441">
        <v>45.0</v>
      </c>
      <c r="B48" s="281" t="s">
        <v>1341</v>
      </c>
      <c r="C48" s="293"/>
      <c r="D48" s="440">
        <v>44794.0</v>
      </c>
      <c r="E48" s="363" t="s">
        <v>746</v>
      </c>
      <c r="F48" s="363">
        <v>2500.0</v>
      </c>
    </row>
    <row r="49">
      <c r="A49" s="363">
        <v>46.0</v>
      </c>
      <c r="B49" s="281" t="s">
        <v>1342</v>
      </c>
      <c r="C49" s="293"/>
      <c r="D49" s="448">
        <v>44804.0</v>
      </c>
      <c r="E49" s="363" t="s">
        <v>746</v>
      </c>
      <c r="F49" s="363">
        <v>3000.0</v>
      </c>
    </row>
    <row r="50">
      <c r="A50" s="441">
        <v>47.0</v>
      </c>
      <c r="B50" s="281" t="s">
        <v>910</v>
      </c>
      <c r="C50" s="293"/>
      <c r="D50" s="448">
        <v>44804.0</v>
      </c>
      <c r="E50" s="363" t="s">
        <v>746</v>
      </c>
      <c r="F50" s="363">
        <v>2000.0</v>
      </c>
    </row>
    <row r="51">
      <c r="A51" s="441">
        <v>48.0</v>
      </c>
      <c r="B51" s="281" t="s">
        <v>1343</v>
      </c>
      <c r="C51" s="293"/>
      <c r="D51" s="448">
        <v>44804.0</v>
      </c>
      <c r="E51" s="363" t="s">
        <v>746</v>
      </c>
      <c r="F51" s="363">
        <v>2000.0</v>
      </c>
    </row>
    <row r="52">
      <c r="A52" s="363">
        <v>49.0</v>
      </c>
      <c r="B52" s="281" t="s">
        <v>1344</v>
      </c>
      <c r="C52" s="293"/>
      <c r="D52" s="448">
        <v>44804.0</v>
      </c>
      <c r="E52" s="363" t="s">
        <v>746</v>
      </c>
      <c r="F52" s="363">
        <v>2000.0</v>
      </c>
    </row>
    <row r="53">
      <c r="A53" s="441">
        <v>50.0</v>
      </c>
      <c r="B53" s="281" t="s">
        <v>1345</v>
      </c>
      <c r="C53" s="293"/>
      <c r="D53" s="437">
        <v>44807.0</v>
      </c>
      <c r="E53" s="363" t="s">
        <v>746</v>
      </c>
      <c r="F53" s="363">
        <v>2500.0</v>
      </c>
    </row>
    <row r="54">
      <c r="A54" s="441">
        <v>51.0</v>
      </c>
      <c r="B54" s="281" t="s">
        <v>1346</v>
      </c>
      <c r="C54" s="293"/>
      <c r="D54" s="437">
        <v>44814.0</v>
      </c>
      <c r="E54" s="363" t="s">
        <v>746</v>
      </c>
      <c r="F54" s="363">
        <v>3000.0</v>
      </c>
    </row>
    <row r="55">
      <c r="A55" s="441">
        <v>52.0</v>
      </c>
      <c r="B55" s="281" t="s">
        <v>1347</v>
      </c>
      <c r="C55" s="293"/>
      <c r="D55" s="437">
        <v>44817.0</v>
      </c>
      <c r="E55" s="363" t="s">
        <v>746</v>
      </c>
      <c r="F55" s="363">
        <v>2000.0</v>
      </c>
    </row>
    <row r="56">
      <c r="A56" s="441">
        <v>53.0</v>
      </c>
      <c r="B56" s="281" t="s">
        <v>1348</v>
      </c>
      <c r="C56" s="293"/>
      <c r="D56" s="437">
        <v>44817.0</v>
      </c>
      <c r="E56" s="363" t="s">
        <v>746</v>
      </c>
      <c r="F56" s="363">
        <v>2000.0</v>
      </c>
    </row>
    <row r="57">
      <c r="A57" s="441">
        <v>54.0</v>
      </c>
      <c r="B57" s="281" t="s">
        <v>1349</v>
      </c>
      <c r="C57" s="293"/>
      <c r="D57" s="437">
        <v>44817.0</v>
      </c>
      <c r="E57" s="363" t="s">
        <v>746</v>
      </c>
      <c r="F57" s="363">
        <v>2000.0</v>
      </c>
    </row>
    <row r="58">
      <c r="A58" s="441">
        <v>55.0</v>
      </c>
      <c r="B58" s="442" t="s">
        <v>1350</v>
      </c>
      <c r="C58" s="293"/>
      <c r="D58" s="440">
        <v>44818.0</v>
      </c>
      <c r="E58" s="363" t="s">
        <v>746</v>
      </c>
      <c r="F58" s="363">
        <v>2000.0</v>
      </c>
    </row>
    <row r="59">
      <c r="A59" s="441">
        <v>56.0</v>
      </c>
      <c r="B59" s="442" t="s">
        <v>1351</v>
      </c>
      <c r="C59" s="293"/>
      <c r="D59" s="440">
        <v>44818.0</v>
      </c>
      <c r="E59" s="363" t="s">
        <v>746</v>
      </c>
      <c r="F59" s="363">
        <v>2000.0</v>
      </c>
    </row>
    <row r="60">
      <c r="C60" s="293"/>
      <c r="D60" s="293"/>
      <c r="E60" s="293"/>
    </row>
    <row r="61">
      <c r="A61" s="293"/>
      <c r="C61" s="293"/>
      <c r="D61" s="293"/>
      <c r="E61" s="293"/>
    </row>
    <row r="62">
      <c r="A62" s="293"/>
      <c r="C62" s="293"/>
      <c r="D62" s="293"/>
      <c r="E62" s="293"/>
    </row>
    <row r="63">
      <c r="A63" s="293"/>
      <c r="C63" s="363" t="s">
        <v>260</v>
      </c>
      <c r="D63" s="363">
        <v>2023.0</v>
      </c>
      <c r="E63" s="293"/>
    </row>
    <row r="64">
      <c r="A64" s="418" t="s">
        <v>744</v>
      </c>
      <c r="B64" s="418"/>
      <c r="C64" s="418"/>
      <c r="D64" s="418"/>
      <c r="E64" s="418"/>
      <c r="F64" s="418"/>
      <c r="G64" s="418"/>
    </row>
    <row r="65">
      <c r="A65" s="419" t="s">
        <v>1352</v>
      </c>
      <c r="B65" s="449" t="s">
        <v>722</v>
      </c>
      <c r="C65" s="449" t="s">
        <v>1291</v>
      </c>
      <c r="D65" s="449" t="s">
        <v>1292</v>
      </c>
      <c r="E65" s="449" t="s">
        <v>1293</v>
      </c>
      <c r="F65" s="449" t="s">
        <v>1353</v>
      </c>
      <c r="G65" s="450" t="s">
        <v>3</v>
      </c>
      <c r="H65" s="389"/>
      <c r="I65" s="185" t="s">
        <v>17</v>
      </c>
      <c r="J65" s="185" t="s">
        <v>18</v>
      </c>
      <c r="K65" s="185" t="s">
        <v>7</v>
      </c>
      <c r="L65" s="185" t="s">
        <v>8</v>
      </c>
      <c r="M65" s="185" t="s">
        <v>9</v>
      </c>
      <c r="N65" s="185" t="s">
        <v>10</v>
      </c>
      <c r="O65" s="185" t="s">
        <v>11</v>
      </c>
      <c r="P65" s="185" t="s">
        <v>12</v>
      </c>
    </row>
    <row r="66">
      <c r="A66" s="421">
        <v>1.0</v>
      </c>
      <c r="B66" s="451" t="s">
        <v>1354</v>
      </c>
      <c r="C66" s="409">
        <v>1.810017637E9</v>
      </c>
      <c r="D66" s="452">
        <v>45046.0</v>
      </c>
      <c r="E66" s="409" t="s">
        <v>746</v>
      </c>
      <c r="F66" s="185">
        <v>3000.0</v>
      </c>
      <c r="G66" s="409">
        <v>3500.0</v>
      </c>
      <c r="H66" s="389"/>
      <c r="I66" s="409">
        <v>3000.0</v>
      </c>
      <c r="J66" s="409">
        <v>2500.0</v>
      </c>
      <c r="K66" s="185">
        <v>2500.0</v>
      </c>
      <c r="L66" s="389"/>
      <c r="M66" s="389"/>
      <c r="N66" s="389"/>
      <c r="O66" s="389"/>
      <c r="P66" s="389"/>
    </row>
    <row r="67">
      <c r="A67" s="363">
        <v>2.0</v>
      </c>
      <c r="B67" s="185" t="s">
        <v>1355</v>
      </c>
      <c r="C67" s="409">
        <v>1.883894697E9</v>
      </c>
      <c r="D67" s="452">
        <v>45048.0</v>
      </c>
      <c r="E67" s="409" t="s">
        <v>746</v>
      </c>
      <c r="F67" s="185">
        <v>3000.0</v>
      </c>
      <c r="G67" s="409">
        <v>3500.0</v>
      </c>
      <c r="H67" s="389"/>
      <c r="I67" s="409">
        <v>2500.0</v>
      </c>
      <c r="J67" s="409">
        <v>3000.0</v>
      </c>
      <c r="K67" s="185">
        <v>3000.0</v>
      </c>
      <c r="L67" s="389"/>
      <c r="M67" s="389"/>
      <c r="N67" s="389"/>
      <c r="O67" s="389"/>
      <c r="P67" s="389"/>
    </row>
    <row r="68">
      <c r="A68" s="421">
        <v>3.0</v>
      </c>
      <c r="B68" s="185" t="s">
        <v>1356</v>
      </c>
      <c r="C68" s="409">
        <v>1.62610021E9</v>
      </c>
      <c r="D68" s="452">
        <v>45048.0</v>
      </c>
      <c r="E68" s="409" t="s">
        <v>746</v>
      </c>
      <c r="F68" s="185">
        <v>3000.0</v>
      </c>
      <c r="G68" s="409">
        <v>3000.0</v>
      </c>
      <c r="H68" s="185" t="s">
        <v>1357</v>
      </c>
      <c r="I68" s="409" t="s">
        <v>35</v>
      </c>
      <c r="J68" s="409" t="s">
        <v>35</v>
      </c>
      <c r="K68" s="185" t="s">
        <v>35</v>
      </c>
      <c r="L68" s="389"/>
      <c r="M68" s="389"/>
      <c r="N68" s="389"/>
      <c r="O68" s="389"/>
      <c r="P68" s="389"/>
    </row>
    <row r="69">
      <c r="A69" s="363"/>
      <c r="B69" s="453"/>
      <c r="C69" s="454"/>
      <c r="D69" s="409" t="s">
        <v>1358</v>
      </c>
      <c r="E69" s="409"/>
      <c r="F69" s="185"/>
      <c r="G69" s="409"/>
      <c r="H69" s="185"/>
      <c r="I69" s="409"/>
      <c r="J69" s="409"/>
      <c r="K69" s="389"/>
      <c r="L69" s="389"/>
      <c r="M69" s="389"/>
      <c r="N69" s="389"/>
      <c r="O69" s="389"/>
      <c r="P69" s="389"/>
    </row>
    <row r="70">
      <c r="A70" s="363">
        <v>4.0</v>
      </c>
      <c r="B70" s="453" t="s">
        <v>1325</v>
      </c>
      <c r="C70" s="454">
        <v>1.302674848E9</v>
      </c>
      <c r="D70" s="452">
        <v>45060.0</v>
      </c>
      <c r="E70" s="409" t="s">
        <v>746</v>
      </c>
      <c r="F70" s="185">
        <v>3000.0</v>
      </c>
      <c r="G70" s="409" t="s">
        <v>1359</v>
      </c>
      <c r="H70" s="185" t="s">
        <v>1360</v>
      </c>
      <c r="I70" s="409" t="s">
        <v>47</v>
      </c>
      <c r="J70" s="409">
        <v>3000.0</v>
      </c>
      <c r="K70" s="185">
        <v>3000.0</v>
      </c>
      <c r="L70" s="185" t="s">
        <v>37</v>
      </c>
      <c r="M70" s="389"/>
      <c r="N70" s="389"/>
      <c r="O70" s="389"/>
      <c r="P70" s="389"/>
    </row>
    <row r="71">
      <c r="A71" s="454">
        <v>5.0</v>
      </c>
      <c r="B71" s="185" t="s">
        <v>1361</v>
      </c>
      <c r="C71" s="409">
        <v>1.919825252E9</v>
      </c>
      <c r="D71" s="452">
        <v>45069.0</v>
      </c>
      <c r="E71" s="289"/>
      <c r="F71" s="185">
        <v>3000.0</v>
      </c>
      <c r="G71" s="409" t="s">
        <v>1362</v>
      </c>
      <c r="H71" s="389"/>
      <c r="I71" s="409" t="s">
        <v>47</v>
      </c>
      <c r="J71" s="409">
        <v>3000.0</v>
      </c>
      <c r="K71" s="455">
        <v>2500.0</v>
      </c>
      <c r="L71" s="185">
        <v>2500.0</v>
      </c>
      <c r="M71" s="185">
        <v>2000.0</v>
      </c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</row>
    <row r="72">
      <c r="A72" s="363">
        <v>6.0</v>
      </c>
      <c r="B72" s="185" t="s">
        <v>1363</v>
      </c>
      <c r="C72" s="409">
        <v>1.957523138E9</v>
      </c>
      <c r="D72" s="452">
        <v>45074.0</v>
      </c>
      <c r="E72" s="409" t="s">
        <v>746</v>
      </c>
      <c r="F72" s="185">
        <v>3000.0</v>
      </c>
      <c r="G72" s="409">
        <v>1500.0</v>
      </c>
      <c r="H72" s="389"/>
      <c r="I72" s="409" t="s">
        <v>47</v>
      </c>
      <c r="J72" s="409">
        <v>3000.0</v>
      </c>
      <c r="K72" s="185" t="s">
        <v>35</v>
      </c>
      <c r="L72" s="389"/>
      <c r="M72" s="389"/>
      <c r="N72" s="389"/>
      <c r="O72" s="389"/>
      <c r="P72" s="389"/>
    </row>
    <row r="73">
      <c r="A73" s="421">
        <v>7.0</v>
      </c>
      <c r="B73" s="185" t="s">
        <v>1364</v>
      </c>
      <c r="C73" s="409">
        <v>1.552601037E9</v>
      </c>
      <c r="D73" s="452">
        <v>45075.0</v>
      </c>
      <c r="E73" s="409" t="s">
        <v>746</v>
      </c>
      <c r="F73" s="185">
        <v>3000.0</v>
      </c>
      <c r="G73" s="409">
        <v>3000.0</v>
      </c>
      <c r="H73" s="389"/>
      <c r="I73" s="409" t="s">
        <v>47</v>
      </c>
      <c r="J73" s="409">
        <v>3000.0</v>
      </c>
      <c r="K73" s="409">
        <v>3000.0</v>
      </c>
      <c r="L73" s="389"/>
      <c r="M73" s="389"/>
      <c r="N73" s="389"/>
      <c r="O73" s="389"/>
      <c r="P73" s="389"/>
    </row>
    <row r="74">
      <c r="A74" s="421">
        <v>8.0</v>
      </c>
      <c r="B74" s="185" t="s">
        <v>1365</v>
      </c>
      <c r="C74" s="409">
        <v>1.73057597E9</v>
      </c>
      <c r="D74" s="452">
        <v>45076.0</v>
      </c>
      <c r="E74" s="409" t="s">
        <v>746</v>
      </c>
      <c r="F74" s="185">
        <v>3000.0</v>
      </c>
      <c r="G74" s="409">
        <v>1000.0</v>
      </c>
      <c r="H74" s="389"/>
      <c r="I74" s="409" t="s">
        <v>47</v>
      </c>
      <c r="J74" s="409">
        <v>3000.0</v>
      </c>
      <c r="K74" s="185" t="s">
        <v>35</v>
      </c>
      <c r="L74" s="389"/>
      <c r="M74" s="389"/>
      <c r="N74" s="389"/>
      <c r="O74" s="389"/>
      <c r="P74" s="389"/>
    </row>
    <row r="75"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</row>
    <row r="76"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</row>
    <row r="77"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185">
        <v>15500.0</v>
      </c>
      <c r="M77" s="185">
        <v>3000.0</v>
      </c>
      <c r="N77" s="185">
        <v>12000.0</v>
      </c>
      <c r="O77" s="389"/>
      <c r="P77" s="389"/>
    </row>
    <row r="78"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</row>
    <row r="79"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</row>
    <row r="80"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</row>
    <row r="81">
      <c r="A81" s="415">
        <v>0.0</v>
      </c>
      <c r="B81" s="185" t="s">
        <v>722</v>
      </c>
      <c r="C81" s="409" t="s">
        <v>2</v>
      </c>
      <c r="D81" s="409" t="s">
        <v>1288</v>
      </c>
      <c r="E81" s="409" t="s">
        <v>1289</v>
      </c>
      <c r="F81" s="185" t="s">
        <v>1290</v>
      </c>
      <c r="G81" s="185" t="s">
        <v>555</v>
      </c>
      <c r="H81" s="389"/>
      <c r="I81" s="185" t="s">
        <v>17</v>
      </c>
      <c r="J81" s="185" t="s">
        <v>18</v>
      </c>
      <c r="K81" s="185" t="s">
        <v>7</v>
      </c>
      <c r="L81" s="185" t="s">
        <v>8</v>
      </c>
      <c r="M81" s="185" t="s">
        <v>9</v>
      </c>
      <c r="N81" s="185" t="s">
        <v>10</v>
      </c>
      <c r="O81" s="185" t="s">
        <v>11</v>
      </c>
      <c r="P81" s="185" t="s">
        <v>12</v>
      </c>
    </row>
    <row r="82">
      <c r="A82" s="363">
        <v>9.0</v>
      </c>
      <c r="B82" s="185" t="s">
        <v>1366</v>
      </c>
      <c r="C82" s="409"/>
      <c r="D82" s="456">
        <v>45081.0</v>
      </c>
      <c r="E82" s="409" t="s">
        <v>746</v>
      </c>
      <c r="F82" s="185">
        <v>3000.0</v>
      </c>
      <c r="G82" s="409">
        <v>3000.0</v>
      </c>
      <c r="H82" s="185"/>
      <c r="I82" s="409" t="s">
        <v>47</v>
      </c>
      <c r="J82" s="409" t="s">
        <v>35</v>
      </c>
      <c r="K82" s="185" t="s">
        <v>35</v>
      </c>
      <c r="L82" s="389"/>
      <c r="M82" s="389"/>
      <c r="N82" s="389"/>
      <c r="O82" s="389"/>
      <c r="P82" s="389"/>
    </row>
    <row r="83">
      <c r="A83" s="421">
        <v>10.0</v>
      </c>
      <c r="B83" s="185" t="s">
        <v>1367</v>
      </c>
      <c r="C83" s="409">
        <v>1.794625819E9</v>
      </c>
      <c r="D83" s="456">
        <v>45084.0</v>
      </c>
      <c r="E83" s="409" t="s">
        <v>1368</v>
      </c>
      <c r="F83" s="185">
        <v>2000.0</v>
      </c>
      <c r="G83" s="409" t="s">
        <v>1369</v>
      </c>
      <c r="H83" s="185" t="s">
        <v>1370</v>
      </c>
      <c r="I83" s="409" t="s">
        <v>47</v>
      </c>
      <c r="J83" s="409">
        <v>2000.0</v>
      </c>
      <c r="K83" s="185">
        <v>2000.0</v>
      </c>
      <c r="L83" s="389"/>
      <c r="M83" s="389"/>
      <c r="N83" s="389"/>
      <c r="O83" s="389"/>
      <c r="P83" s="389"/>
    </row>
    <row r="84">
      <c r="A84" s="363">
        <v>11.0</v>
      </c>
      <c r="B84" s="185" t="s">
        <v>1371</v>
      </c>
      <c r="C84" s="457">
        <v>1.673597548E9</v>
      </c>
      <c r="D84" s="456">
        <v>45085.0</v>
      </c>
      <c r="E84" s="409" t="s">
        <v>1368</v>
      </c>
      <c r="F84" s="185">
        <v>3000.0</v>
      </c>
      <c r="G84" s="409" t="s">
        <v>1369</v>
      </c>
      <c r="H84" s="185" t="s">
        <v>1370</v>
      </c>
      <c r="I84" s="409" t="s">
        <v>47</v>
      </c>
      <c r="J84" s="409">
        <v>3000.0</v>
      </c>
      <c r="K84" s="185">
        <v>2500.0</v>
      </c>
      <c r="L84" s="185">
        <v>2500.0</v>
      </c>
      <c r="M84" s="389"/>
      <c r="N84" s="389"/>
      <c r="O84" s="389"/>
      <c r="P84" s="389"/>
    </row>
    <row r="85">
      <c r="A85" s="421">
        <v>12.0</v>
      </c>
      <c r="B85" s="185" t="s">
        <v>1372</v>
      </c>
      <c r="C85" s="409">
        <v>1.552426976E9</v>
      </c>
      <c r="D85" s="456">
        <v>45086.0</v>
      </c>
      <c r="E85" s="409" t="s">
        <v>746</v>
      </c>
      <c r="F85" s="185">
        <v>2500.0</v>
      </c>
      <c r="G85" s="409">
        <v>3000.0</v>
      </c>
      <c r="H85" s="389"/>
      <c r="I85" s="409" t="s">
        <v>47</v>
      </c>
      <c r="J85" s="409">
        <v>2500.0</v>
      </c>
      <c r="K85" s="185">
        <v>2500.0</v>
      </c>
      <c r="L85" s="185">
        <v>2500.0</v>
      </c>
      <c r="M85" s="389"/>
      <c r="N85" s="389"/>
      <c r="O85" s="389"/>
      <c r="P85" s="389"/>
    </row>
    <row r="86">
      <c r="A86" s="363">
        <v>13.0</v>
      </c>
      <c r="B86" s="185" t="s">
        <v>1373</v>
      </c>
      <c r="C86" s="409">
        <v>1.841855687E9</v>
      </c>
      <c r="D86" s="452">
        <v>45088.0</v>
      </c>
      <c r="E86" s="409" t="s">
        <v>1374</v>
      </c>
      <c r="F86" s="185">
        <v>9000.0</v>
      </c>
      <c r="G86" s="409" t="s">
        <v>47</v>
      </c>
      <c r="H86" s="389"/>
      <c r="I86" s="409"/>
      <c r="J86" s="185">
        <v>9000.0</v>
      </c>
      <c r="K86" s="185" t="s">
        <v>1272</v>
      </c>
      <c r="L86" s="389"/>
      <c r="M86" s="389"/>
      <c r="N86" s="389"/>
      <c r="O86" s="389"/>
      <c r="P86" s="389"/>
    </row>
    <row r="87">
      <c r="A87" s="363">
        <v>14.0</v>
      </c>
      <c r="B87" s="185" t="s">
        <v>1375</v>
      </c>
      <c r="C87" s="409">
        <v>1.93515623E9</v>
      </c>
      <c r="D87" s="458">
        <v>45091.0</v>
      </c>
      <c r="E87" s="409" t="s">
        <v>1376</v>
      </c>
      <c r="F87" s="185">
        <v>9000.0</v>
      </c>
      <c r="G87" s="389"/>
      <c r="H87" s="389"/>
      <c r="I87" s="389"/>
      <c r="J87" s="185">
        <v>5000.0</v>
      </c>
      <c r="K87" s="185">
        <v>4000.0</v>
      </c>
      <c r="L87" s="389"/>
      <c r="M87" s="389"/>
      <c r="N87" s="389"/>
      <c r="O87" s="389"/>
      <c r="P87" s="389"/>
    </row>
    <row r="88">
      <c r="A88" s="293"/>
      <c r="B88" s="389"/>
      <c r="C88" s="289"/>
      <c r="D88" s="289"/>
      <c r="E88" s="2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</row>
    <row r="89">
      <c r="A89" s="293"/>
      <c r="B89" s="389"/>
      <c r="C89" s="289"/>
      <c r="D89" s="289"/>
      <c r="E89" s="2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</row>
    <row r="90">
      <c r="A90" s="363">
        <v>15.0</v>
      </c>
      <c r="B90" s="185" t="s">
        <v>1377</v>
      </c>
      <c r="C90" s="457">
        <v>1.722966485E9</v>
      </c>
      <c r="D90" s="452">
        <v>45092.0</v>
      </c>
      <c r="E90" s="409" t="s">
        <v>746</v>
      </c>
      <c r="F90" s="185">
        <v>3000.0</v>
      </c>
      <c r="G90" s="185">
        <v>1000.0</v>
      </c>
      <c r="H90" s="389"/>
      <c r="I90" s="389"/>
      <c r="J90" s="389"/>
      <c r="K90" s="185">
        <v>2500.0</v>
      </c>
      <c r="L90" s="185" t="s">
        <v>1378</v>
      </c>
      <c r="M90" s="389"/>
      <c r="N90" s="389"/>
      <c r="O90" s="389"/>
      <c r="P90" s="389"/>
    </row>
    <row r="91">
      <c r="A91" s="363">
        <v>16.0</v>
      </c>
      <c r="B91" s="185" t="s">
        <v>1379</v>
      </c>
      <c r="C91" s="289"/>
      <c r="D91" s="289"/>
      <c r="E91" s="409" t="s">
        <v>746</v>
      </c>
      <c r="F91" s="185">
        <v>2500.0</v>
      </c>
      <c r="G91" s="185" t="s">
        <v>1359</v>
      </c>
      <c r="H91" s="389"/>
      <c r="I91" s="389"/>
      <c r="J91" s="389"/>
      <c r="K91" s="185">
        <v>2500.0</v>
      </c>
      <c r="L91" s="185">
        <v>2500.0</v>
      </c>
      <c r="M91" s="389"/>
      <c r="N91" s="389"/>
      <c r="O91" s="389"/>
      <c r="P91" s="389"/>
    </row>
    <row r="92">
      <c r="A92" s="363">
        <v>17.0</v>
      </c>
      <c r="B92" s="185" t="s">
        <v>1380</v>
      </c>
      <c r="C92" s="409">
        <v>1.733239731E9</v>
      </c>
      <c r="D92" s="452">
        <v>45097.0</v>
      </c>
      <c r="E92" s="409" t="s">
        <v>746</v>
      </c>
      <c r="F92" s="185">
        <v>2500.0</v>
      </c>
      <c r="G92" s="185">
        <v>1000.0</v>
      </c>
      <c r="H92" s="389"/>
      <c r="I92" s="389"/>
      <c r="J92" s="389"/>
      <c r="K92" s="185">
        <v>2500.0</v>
      </c>
      <c r="L92" s="389"/>
      <c r="M92" s="389"/>
      <c r="N92" s="389"/>
      <c r="O92" s="389"/>
      <c r="P92" s="389"/>
    </row>
    <row r="93">
      <c r="A93" s="363"/>
      <c r="B93" s="185"/>
      <c r="C93" s="409"/>
      <c r="D93" s="452"/>
      <c r="E93" s="409"/>
      <c r="F93" s="185"/>
      <c r="G93" s="185"/>
      <c r="H93" s="389"/>
      <c r="I93" s="389"/>
      <c r="J93" s="185"/>
      <c r="K93" s="185"/>
      <c r="L93" s="389"/>
      <c r="M93" s="389"/>
      <c r="N93" s="389"/>
      <c r="O93" s="389"/>
      <c r="P93" s="389"/>
    </row>
    <row r="94">
      <c r="A94" s="363"/>
      <c r="B94" s="185" t="s">
        <v>94</v>
      </c>
      <c r="C94" s="409"/>
      <c r="D94" s="452"/>
      <c r="E94" s="409"/>
      <c r="F94" s="185"/>
      <c r="G94" s="185"/>
      <c r="H94" s="389"/>
      <c r="I94" s="446" t="s">
        <v>17</v>
      </c>
      <c r="J94" s="459" t="s">
        <v>18</v>
      </c>
      <c r="K94" s="459" t="s">
        <v>7</v>
      </c>
      <c r="L94" s="446" t="s">
        <v>8</v>
      </c>
      <c r="M94" s="446" t="s">
        <v>9</v>
      </c>
      <c r="N94" s="446" t="s">
        <v>10</v>
      </c>
      <c r="O94" s="446" t="s">
        <v>11</v>
      </c>
      <c r="P94" s="446" t="s">
        <v>12</v>
      </c>
    </row>
    <row r="95">
      <c r="A95" s="363"/>
      <c r="B95" s="185"/>
      <c r="C95" s="409"/>
      <c r="D95" s="452"/>
      <c r="E95" s="409"/>
      <c r="F95" s="185"/>
      <c r="G95" s="185"/>
      <c r="H95" s="389"/>
      <c r="I95" s="389"/>
      <c r="J95" s="185"/>
      <c r="K95" s="185"/>
      <c r="L95" s="389"/>
      <c r="M95" s="389"/>
      <c r="N95" s="389"/>
      <c r="O95" s="389"/>
      <c r="P95" s="389"/>
    </row>
    <row r="96">
      <c r="A96" s="363">
        <v>18.0</v>
      </c>
      <c r="B96" s="185" t="s">
        <v>1381</v>
      </c>
      <c r="C96" s="460">
        <v>1.671162438E9</v>
      </c>
      <c r="D96" s="452">
        <v>45103.0</v>
      </c>
      <c r="E96" s="409" t="s">
        <v>782</v>
      </c>
      <c r="F96" s="185">
        <v>8000.0</v>
      </c>
      <c r="G96" s="185" t="s">
        <v>47</v>
      </c>
      <c r="H96" s="389"/>
      <c r="I96" s="389"/>
      <c r="J96" s="389"/>
      <c r="K96" s="185">
        <v>4000.0</v>
      </c>
      <c r="L96" s="389"/>
      <c r="M96" s="389"/>
      <c r="N96" s="389"/>
      <c r="O96" s="389"/>
      <c r="P96" s="389"/>
    </row>
    <row r="97">
      <c r="A97" s="363">
        <v>19.0</v>
      </c>
      <c r="B97" s="185" t="s">
        <v>1382</v>
      </c>
      <c r="C97" s="461">
        <v>1.678339922E9</v>
      </c>
      <c r="D97" s="452">
        <v>45103.0</v>
      </c>
      <c r="E97" s="409" t="s">
        <v>911</v>
      </c>
      <c r="F97" s="185">
        <v>8000.0</v>
      </c>
      <c r="G97" s="389"/>
      <c r="H97" s="389"/>
      <c r="I97" s="389"/>
      <c r="J97" s="389"/>
      <c r="K97" s="185">
        <v>4000.0</v>
      </c>
      <c r="L97" s="389"/>
      <c r="M97" s="389"/>
      <c r="N97" s="389"/>
      <c r="O97" s="389"/>
      <c r="P97" s="389"/>
    </row>
    <row r="98">
      <c r="A98" s="363">
        <v>20.0</v>
      </c>
      <c r="B98" s="185" t="s">
        <v>1383</v>
      </c>
      <c r="C98" s="409">
        <v>1.312241571E9</v>
      </c>
      <c r="D98" s="452">
        <v>45110.0</v>
      </c>
      <c r="E98" s="409" t="s">
        <v>939</v>
      </c>
      <c r="F98" s="185">
        <v>2500.0</v>
      </c>
      <c r="G98" s="389"/>
      <c r="H98" s="389"/>
      <c r="I98" s="389"/>
      <c r="J98" s="389"/>
      <c r="K98" s="185">
        <v>2500.0</v>
      </c>
      <c r="L98" s="185">
        <v>2500.0</v>
      </c>
      <c r="M98" s="389"/>
      <c r="N98" s="389"/>
      <c r="O98" s="389"/>
      <c r="P98" s="389"/>
    </row>
    <row r="99">
      <c r="A99" s="363">
        <v>21.0</v>
      </c>
      <c r="B99" s="185" t="s">
        <v>1017</v>
      </c>
      <c r="C99" s="409">
        <v>1.817576331E9</v>
      </c>
      <c r="D99" s="452">
        <v>45111.0</v>
      </c>
      <c r="E99" s="409" t="s">
        <v>939</v>
      </c>
      <c r="F99" s="185">
        <v>2500.0</v>
      </c>
      <c r="G99" s="185">
        <v>1000.0</v>
      </c>
      <c r="H99" s="389"/>
      <c r="I99" s="389"/>
      <c r="J99" s="389"/>
      <c r="K99" s="185">
        <v>2500.0</v>
      </c>
      <c r="L99" s="185" t="s">
        <v>38</v>
      </c>
      <c r="M99" s="185">
        <v>2500.0</v>
      </c>
      <c r="N99" s="389"/>
      <c r="O99" s="389"/>
      <c r="P99" s="389"/>
    </row>
    <row r="100">
      <c r="A100" s="363">
        <v>22.0</v>
      </c>
      <c r="B100" s="185" t="s">
        <v>1384</v>
      </c>
      <c r="C100" s="409">
        <v>1.746332134E9</v>
      </c>
      <c r="D100" s="452">
        <v>45116.0</v>
      </c>
      <c r="E100" s="409" t="s">
        <v>1385</v>
      </c>
      <c r="F100" s="185">
        <v>2500.0</v>
      </c>
      <c r="G100" s="389"/>
      <c r="H100" s="389"/>
      <c r="I100" s="389"/>
      <c r="J100" s="389"/>
      <c r="K100" s="185">
        <v>2500.0</v>
      </c>
      <c r="L100" s="185" t="s">
        <v>322</v>
      </c>
      <c r="M100" s="185">
        <v>2500.0</v>
      </c>
      <c r="N100" s="389"/>
      <c r="O100" s="389"/>
      <c r="P100" s="389"/>
    </row>
    <row r="101">
      <c r="A101" s="363">
        <v>23.0</v>
      </c>
      <c r="B101" s="185" t="s">
        <v>1386</v>
      </c>
      <c r="C101" s="409">
        <v>1.819814702E9</v>
      </c>
      <c r="D101" s="452">
        <v>45113.0</v>
      </c>
      <c r="E101" s="409" t="s">
        <v>1385</v>
      </c>
      <c r="F101" s="185">
        <v>2000.0</v>
      </c>
      <c r="G101" s="389"/>
      <c r="H101" s="389"/>
      <c r="I101" s="389"/>
      <c r="J101" s="389"/>
      <c r="K101" s="185">
        <v>2000.0</v>
      </c>
      <c r="L101" s="389"/>
      <c r="M101" s="389"/>
      <c r="N101" s="389"/>
      <c r="O101" s="389"/>
      <c r="P101" s="389"/>
    </row>
    <row r="102">
      <c r="A102" s="363">
        <v>24.0</v>
      </c>
      <c r="B102" s="451" t="s">
        <v>1318</v>
      </c>
      <c r="C102" s="454">
        <v>1.819814702E9</v>
      </c>
      <c r="D102" s="452">
        <v>45117.0</v>
      </c>
      <c r="E102" s="409" t="s">
        <v>746</v>
      </c>
      <c r="F102" s="185">
        <v>2000.0</v>
      </c>
      <c r="G102" s="185">
        <v>500.0</v>
      </c>
      <c r="H102" s="389"/>
      <c r="I102" s="389"/>
      <c r="J102" s="185" t="s">
        <v>47</v>
      </c>
      <c r="K102" s="185" t="s">
        <v>1387</v>
      </c>
      <c r="L102" s="389"/>
      <c r="M102" s="389"/>
      <c r="N102" s="389"/>
      <c r="O102" s="389"/>
      <c r="P102" s="389"/>
    </row>
    <row r="103">
      <c r="A103" s="363">
        <v>25.0</v>
      </c>
      <c r="B103" s="185" t="s">
        <v>1388</v>
      </c>
      <c r="C103" s="409">
        <v>1.817051575E9</v>
      </c>
      <c r="D103" s="452">
        <v>45118.0</v>
      </c>
      <c r="E103" s="409" t="s">
        <v>746</v>
      </c>
      <c r="F103" s="185">
        <v>2500.0</v>
      </c>
      <c r="G103" s="389"/>
      <c r="H103" s="389"/>
      <c r="I103" s="389"/>
      <c r="J103" s="389"/>
      <c r="K103" s="185">
        <v>2500.0</v>
      </c>
      <c r="L103" s="185">
        <v>2500.0</v>
      </c>
      <c r="M103" s="185">
        <v>2500.0</v>
      </c>
      <c r="N103" s="389"/>
      <c r="O103" s="389"/>
      <c r="P103" s="389"/>
    </row>
    <row r="104">
      <c r="A104" s="363">
        <v>26.0</v>
      </c>
      <c r="B104" s="185" t="s">
        <v>1389</v>
      </c>
      <c r="C104" s="409">
        <v>1.83318239E9</v>
      </c>
      <c r="D104" s="452">
        <v>45130.0</v>
      </c>
      <c r="E104" s="409" t="s">
        <v>746</v>
      </c>
      <c r="F104" s="185">
        <v>2500.0</v>
      </c>
      <c r="G104" s="185" t="s">
        <v>47</v>
      </c>
      <c r="H104" s="389"/>
      <c r="I104" s="389"/>
      <c r="J104" s="389"/>
      <c r="K104" s="185" t="s">
        <v>47</v>
      </c>
      <c r="L104" s="185">
        <v>2500.0</v>
      </c>
      <c r="M104" s="389"/>
      <c r="N104" s="389"/>
      <c r="O104" s="389"/>
      <c r="P104" s="389"/>
    </row>
    <row r="105">
      <c r="A105" s="363">
        <v>27.0</v>
      </c>
      <c r="B105" s="185" t="s">
        <v>1390</v>
      </c>
      <c r="C105" s="457">
        <v>1.83737301E9</v>
      </c>
      <c r="D105" s="452">
        <v>45127.0</v>
      </c>
      <c r="E105" s="409" t="s">
        <v>746</v>
      </c>
      <c r="F105" s="185">
        <v>3000.0</v>
      </c>
      <c r="G105" s="185">
        <v>2000.0</v>
      </c>
      <c r="H105" s="389"/>
      <c r="I105" s="389"/>
      <c r="J105" s="389"/>
      <c r="K105" s="185" t="s">
        <v>47</v>
      </c>
      <c r="L105" s="185">
        <v>5000.0</v>
      </c>
      <c r="M105" s="389"/>
      <c r="N105" s="389"/>
      <c r="O105" s="389"/>
      <c r="P105" s="389"/>
    </row>
    <row r="106">
      <c r="A106" s="363">
        <v>28.0</v>
      </c>
      <c r="B106" s="185" t="s">
        <v>1391</v>
      </c>
      <c r="C106" s="454">
        <v>1.833106263E9</v>
      </c>
      <c r="D106" s="452">
        <v>45134.0</v>
      </c>
      <c r="E106" s="409" t="s">
        <v>1392</v>
      </c>
      <c r="F106" s="389"/>
      <c r="G106" s="185">
        <v>7000.0</v>
      </c>
      <c r="H106" s="389"/>
      <c r="I106" s="389"/>
      <c r="J106" s="389"/>
      <c r="K106" s="185">
        <v>7000.0</v>
      </c>
      <c r="L106" s="389"/>
      <c r="M106" s="389"/>
      <c r="N106" s="389"/>
      <c r="O106" s="389"/>
      <c r="P106" s="389"/>
    </row>
    <row r="107">
      <c r="A107" s="363">
        <v>29.0</v>
      </c>
      <c r="B107" s="185" t="s">
        <v>1393</v>
      </c>
      <c r="C107" s="409">
        <v>1.971717771E9</v>
      </c>
      <c r="D107" s="452">
        <v>45139.0</v>
      </c>
      <c r="E107" s="409" t="s">
        <v>1392</v>
      </c>
      <c r="F107" s="389"/>
      <c r="G107" s="389"/>
      <c r="H107" s="389"/>
      <c r="I107" s="389"/>
      <c r="J107" s="389"/>
      <c r="K107" s="389"/>
      <c r="L107" s="185">
        <v>7500.0</v>
      </c>
      <c r="M107" s="389"/>
      <c r="N107" s="389"/>
      <c r="O107" s="389"/>
      <c r="P107" s="389"/>
    </row>
    <row r="108">
      <c r="A108" s="363">
        <v>30.0</v>
      </c>
      <c r="B108" s="185" t="s">
        <v>1394</v>
      </c>
      <c r="C108" s="409">
        <v>1.971717771E9</v>
      </c>
      <c r="D108" s="452">
        <v>45139.0</v>
      </c>
      <c r="E108" s="409" t="s">
        <v>1392</v>
      </c>
      <c r="F108" s="389"/>
      <c r="G108" s="389"/>
      <c r="H108" s="389"/>
      <c r="I108" s="185" t="s">
        <v>47</v>
      </c>
      <c r="J108" s="185" t="s">
        <v>47</v>
      </c>
      <c r="K108" s="185" t="s">
        <v>47</v>
      </c>
      <c r="L108" s="185">
        <v>7500.0</v>
      </c>
      <c r="M108" s="389"/>
      <c r="N108" s="389"/>
      <c r="O108" s="389"/>
      <c r="P108" s="389"/>
    </row>
    <row r="109">
      <c r="A109" s="462"/>
      <c r="B109" s="185" t="s">
        <v>1395</v>
      </c>
      <c r="C109" s="289"/>
      <c r="D109" s="289"/>
      <c r="E109" s="2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</row>
    <row r="110">
      <c r="A110" s="363">
        <v>31.0</v>
      </c>
      <c r="B110" s="185" t="s">
        <v>1396</v>
      </c>
      <c r="C110" s="457">
        <v>1.518931352E9</v>
      </c>
      <c r="D110" s="452">
        <v>45148.0</v>
      </c>
      <c r="E110" s="409" t="s">
        <v>746</v>
      </c>
      <c r="F110" s="185">
        <v>3000.0</v>
      </c>
      <c r="G110" s="389"/>
      <c r="H110" s="389"/>
      <c r="I110" s="389"/>
      <c r="J110" s="389"/>
      <c r="K110" s="389"/>
      <c r="L110" s="185">
        <v>3000.0</v>
      </c>
      <c r="M110" s="185">
        <v>3000.0</v>
      </c>
      <c r="N110" s="389"/>
      <c r="O110" s="389"/>
      <c r="P110" s="389"/>
    </row>
    <row r="111">
      <c r="A111" s="363">
        <v>32.0</v>
      </c>
      <c r="B111" s="185" t="s">
        <v>1397</v>
      </c>
      <c r="C111" s="409">
        <v>1.671054407E9</v>
      </c>
      <c r="D111" s="452">
        <v>45153.0</v>
      </c>
      <c r="E111" s="409" t="s">
        <v>746</v>
      </c>
      <c r="F111" s="185">
        <v>2000.0</v>
      </c>
      <c r="G111" s="389"/>
      <c r="H111" s="389"/>
      <c r="I111" s="389"/>
      <c r="J111" s="389"/>
      <c r="K111" s="389"/>
      <c r="L111" s="185">
        <v>2000.0</v>
      </c>
      <c r="M111" s="389"/>
      <c r="N111" s="185">
        <v>2000.0</v>
      </c>
      <c r="O111" s="389"/>
      <c r="P111" s="389"/>
    </row>
    <row r="112">
      <c r="A112" s="363">
        <v>33.0</v>
      </c>
      <c r="B112" s="185" t="s">
        <v>1398</v>
      </c>
      <c r="C112" s="409">
        <v>1.917642791E9</v>
      </c>
      <c r="D112" s="452">
        <v>45154.0</v>
      </c>
      <c r="E112" s="409" t="s">
        <v>746</v>
      </c>
      <c r="F112" s="185">
        <v>2000.0</v>
      </c>
      <c r="G112" s="389"/>
      <c r="H112" s="389"/>
      <c r="I112" s="389"/>
      <c r="J112" s="389"/>
      <c r="K112" s="389"/>
      <c r="L112" s="185">
        <v>2000.0</v>
      </c>
      <c r="M112" s="389"/>
      <c r="N112" s="389"/>
      <c r="O112" s="389"/>
      <c r="P112" s="389"/>
    </row>
    <row r="113">
      <c r="A113" s="363">
        <v>34.0</v>
      </c>
      <c r="B113" s="185" t="s">
        <v>1399</v>
      </c>
      <c r="C113" s="409">
        <v>1.716081938E9</v>
      </c>
      <c r="D113" s="452">
        <v>45160.0</v>
      </c>
      <c r="E113" s="409" t="s">
        <v>746</v>
      </c>
      <c r="F113" s="185">
        <v>3000.0</v>
      </c>
      <c r="G113" s="389"/>
      <c r="H113" s="389"/>
      <c r="I113" s="389"/>
      <c r="J113" s="389"/>
      <c r="K113" s="389"/>
      <c r="L113" s="185" t="s">
        <v>47</v>
      </c>
      <c r="M113" s="185">
        <v>3000.0</v>
      </c>
      <c r="N113" s="389"/>
      <c r="O113" s="389"/>
      <c r="P113" s="389"/>
    </row>
    <row r="114">
      <c r="A114" s="363">
        <v>35.0</v>
      </c>
      <c r="B114" s="185" t="s">
        <v>1400</v>
      </c>
      <c r="C114" s="457">
        <v>1.871205502E9</v>
      </c>
      <c r="D114" s="452">
        <v>45160.0</v>
      </c>
      <c r="E114" s="409" t="s">
        <v>746</v>
      </c>
      <c r="F114" s="185">
        <v>3000.0</v>
      </c>
      <c r="G114" s="389"/>
      <c r="H114" s="389"/>
      <c r="I114" s="389"/>
      <c r="J114" s="389"/>
      <c r="K114" s="389"/>
      <c r="L114" s="389"/>
      <c r="M114" s="185">
        <v>3000.0</v>
      </c>
      <c r="N114" s="185">
        <v>3000.0</v>
      </c>
      <c r="O114" s="389"/>
      <c r="P114" s="389"/>
    </row>
    <row r="115">
      <c r="A115" s="363">
        <v>36.0</v>
      </c>
      <c r="B115" s="185" t="s">
        <v>1401</v>
      </c>
      <c r="C115" s="409">
        <v>1.910192747E9</v>
      </c>
      <c r="D115" s="452">
        <v>45160.0</v>
      </c>
      <c r="E115" s="409" t="s">
        <v>746</v>
      </c>
      <c r="F115" s="185">
        <v>3000.0</v>
      </c>
      <c r="G115" s="389"/>
      <c r="H115" s="389"/>
      <c r="I115" s="389"/>
      <c r="J115" s="389"/>
      <c r="K115" s="389"/>
      <c r="L115" s="389"/>
      <c r="M115" s="185">
        <v>3000.0</v>
      </c>
      <c r="N115" s="185">
        <v>3000.0</v>
      </c>
      <c r="O115" s="389"/>
      <c r="P115" s="389"/>
    </row>
    <row r="116">
      <c r="A116" s="462"/>
      <c r="B116" s="185" t="s">
        <v>1402</v>
      </c>
      <c r="C116" s="289"/>
      <c r="D116" s="289"/>
      <c r="E116" s="2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</row>
    <row r="117">
      <c r="A117" s="363">
        <v>37.0</v>
      </c>
      <c r="B117" s="185" t="s">
        <v>1403</v>
      </c>
      <c r="C117" s="409">
        <v>1.811884642E9</v>
      </c>
      <c r="D117" s="452">
        <v>45174.0</v>
      </c>
      <c r="E117" s="409" t="s">
        <v>746</v>
      </c>
      <c r="F117" s="185">
        <v>3000.0</v>
      </c>
      <c r="G117" s="389"/>
      <c r="H117" s="389"/>
      <c r="I117" s="389"/>
      <c r="J117" s="389"/>
      <c r="K117" s="389"/>
      <c r="L117" s="389"/>
      <c r="M117" s="185">
        <v>3000.0</v>
      </c>
      <c r="N117" s="389"/>
      <c r="O117" s="389"/>
      <c r="P117" s="389"/>
    </row>
    <row r="118">
      <c r="A118" s="363">
        <v>38.0</v>
      </c>
      <c r="B118" s="185" t="s">
        <v>1404</v>
      </c>
      <c r="C118" s="409">
        <v>1.719884475E9</v>
      </c>
      <c r="D118" s="452">
        <v>45174.0</v>
      </c>
      <c r="E118" s="409" t="s">
        <v>746</v>
      </c>
      <c r="F118" s="185">
        <v>3000.0</v>
      </c>
      <c r="G118" s="389"/>
      <c r="H118" s="389"/>
      <c r="I118" s="389"/>
      <c r="J118" s="389"/>
      <c r="K118" s="389"/>
      <c r="L118" s="389"/>
      <c r="M118" s="185">
        <v>3000.0</v>
      </c>
      <c r="N118" s="389"/>
      <c r="O118" s="389"/>
      <c r="P118" s="389"/>
    </row>
    <row r="119">
      <c r="A119" s="363">
        <v>39.0</v>
      </c>
      <c r="B119" s="185" t="s">
        <v>1405</v>
      </c>
      <c r="C119" s="457">
        <v>1.715251985E9</v>
      </c>
      <c r="D119" s="463">
        <v>45210.0</v>
      </c>
      <c r="E119" s="409" t="s">
        <v>746</v>
      </c>
      <c r="F119" s="185">
        <v>2000.0</v>
      </c>
      <c r="G119" s="185" t="s">
        <v>1362</v>
      </c>
      <c r="H119" s="389"/>
      <c r="I119" s="389"/>
      <c r="J119" s="389"/>
      <c r="K119" s="389"/>
      <c r="L119" s="389"/>
      <c r="M119" s="389"/>
      <c r="N119" s="185">
        <v>2000.0</v>
      </c>
      <c r="O119" s="389"/>
      <c r="P119" s="389"/>
    </row>
    <row r="120">
      <c r="A120" s="363">
        <v>40.0</v>
      </c>
      <c r="B120" s="182" t="s">
        <v>1406</v>
      </c>
      <c r="C120" s="363">
        <v>1.84181188E9</v>
      </c>
      <c r="D120" s="464">
        <v>45260.0</v>
      </c>
      <c r="E120" s="293"/>
    </row>
    <row r="121">
      <c r="A121" s="363">
        <v>41.0</v>
      </c>
      <c r="B121" s="182" t="s">
        <v>1407</v>
      </c>
      <c r="C121" s="363">
        <v>1.76443533E9</v>
      </c>
      <c r="D121" s="464">
        <v>45260.0</v>
      </c>
      <c r="E121" s="293"/>
    </row>
    <row r="122">
      <c r="A122" s="363">
        <v>42.0</v>
      </c>
      <c r="B122" s="182" t="s">
        <v>1408</v>
      </c>
      <c r="C122" s="363">
        <v>1.62941308E9</v>
      </c>
      <c r="D122" s="464">
        <v>45260.0</v>
      </c>
      <c r="E122" s="293"/>
    </row>
    <row r="123">
      <c r="A123" s="363">
        <v>43.0</v>
      </c>
      <c r="B123" s="182" t="s">
        <v>1409</v>
      </c>
      <c r="C123" s="363">
        <v>1.745802702E9</v>
      </c>
      <c r="D123" s="465">
        <v>45265.0</v>
      </c>
      <c r="E123" s="293"/>
    </row>
    <row r="124">
      <c r="A124" s="363">
        <v>44.0</v>
      </c>
      <c r="B124" s="182" t="s">
        <v>1410</v>
      </c>
      <c r="C124" s="363">
        <v>1.330600954E9</v>
      </c>
      <c r="D124" s="465">
        <v>45265.0</v>
      </c>
      <c r="E124" s="293"/>
    </row>
    <row r="125">
      <c r="A125" s="363">
        <v>45.0</v>
      </c>
      <c r="B125" s="182" t="s">
        <v>1411</v>
      </c>
      <c r="C125" s="363">
        <v>1.750136514E9</v>
      </c>
      <c r="D125" s="465">
        <v>45265.0</v>
      </c>
      <c r="E125" s="293"/>
    </row>
    <row r="126">
      <c r="A126" s="363">
        <v>46.0</v>
      </c>
      <c r="B126" s="182" t="s">
        <v>1412</v>
      </c>
      <c r="C126" s="363">
        <v>1.84935122E9</v>
      </c>
      <c r="D126" s="465">
        <v>45262.0</v>
      </c>
      <c r="E126" s="293"/>
    </row>
    <row r="127">
      <c r="A127" s="363">
        <v>47.0</v>
      </c>
      <c r="B127" s="182" t="s">
        <v>1413</v>
      </c>
      <c r="C127" s="363">
        <v>1.979215222E9</v>
      </c>
      <c r="D127" s="464">
        <v>45265.0</v>
      </c>
      <c r="E127" s="293"/>
    </row>
    <row r="128">
      <c r="A128" s="363">
        <v>48.0</v>
      </c>
      <c r="B128" s="182" t="s">
        <v>1414</v>
      </c>
      <c r="C128" s="363">
        <v>1.78450356E9</v>
      </c>
      <c r="D128" s="464">
        <v>45266.0</v>
      </c>
      <c r="E128" s="293"/>
    </row>
    <row r="129">
      <c r="A129" s="363">
        <v>49.0</v>
      </c>
      <c r="B129" s="182" t="s">
        <v>1415</v>
      </c>
      <c r="C129" s="363">
        <v>1.718990747E9</v>
      </c>
      <c r="D129" s="464">
        <v>45270.0</v>
      </c>
      <c r="E129" s="293"/>
    </row>
    <row r="130">
      <c r="A130" s="363">
        <v>50.0</v>
      </c>
      <c r="B130" s="182" t="s">
        <v>1416</v>
      </c>
      <c r="C130" s="363">
        <v>1.889989594E9</v>
      </c>
      <c r="D130" s="464">
        <v>45270.0</v>
      </c>
      <c r="E130" s="293"/>
    </row>
    <row r="131">
      <c r="A131" s="363">
        <v>51.0</v>
      </c>
      <c r="B131" s="182" t="s">
        <v>1417</v>
      </c>
      <c r="C131" s="363">
        <v>1.712024131E9</v>
      </c>
      <c r="D131" s="464">
        <v>45272.0</v>
      </c>
      <c r="E131" s="293"/>
    </row>
    <row r="132">
      <c r="A132" s="363">
        <v>52.0</v>
      </c>
      <c r="B132" s="182" t="s">
        <v>1418</v>
      </c>
      <c r="C132" s="363">
        <v>1.616788518E9</v>
      </c>
      <c r="D132" s="464">
        <v>45273.0</v>
      </c>
      <c r="E132" s="293"/>
    </row>
    <row r="133">
      <c r="A133" s="363">
        <v>53.0</v>
      </c>
      <c r="B133" s="182" t="s">
        <v>1419</v>
      </c>
      <c r="C133" s="363">
        <v>1.521229307E9</v>
      </c>
      <c r="D133" s="464">
        <v>45275.0</v>
      </c>
      <c r="E133" s="293"/>
    </row>
    <row r="134">
      <c r="A134" s="363">
        <v>54.0</v>
      </c>
      <c r="B134" s="182" t="s">
        <v>1420</v>
      </c>
      <c r="C134" s="363">
        <v>1.679409146E9</v>
      </c>
      <c r="D134" s="464">
        <v>45280.0</v>
      </c>
      <c r="E134" s="293"/>
    </row>
    <row r="135">
      <c r="A135" s="363">
        <v>55.0</v>
      </c>
      <c r="B135" s="182" t="s">
        <v>1421</v>
      </c>
      <c r="C135" s="363">
        <v>1.701617383E9</v>
      </c>
      <c r="D135" s="465">
        <v>45292.0</v>
      </c>
      <c r="E135" s="293"/>
    </row>
    <row r="136">
      <c r="A136" s="363">
        <v>56.0</v>
      </c>
      <c r="B136" s="182" t="s">
        <v>1422</v>
      </c>
      <c r="C136" s="363">
        <v>1.827120738E9</v>
      </c>
      <c r="D136" s="465">
        <v>45292.0</v>
      </c>
      <c r="E136" s="293"/>
    </row>
    <row r="137">
      <c r="A137" s="363">
        <v>57.0</v>
      </c>
      <c r="B137" s="182" t="s">
        <v>1423</v>
      </c>
      <c r="C137" s="363">
        <v>1.827120738E9</v>
      </c>
      <c r="D137" s="465">
        <v>45292.0</v>
      </c>
      <c r="E137" s="293"/>
    </row>
    <row r="138">
      <c r="A138" s="363">
        <v>58.0</v>
      </c>
      <c r="B138" s="182" t="s">
        <v>1424</v>
      </c>
      <c r="C138" s="363">
        <v>1.74920245E9</v>
      </c>
      <c r="D138" s="465">
        <v>45292.0</v>
      </c>
      <c r="E138" s="293"/>
    </row>
    <row r="139">
      <c r="A139" s="363">
        <v>59.0</v>
      </c>
      <c r="B139" s="182" t="s">
        <v>1425</v>
      </c>
      <c r="C139" s="363">
        <v>1.311073255E9</v>
      </c>
      <c r="D139" s="465">
        <v>45292.0</v>
      </c>
      <c r="E139" s="293"/>
    </row>
    <row r="140">
      <c r="A140" s="363">
        <v>60.0</v>
      </c>
      <c r="B140" s="182" t="s">
        <v>1426</v>
      </c>
      <c r="C140" s="363">
        <v>1.676600453E9</v>
      </c>
      <c r="D140" s="465">
        <v>45292.0</v>
      </c>
      <c r="E140" s="293"/>
    </row>
    <row r="141">
      <c r="A141" s="363">
        <v>61.0</v>
      </c>
      <c r="B141" s="182" t="s">
        <v>1427</v>
      </c>
      <c r="C141" s="363">
        <v>1.675220086E9</v>
      </c>
      <c r="D141" s="465">
        <v>45292.0</v>
      </c>
      <c r="E141" s="293"/>
    </row>
    <row r="142">
      <c r="A142" s="363">
        <v>62.0</v>
      </c>
      <c r="B142" s="182" t="s">
        <v>1428</v>
      </c>
      <c r="C142" s="363">
        <v>1.799921194E9</v>
      </c>
      <c r="D142" s="465">
        <v>45292.0</v>
      </c>
      <c r="E142" s="293"/>
    </row>
    <row r="143">
      <c r="A143" s="363">
        <v>63.0</v>
      </c>
      <c r="B143" s="182" t="s">
        <v>1429</v>
      </c>
      <c r="C143" s="363">
        <v>1.610558102E9</v>
      </c>
      <c r="D143" s="465">
        <v>45294.0</v>
      </c>
      <c r="E143" s="293"/>
    </row>
    <row r="144">
      <c r="A144" s="363">
        <v>64.0</v>
      </c>
      <c r="B144" s="182" t="s">
        <v>1430</v>
      </c>
      <c r="C144" s="363">
        <v>1.923791148E9</v>
      </c>
      <c r="D144" s="465">
        <v>45294.0</v>
      </c>
      <c r="E144" s="293"/>
    </row>
    <row r="145">
      <c r="A145" s="363">
        <v>65.0</v>
      </c>
      <c r="B145" s="182" t="s">
        <v>1431</v>
      </c>
      <c r="C145" s="363">
        <v>1.885575209E9</v>
      </c>
      <c r="D145" s="465">
        <v>45294.0</v>
      </c>
      <c r="E145" s="293"/>
    </row>
    <row r="146">
      <c r="A146" s="363">
        <v>66.0</v>
      </c>
      <c r="B146" s="182" t="s">
        <v>1432</v>
      </c>
      <c r="C146" s="363">
        <v>1.874366534E9</v>
      </c>
      <c r="D146" s="465">
        <v>45300.0</v>
      </c>
      <c r="E146" s="293"/>
    </row>
    <row r="147">
      <c r="A147" s="363">
        <v>67.0</v>
      </c>
      <c r="B147" s="182" t="s">
        <v>1433</v>
      </c>
      <c r="C147" s="363">
        <v>1.878110106E9</v>
      </c>
      <c r="D147" s="363" t="s">
        <v>1434</v>
      </c>
      <c r="E147" s="293"/>
    </row>
    <row r="148">
      <c r="A148" s="363">
        <v>68.0</v>
      </c>
      <c r="B148" s="182" t="s">
        <v>1435</v>
      </c>
      <c r="C148" s="363">
        <v>1.671373292E9</v>
      </c>
      <c r="D148" s="363" t="s">
        <v>1436</v>
      </c>
      <c r="E148" s="293"/>
    </row>
    <row r="149">
      <c r="A149" s="363">
        <v>69.0</v>
      </c>
      <c r="B149" s="182" t="s">
        <v>1437</v>
      </c>
      <c r="C149" s="363">
        <v>1.715577E9</v>
      </c>
      <c r="D149" s="363" t="s">
        <v>1436</v>
      </c>
      <c r="E149" s="293"/>
    </row>
    <row r="150">
      <c r="A150" s="363">
        <v>70.0</v>
      </c>
      <c r="B150" s="182" t="s">
        <v>1438</v>
      </c>
      <c r="C150" s="363">
        <v>1.749898444E9</v>
      </c>
      <c r="D150" s="363" t="s">
        <v>1436</v>
      </c>
      <c r="E150" s="293"/>
    </row>
    <row r="151">
      <c r="A151" s="363">
        <v>71.0</v>
      </c>
      <c r="B151" s="182" t="s">
        <v>1439</v>
      </c>
      <c r="C151" s="363">
        <v>1.91398181E9</v>
      </c>
      <c r="D151" s="465">
        <v>45308.0</v>
      </c>
      <c r="E151" s="293"/>
    </row>
    <row r="152">
      <c r="A152" s="363">
        <v>72.0</v>
      </c>
      <c r="B152" s="182" t="s">
        <v>1440</v>
      </c>
      <c r="C152" s="363">
        <v>1.91398281E9</v>
      </c>
      <c r="D152" s="465">
        <v>45308.0</v>
      </c>
      <c r="E152" s="293"/>
    </row>
    <row r="153">
      <c r="A153" s="363">
        <v>73.0</v>
      </c>
      <c r="B153" s="182" t="s">
        <v>1441</v>
      </c>
      <c r="C153" s="363">
        <v>1.714224549E9</v>
      </c>
      <c r="D153" s="465">
        <v>45309.0</v>
      </c>
      <c r="E153" s="293"/>
    </row>
    <row r="154">
      <c r="A154" s="363">
        <v>74.0</v>
      </c>
      <c r="B154" s="182" t="s">
        <v>1442</v>
      </c>
      <c r="C154" s="363">
        <v>1.906779332E9</v>
      </c>
      <c r="D154" s="465">
        <v>45312.0</v>
      </c>
      <c r="E154" s="293"/>
    </row>
    <row r="155">
      <c r="A155" s="363">
        <v>75.0</v>
      </c>
      <c r="B155" s="182" t="s">
        <v>1443</v>
      </c>
      <c r="C155" s="363">
        <v>1.624991514E9</v>
      </c>
      <c r="D155" s="465">
        <v>45314.0</v>
      </c>
      <c r="E155" s="293"/>
    </row>
    <row r="156">
      <c r="A156" s="363">
        <v>76.0</v>
      </c>
      <c r="B156" s="182" t="s">
        <v>1444</v>
      </c>
      <c r="C156" s="363">
        <v>1.644432732E9</v>
      </c>
      <c r="D156" s="465">
        <v>45314.0</v>
      </c>
      <c r="E156" s="293"/>
    </row>
    <row r="157">
      <c r="A157" s="363">
        <v>77.0</v>
      </c>
      <c r="B157" s="182" t="s">
        <v>1445</v>
      </c>
      <c r="C157" s="363">
        <v>1.677543457E9</v>
      </c>
      <c r="D157" s="465">
        <v>45314.0</v>
      </c>
      <c r="E157" s="293"/>
    </row>
    <row r="158">
      <c r="A158" s="363">
        <v>78.0</v>
      </c>
      <c r="B158" s="182" t="s">
        <v>1446</v>
      </c>
      <c r="C158" s="363">
        <v>1.759593522E9</v>
      </c>
      <c r="D158" s="465">
        <v>45316.0</v>
      </c>
      <c r="E158" s="293"/>
    </row>
    <row r="159">
      <c r="A159" s="363">
        <v>79.0</v>
      </c>
      <c r="B159" s="182" t="s">
        <v>1447</v>
      </c>
      <c r="C159" s="363">
        <v>1.787769163E9</v>
      </c>
      <c r="D159" s="465">
        <v>45298.0</v>
      </c>
      <c r="E159" s="293"/>
    </row>
    <row r="160">
      <c r="A160" s="363">
        <v>80.0</v>
      </c>
      <c r="B160" s="182" t="s">
        <v>1448</v>
      </c>
      <c r="C160" s="363">
        <v>1.741846014E9</v>
      </c>
      <c r="D160" s="465">
        <v>45298.0</v>
      </c>
      <c r="E160" s="293"/>
    </row>
    <row r="161">
      <c r="A161" s="363">
        <v>81.0</v>
      </c>
      <c r="B161" s="182" t="s">
        <v>1449</v>
      </c>
      <c r="C161" s="363">
        <v>1.794569949E9</v>
      </c>
      <c r="D161" s="465">
        <v>45306.0</v>
      </c>
      <c r="E161" s="293"/>
    </row>
    <row r="162">
      <c r="A162" s="363">
        <v>82.0</v>
      </c>
      <c r="B162" s="182" t="s">
        <v>1450</v>
      </c>
      <c r="C162" s="363">
        <v>1.754671971E9</v>
      </c>
      <c r="D162" s="465">
        <v>45349.0</v>
      </c>
      <c r="E162" s="293"/>
    </row>
    <row r="163">
      <c r="A163" s="293"/>
      <c r="C163" s="293"/>
      <c r="D163" s="293"/>
      <c r="E163" s="293"/>
    </row>
    <row r="164">
      <c r="A164" s="293"/>
      <c r="C164" s="293"/>
      <c r="D164" s="293"/>
      <c r="E164" s="363" t="s">
        <v>1299</v>
      </c>
    </row>
    <row r="165">
      <c r="A165" s="293"/>
      <c r="C165" s="293"/>
      <c r="D165" s="293"/>
      <c r="E165" s="293"/>
    </row>
    <row r="166">
      <c r="A166" s="293"/>
      <c r="C166" s="293"/>
      <c r="D166" s="293"/>
      <c r="E166" s="293"/>
    </row>
    <row r="167">
      <c r="A167" s="293"/>
      <c r="C167" s="293"/>
      <c r="D167" s="293"/>
      <c r="E167" s="293"/>
    </row>
    <row r="168">
      <c r="A168" s="293"/>
      <c r="C168" s="293"/>
      <c r="D168" s="293"/>
      <c r="E168" s="293"/>
    </row>
    <row r="169">
      <c r="A169" s="293"/>
      <c r="C169" s="293"/>
      <c r="D169" s="293"/>
      <c r="E169" s="293"/>
    </row>
    <row r="170">
      <c r="A170" s="293"/>
      <c r="C170" s="293"/>
      <c r="D170" s="293"/>
      <c r="E170" s="293"/>
    </row>
    <row r="171">
      <c r="A171" s="293"/>
      <c r="C171" s="293"/>
      <c r="D171" s="293"/>
      <c r="E171" s="293"/>
    </row>
    <row r="172">
      <c r="A172" s="293"/>
      <c r="C172" s="293"/>
      <c r="D172" s="293"/>
      <c r="E172" s="293"/>
    </row>
    <row r="173">
      <c r="A173" s="293"/>
      <c r="C173" s="293"/>
      <c r="D173" s="293"/>
      <c r="E173" s="293"/>
    </row>
    <row r="174">
      <c r="A174" s="293"/>
      <c r="C174" s="293"/>
      <c r="D174" s="293"/>
      <c r="E174" s="293"/>
    </row>
    <row r="175">
      <c r="A175" s="293"/>
      <c r="C175" s="293"/>
      <c r="D175" s="293"/>
      <c r="E175" s="293"/>
    </row>
    <row r="176">
      <c r="A176" s="293"/>
      <c r="C176" s="293"/>
      <c r="D176" s="293"/>
      <c r="E176" s="293"/>
    </row>
    <row r="177">
      <c r="A177" s="293"/>
      <c r="C177" s="293"/>
      <c r="D177" s="293"/>
      <c r="E177" s="293"/>
    </row>
    <row r="178">
      <c r="A178" s="293"/>
      <c r="C178" s="293"/>
      <c r="D178" s="293"/>
      <c r="E178" s="293"/>
    </row>
    <row r="179">
      <c r="A179" s="293"/>
      <c r="C179" s="293"/>
      <c r="D179" s="293"/>
      <c r="E179" s="293"/>
    </row>
    <row r="180">
      <c r="A180" s="293"/>
      <c r="C180" s="293"/>
      <c r="D180" s="293"/>
      <c r="E180" s="293"/>
    </row>
    <row r="181">
      <c r="A181" s="293"/>
      <c r="C181" s="293"/>
      <c r="D181" s="293"/>
      <c r="E181" s="293"/>
    </row>
    <row r="182">
      <c r="A182" s="293"/>
      <c r="C182" s="293"/>
      <c r="D182" s="293"/>
      <c r="E182" s="293"/>
    </row>
    <row r="183">
      <c r="A183" s="293"/>
      <c r="C183" s="293"/>
      <c r="D183" s="293"/>
      <c r="E183" s="293"/>
    </row>
    <row r="184">
      <c r="A184" s="293"/>
      <c r="C184" s="293"/>
      <c r="D184" s="293"/>
      <c r="E184" s="293"/>
    </row>
    <row r="185">
      <c r="A185" s="293"/>
      <c r="C185" s="293"/>
      <c r="D185" s="293"/>
      <c r="E185" s="293"/>
    </row>
    <row r="186">
      <c r="A186" s="293"/>
      <c r="C186" s="293"/>
      <c r="D186" s="293"/>
      <c r="E186" s="293"/>
    </row>
    <row r="187">
      <c r="A187" s="293"/>
      <c r="C187" s="293"/>
      <c r="D187" s="293"/>
      <c r="E187" s="293"/>
    </row>
    <row r="188">
      <c r="A188" s="293"/>
      <c r="C188" s="293"/>
      <c r="D188" s="293"/>
      <c r="E188" s="293"/>
    </row>
    <row r="189">
      <c r="A189" s="293"/>
      <c r="C189" s="293"/>
      <c r="D189" s="293"/>
      <c r="E189" s="293"/>
    </row>
    <row r="190">
      <c r="A190" s="293"/>
      <c r="C190" s="293"/>
      <c r="D190" s="293"/>
      <c r="E190" s="293"/>
    </row>
    <row r="191">
      <c r="A191" s="293"/>
      <c r="C191" s="293"/>
      <c r="D191" s="293"/>
      <c r="E191" s="293"/>
    </row>
    <row r="192">
      <c r="A192" s="293"/>
      <c r="C192" s="293"/>
      <c r="D192" s="293"/>
      <c r="E192" s="293"/>
    </row>
    <row r="193">
      <c r="A193" s="293"/>
      <c r="C193" s="293"/>
      <c r="D193" s="293"/>
      <c r="E193" s="293"/>
    </row>
    <row r="194">
      <c r="A194" s="293"/>
      <c r="C194" s="293"/>
      <c r="D194" s="293"/>
      <c r="E194" s="293"/>
    </row>
    <row r="195">
      <c r="A195" s="293"/>
      <c r="C195" s="293"/>
      <c r="D195" s="293"/>
      <c r="E195" s="293"/>
    </row>
    <row r="196">
      <c r="A196" s="293"/>
      <c r="C196" s="293"/>
      <c r="D196" s="293"/>
      <c r="E196" s="293"/>
    </row>
    <row r="197">
      <c r="A197" s="293"/>
      <c r="C197" s="293"/>
      <c r="D197" s="293"/>
      <c r="E197" s="293"/>
    </row>
    <row r="198">
      <c r="A198" s="293"/>
      <c r="C198" s="293"/>
      <c r="D198" s="293"/>
      <c r="E198" s="293"/>
    </row>
    <row r="199">
      <c r="A199" s="293"/>
      <c r="C199" s="293"/>
      <c r="D199" s="293"/>
      <c r="E199" s="293"/>
    </row>
    <row r="200">
      <c r="A200" s="293"/>
      <c r="C200" s="293"/>
      <c r="D200" s="293"/>
      <c r="E200" s="293"/>
    </row>
    <row r="201">
      <c r="A201" s="293"/>
      <c r="C201" s="293"/>
      <c r="D201" s="293"/>
      <c r="E201" s="293"/>
    </row>
    <row r="202">
      <c r="A202" s="293"/>
      <c r="C202" s="293"/>
      <c r="D202" s="293"/>
      <c r="E202" s="293"/>
    </row>
    <row r="203">
      <c r="A203" s="293"/>
      <c r="C203" s="293"/>
      <c r="D203" s="293"/>
      <c r="E203" s="293"/>
    </row>
    <row r="204">
      <c r="A204" s="293"/>
      <c r="C204" s="293"/>
      <c r="D204" s="293"/>
      <c r="E204" s="293"/>
    </row>
    <row r="205">
      <c r="A205" s="293"/>
      <c r="C205" s="293"/>
      <c r="D205" s="293"/>
      <c r="E205" s="293"/>
    </row>
    <row r="206">
      <c r="A206" s="293"/>
      <c r="C206" s="293"/>
      <c r="D206" s="293"/>
      <c r="E206" s="293"/>
    </row>
    <row r="207">
      <c r="A207" s="293"/>
      <c r="C207" s="293"/>
      <c r="D207" s="293"/>
      <c r="E207" s="293"/>
    </row>
    <row r="208">
      <c r="A208" s="293"/>
      <c r="C208" s="293"/>
      <c r="D208" s="293"/>
      <c r="E208" s="293"/>
    </row>
    <row r="209">
      <c r="A209" s="293"/>
      <c r="C209" s="293"/>
      <c r="D209" s="293"/>
      <c r="E209" s="293"/>
    </row>
    <row r="210">
      <c r="A210" s="293"/>
      <c r="C210" s="293"/>
      <c r="D210" s="293"/>
      <c r="E210" s="293"/>
    </row>
    <row r="211">
      <c r="A211" s="293"/>
      <c r="C211" s="293"/>
      <c r="D211" s="293"/>
      <c r="E211" s="293"/>
    </row>
    <row r="212">
      <c r="A212" s="293"/>
      <c r="C212" s="293"/>
      <c r="D212" s="293"/>
      <c r="E212" s="293"/>
    </row>
    <row r="213">
      <c r="A213" s="293"/>
      <c r="C213" s="293"/>
      <c r="D213" s="293"/>
      <c r="E213" s="293"/>
    </row>
    <row r="214">
      <c r="A214" s="293"/>
      <c r="C214" s="293"/>
      <c r="D214" s="293"/>
      <c r="E214" s="293"/>
    </row>
    <row r="215">
      <c r="A215" s="293"/>
      <c r="C215" s="293"/>
      <c r="D215" s="293"/>
      <c r="E215" s="293"/>
    </row>
    <row r="216">
      <c r="A216" s="293"/>
      <c r="C216" s="293"/>
      <c r="D216" s="293"/>
      <c r="E216" s="293"/>
    </row>
    <row r="217">
      <c r="A217" s="293"/>
      <c r="C217" s="293"/>
      <c r="D217" s="293"/>
      <c r="E217" s="293"/>
    </row>
    <row r="218">
      <c r="A218" s="293"/>
      <c r="C218" s="293"/>
      <c r="D218" s="293"/>
      <c r="E218" s="293"/>
    </row>
    <row r="219">
      <c r="A219" s="293"/>
      <c r="C219" s="293"/>
      <c r="D219" s="293"/>
      <c r="E219" s="293"/>
    </row>
    <row r="220">
      <c r="A220" s="293"/>
      <c r="C220" s="293"/>
      <c r="D220" s="293"/>
      <c r="E220" s="293"/>
    </row>
    <row r="221">
      <c r="A221" s="293"/>
      <c r="C221" s="293"/>
      <c r="D221" s="293"/>
      <c r="E221" s="293"/>
    </row>
    <row r="222">
      <c r="A222" s="293"/>
      <c r="C222" s="293"/>
      <c r="D222" s="293"/>
      <c r="E222" s="293"/>
    </row>
    <row r="223">
      <c r="A223" s="293"/>
      <c r="C223" s="293"/>
      <c r="D223" s="293"/>
      <c r="E223" s="293"/>
    </row>
    <row r="224">
      <c r="A224" s="293"/>
      <c r="C224" s="293"/>
      <c r="D224" s="293"/>
      <c r="E224" s="293"/>
    </row>
    <row r="225">
      <c r="A225" s="293"/>
      <c r="C225" s="293"/>
      <c r="D225" s="293"/>
      <c r="E225" s="293"/>
    </row>
    <row r="226">
      <c r="A226" s="293"/>
      <c r="C226" s="293"/>
      <c r="D226" s="293"/>
      <c r="E226" s="293"/>
    </row>
    <row r="227">
      <c r="A227" s="293"/>
      <c r="C227" s="293"/>
      <c r="D227" s="293"/>
      <c r="E227" s="293"/>
    </row>
    <row r="228">
      <c r="A228" s="293"/>
      <c r="C228" s="293"/>
      <c r="D228" s="293"/>
      <c r="E228" s="293"/>
    </row>
    <row r="229">
      <c r="A229" s="293"/>
      <c r="C229" s="293"/>
      <c r="D229" s="293"/>
      <c r="E229" s="293"/>
    </row>
    <row r="230">
      <c r="A230" s="293"/>
      <c r="C230" s="293"/>
      <c r="D230" s="293"/>
      <c r="E230" s="293"/>
    </row>
    <row r="231">
      <c r="A231" s="293"/>
      <c r="C231" s="293"/>
      <c r="D231" s="293"/>
      <c r="E231" s="293"/>
    </row>
    <row r="232">
      <c r="A232" s="293"/>
      <c r="C232" s="293"/>
      <c r="D232" s="293"/>
      <c r="E232" s="293"/>
    </row>
    <row r="233">
      <c r="A233" s="293"/>
      <c r="C233" s="293"/>
      <c r="D233" s="293"/>
      <c r="E233" s="293"/>
    </row>
    <row r="234">
      <c r="A234" s="293"/>
      <c r="C234" s="293"/>
      <c r="D234" s="293"/>
      <c r="E234" s="293"/>
    </row>
    <row r="235">
      <c r="A235" s="293"/>
      <c r="C235" s="293"/>
      <c r="D235" s="293"/>
      <c r="E235" s="293"/>
    </row>
    <row r="236">
      <c r="A236" s="293"/>
      <c r="C236" s="293"/>
      <c r="D236" s="293"/>
      <c r="E236" s="293"/>
    </row>
    <row r="237">
      <c r="A237" s="293"/>
      <c r="C237" s="293"/>
      <c r="D237" s="293"/>
      <c r="E237" s="293"/>
    </row>
    <row r="238">
      <c r="A238" s="293"/>
      <c r="C238" s="293"/>
      <c r="D238" s="293"/>
      <c r="E238" s="293"/>
    </row>
    <row r="239">
      <c r="A239" s="293"/>
      <c r="C239" s="293"/>
      <c r="D239" s="293"/>
      <c r="E239" s="293"/>
    </row>
    <row r="240">
      <c r="A240" s="293"/>
      <c r="C240" s="293"/>
      <c r="D240" s="293"/>
      <c r="E240" s="293"/>
    </row>
    <row r="241">
      <c r="A241" s="293"/>
      <c r="C241" s="293"/>
      <c r="D241" s="293"/>
      <c r="E241" s="293"/>
    </row>
    <row r="242">
      <c r="A242" s="293"/>
      <c r="C242" s="293"/>
      <c r="D242" s="293"/>
      <c r="E242" s="293"/>
    </row>
    <row r="243">
      <c r="A243" s="293"/>
      <c r="C243" s="293"/>
      <c r="D243" s="293"/>
      <c r="E243" s="293"/>
    </row>
    <row r="244">
      <c r="A244" s="293"/>
      <c r="C244" s="293"/>
      <c r="D244" s="293"/>
      <c r="E244" s="293"/>
    </row>
    <row r="245">
      <c r="A245" s="293"/>
      <c r="C245" s="293"/>
      <c r="D245" s="293"/>
      <c r="E245" s="293"/>
    </row>
    <row r="246">
      <c r="A246" s="293"/>
      <c r="C246" s="293"/>
      <c r="D246" s="293"/>
      <c r="E246" s="293"/>
    </row>
    <row r="247">
      <c r="A247" s="293"/>
      <c r="C247" s="293"/>
      <c r="D247" s="293"/>
      <c r="E247" s="293"/>
    </row>
    <row r="248">
      <c r="A248" s="293"/>
      <c r="C248" s="293"/>
      <c r="D248" s="293"/>
      <c r="E248" s="293"/>
    </row>
    <row r="249">
      <c r="A249" s="293"/>
      <c r="C249" s="293"/>
      <c r="D249" s="293"/>
      <c r="E249" s="293"/>
    </row>
    <row r="250">
      <c r="A250" s="293"/>
      <c r="C250" s="293"/>
      <c r="D250" s="293"/>
      <c r="E250" s="293"/>
    </row>
    <row r="251">
      <c r="A251" s="293"/>
      <c r="C251" s="293"/>
      <c r="D251" s="293"/>
      <c r="E251" s="293"/>
    </row>
    <row r="252">
      <c r="A252" s="293"/>
      <c r="C252" s="293"/>
      <c r="D252" s="293"/>
      <c r="E252" s="293"/>
    </row>
    <row r="253">
      <c r="A253" s="293"/>
      <c r="C253" s="293"/>
      <c r="D253" s="293"/>
      <c r="E253" s="293"/>
    </row>
    <row r="254">
      <c r="A254" s="293"/>
      <c r="C254" s="293"/>
      <c r="D254" s="293"/>
      <c r="E254" s="293"/>
    </row>
    <row r="255">
      <c r="A255" s="293"/>
      <c r="C255" s="293"/>
      <c r="D255" s="293"/>
      <c r="E255" s="293"/>
    </row>
    <row r="256">
      <c r="A256" s="293"/>
      <c r="C256" s="293"/>
      <c r="D256" s="293"/>
      <c r="E256" s="293"/>
    </row>
    <row r="257">
      <c r="A257" s="293"/>
      <c r="C257" s="293"/>
      <c r="D257" s="293"/>
      <c r="E257" s="293"/>
    </row>
    <row r="258">
      <c r="A258" s="293"/>
      <c r="C258" s="293"/>
      <c r="D258" s="293"/>
      <c r="E258" s="293"/>
    </row>
    <row r="259">
      <c r="A259" s="293"/>
      <c r="C259" s="293"/>
      <c r="D259" s="293"/>
      <c r="E259" s="293"/>
    </row>
    <row r="260">
      <c r="A260" s="293"/>
      <c r="C260" s="293"/>
      <c r="D260" s="293"/>
      <c r="E260" s="293"/>
    </row>
    <row r="261">
      <c r="A261" s="293"/>
      <c r="C261" s="293"/>
      <c r="D261" s="293"/>
      <c r="E261" s="293"/>
    </row>
    <row r="262">
      <c r="A262" s="293"/>
      <c r="C262" s="293"/>
      <c r="D262" s="293"/>
      <c r="E262" s="293"/>
    </row>
    <row r="263">
      <c r="A263" s="293"/>
      <c r="C263" s="293"/>
      <c r="D263" s="293"/>
      <c r="E263" s="293"/>
    </row>
    <row r="264">
      <c r="A264" s="293"/>
      <c r="C264" s="293"/>
      <c r="D264" s="293"/>
      <c r="E264" s="293"/>
    </row>
    <row r="265">
      <c r="A265" s="293"/>
      <c r="C265" s="293"/>
      <c r="D265" s="293"/>
      <c r="E265" s="293"/>
    </row>
    <row r="266">
      <c r="A266" s="293"/>
      <c r="C266" s="293"/>
      <c r="D266" s="293"/>
      <c r="E266" s="293"/>
    </row>
    <row r="267">
      <c r="A267" s="293"/>
      <c r="C267" s="293"/>
      <c r="D267" s="293"/>
      <c r="E267" s="293"/>
    </row>
    <row r="268">
      <c r="A268" s="293"/>
      <c r="C268" s="293"/>
      <c r="D268" s="293"/>
      <c r="E268" s="293"/>
    </row>
    <row r="269">
      <c r="A269" s="293"/>
      <c r="C269" s="293"/>
      <c r="D269" s="293"/>
      <c r="E269" s="293"/>
    </row>
    <row r="270">
      <c r="A270" s="293"/>
      <c r="C270" s="293"/>
      <c r="D270" s="293"/>
      <c r="E270" s="293"/>
    </row>
    <row r="271">
      <c r="A271" s="293"/>
      <c r="C271" s="293"/>
      <c r="D271" s="293"/>
      <c r="E271" s="293"/>
    </row>
    <row r="272">
      <c r="A272" s="293"/>
      <c r="C272" s="293"/>
      <c r="D272" s="293"/>
      <c r="E272" s="293"/>
    </row>
    <row r="273">
      <c r="A273" s="293"/>
      <c r="C273" s="293"/>
      <c r="D273" s="293"/>
      <c r="E273" s="293"/>
    </row>
    <row r="274">
      <c r="A274" s="293"/>
      <c r="C274" s="293"/>
      <c r="D274" s="293"/>
      <c r="E274" s="293"/>
    </row>
    <row r="275">
      <c r="A275" s="293"/>
      <c r="C275" s="293"/>
      <c r="D275" s="293"/>
      <c r="E275" s="293"/>
    </row>
    <row r="276">
      <c r="A276" s="293"/>
      <c r="C276" s="293"/>
      <c r="D276" s="293"/>
      <c r="E276" s="293"/>
    </row>
    <row r="277">
      <c r="A277" s="293"/>
      <c r="C277" s="293"/>
      <c r="D277" s="293"/>
      <c r="E277" s="293"/>
    </row>
    <row r="278">
      <c r="A278" s="293"/>
      <c r="C278" s="293"/>
      <c r="D278" s="293"/>
      <c r="E278" s="293"/>
    </row>
    <row r="279">
      <c r="A279" s="293"/>
      <c r="C279" s="293"/>
      <c r="D279" s="293"/>
      <c r="E279" s="293"/>
    </row>
    <row r="280">
      <c r="A280" s="293"/>
      <c r="C280" s="293"/>
      <c r="D280" s="293"/>
      <c r="E280" s="293"/>
    </row>
    <row r="281">
      <c r="A281" s="293"/>
      <c r="C281" s="293"/>
      <c r="D281" s="293"/>
      <c r="E281" s="293"/>
    </row>
    <row r="282">
      <c r="A282" s="293"/>
      <c r="C282" s="293"/>
      <c r="D282" s="293"/>
      <c r="E282" s="293"/>
    </row>
    <row r="283">
      <c r="A283" s="293"/>
      <c r="C283" s="293"/>
      <c r="D283" s="293"/>
      <c r="E283" s="293"/>
    </row>
    <row r="284">
      <c r="A284" s="293"/>
      <c r="C284" s="293"/>
      <c r="D284" s="293"/>
      <c r="E284" s="293"/>
    </row>
    <row r="285">
      <c r="A285" s="293"/>
      <c r="C285" s="293"/>
      <c r="D285" s="293"/>
      <c r="E285" s="293"/>
    </row>
    <row r="286">
      <c r="A286" s="293"/>
      <c r="C286" s="293"/>
      <c r="D286" s="293"/>
      <c r="E286" s="293"/>
    </row>
    <row r="287">
      <c r="A287" s="293"/>
      <c r="C287" s="293"/>
      <c r="D287" s="293"/>
      <c r="E287" s="293"/>
    </row>
    <row r="288">
      <c r="A288" s="293"/>
      <c r="C288" s="293"/>
      <c r="D288" s="293"/>
      <c r="E288" s="293"/>
    </row>
    <row r="289">
      <c r="A289" s="293"/>
      <c r="C289" s="293"/>
      <c r="D289" s="293"/>
      <c r="E289" s="293"/>
    </row>
    <row r="290">
      <c r="A290" s="293"/>
      <c r="C290" s="293"/>
      <c r="D290" s="293"/>
      <c r="E290" s="293"/>
    </row>
    <row r="291">
      <c r="A291" s="293"/>
      <c r="C291" s="293"/>
      <c r="D291" s="293"/>
      <c r="E291" s="293"/>
    </row>
    <row r="292">
      <c r="A292" s="293"/>
      <c r="C292" s="293"/>
      <c r="D292" s="293"/>
      <c r="E292" s="293"/>
    </row>
    <row r="293">
      <c r="A293" s="293"/>
      <c r="C293" s="293"/>
      <c r="D293" s="293"/>
      <c r="E293" s="293"/>
    </row>
    <row r="294">
      <c r="A294" s="293"/>
      <c r="C294" s="293"/>
      <c r="D294" s="293"/>
      <c r="E294" s="293"/>
    </row>
    <row r="295">
      <c r="A295" s="293"/>
      <c r="C295" s="293"/>
      <c r="D295" s="293"/>
      <c r="E295" s="293"/>
    </row>
    <row r="296">
      <c r="A296" s="293"/>
      <c r="C296" s="293"/>
      <c r="D296" s="293"/>
      <c r="E296" s="293"/>
    </row>
    <row r="297">
      <c r="A297" s="293"/>
      <c r="C297" s="293"/>
      <c r="D297" s="293"/>
      <c r="E297" s="293"/>
    </row>
    <row r="298">
      <c r="A298" s="293"/>
      <c r="C298" s="293"/>
      <c r="D298" s="293"/>
      <c r="E298" s="293"/>
    </row>
    <row r="299">
      <c r="A299" s="293"/>
      <c r="C299" s="293"/>
      <c r="D299" s="293"/>
      <c r="E299" s="293"/>
    </row>
    <row r="300">
      <c r="A300" s="293"/>
      <c r="C300" s="293"/>
      <c r="D300" s="293"/>
      <c r="E300" s="293"/>
    </row>
    <row r="301">
      <c r="A301" s="293"/>
      <c r="C301" s="293"/>
      <c r="D301" s="293"/>
      <c r="E301" s="293"/>
    </row>
    <row r="302">
      <c r="A302" s="293"/>
      <c r="C302" s="293"/>
      <c r="D302" s="293"/>
      <c r="E302" s="293"/>
    </row>
    <row r="303">
      <c r="A303" s="293"/>
      <c r="C303" s="293"/>
      <c r="D303" s="293"/>
      <c r="E303" s="293"/>
    </row>
    <row r="304">
      <c r="A304" s="293"/>
      <c r="C304" s="293"/>
      <c r="D304" s="293"/>
      <c r="E304" s="293"/>
    </row>
    <row r="305">
      <c r="A305" s="293"/>
      <c r="C305" s="293"/>
      <c r="D305" s="293"/>
      <c r="E305" s="293"/>
    </row>
    <row r="306">
      <c r="A306" s="293"/>
      <c r="C306" s="293"/>
      <c r="D306" s="293"/>
      <c r="E306" s="293"/>
    </row>
    <row r="307">
      <c r="A307" s="293"/>
      <c r="C307" s="293"/>
      <c r="D307" s="293"/>
      <c r="E307" s="293"/>
    </row>
    <row r="308">
      <c r="A308" s="293"/>
      <c r="C308" s="293"/>
      <c r="D308" s="293"/>
      <c r="E308" s="293"/>
    </row>
    <row r="309">
      <c r="A309" s="293"/>
      <c r="C309" s="293"/>
      <c r="D309" s="293"/>
      <c r="E309" s="293"/>
    </row>
    <row r="310">
      <c r="A310" s="293"/>
      <c r="C310" s="293"/>
      <c r="D310" s="293"/>
      <c r="E310" s="293"/>
    </row>
    <row r="311">
      <c r="A311" s="293"/>
      <c r="C311" s="293"/>
      <c r="D311" s="293"/>
      <c r="E311" s="293"/>
    </row>
    <row r="312">
      <c r="A312" s="293"/>
      <c r="C312" s="293"/>
      <c r="D312" s="293"/>
      <c r="E312" s="293"/>
    </row>
    <row r="313">
      <c r="A313" s="293"/>
      <c r="C313" s="293"/>
      <c r="D313" s="293"/>
      <c r="E313" s="293"/>
    </row>
    <row r="314">
      <c r="A314" s="293"/>
      <c r="C314" s="293"/>
      <c r="D314" s="293"/>
      <c r="E314" s="293"/>
    </row>
    <row r="315">
      <c r="A315" s="293"/>
      <c r="C315" s="293"/>
      <c r="D315" s="293"/>
      <c r="E315" s="293"/>
    </row>
    <row r="316">
      <c r="A316" s="293"/>
      <c r="C316" s="293"/>
      <c r="D316" s="293"/>
      <c r="E316" s="293"/>
    </row>
    <row r="317">
      <c r="A317" s="293"/>
      <c r="C317" s="293"/>
      <c r="D317" s="293"/>
      <c r="E317" s="293"/>
    </row>
    <row r="318">
      <c r="A318" s="293"/>
      <c r="C318" s="293"/>
      <c r="D318" s="293"/>
      <c r="E318" s="293"/>
    </row>
    <row r="319">
      <c r="A319" s="293"/>
      <c r="C319" s="293"/>
      <c r="D319" s="293"/>
      <c r="E319" s="293"/>
    </row>
    <row r="320">
      <c r="A320" s="293"/>
      <c r="C320" s="293"/>
      <c r="D320" s="293"/>
      <c r="E320" s="293"/>
    </row>
    <row r="321">
      <c r="A321" s="293"/>
      <c r="C321" s="293"/>
      <c r="D321" s="293"/>
      <c r="E321" s="293"/>
    </row>
    <row r="322">
      <c r="A322" s="293"/>
      <c r="C322" s="293"/>
      <c r="D322" s="293"/>
      <c r="E322" s="293"/>
    </row>
    <row r="323">
      <c r="A323" s="293"/>
      <c r="C323" s="293"/>
      <c r="D323" s="293"/>
      <c r="E323" s="293"/>
    </row>
    <row r="324">
      <c r="A324" s="293"/>
      <c r="C324" s="293"/>
      <c r="D324" s="293"/>
      <c r="E324" s="293"/>
    </row>
    <row r="325">
      <c r="A325" s="293"/>
      <c r="C325" s="293"/>
      <c r="D325" s="293"/>
      <c r="E325" s="293"/>
    </row>
    <row r="326">
      <c r="A326" s="293"/>
      <c r="C326" s="293"/>
      <c r="D326" s="293"/>
      <c r="E326" s="293"/>
    </row>
    <row r="327">
      <c r="A327" s="293"/>
      <c r="C327" s="293"/>
      <c r="D327" s="293"/>
      <c r="E327" s="293"/>
    </row>
    <row r="328">
      <c r="A328" s="293"/>
      <c r="C328" s="293"/>
      <c r="D328" s="293"/>
      <c r="E328" s="293"/>
    </row>
    <row r="329">
      <c r="A329" s="293"/>
      <c r="C329" s="293"/>
      <c r="D329" s="293"/>
      <c r="E329" s="293"/>
    </row>
    <row r="330">
      <c r="A330" s="293"/>
      <c r="C330" s="293"/>
      <c r="D330" s="293"/>
      <c r="E330" s="293"/>
    </row>
    <row r="331">
      <c r="A331" s="293"/>
      <c r="C331" s="293"/>
      <c r="D331" s="293"/>
      <c r="E331" s="293"/>
    </row>
    <row r="332">
      <c r="A332" s="293"/>
      <c r="C332" s="293"/>
      <c r="D332" s="293"/>
      <c r="E332" s="293"/>
    </row>
    <row r="333">
      <c r="A333" s="293"/>
      <c r="C333" s="293"/>
      <c r="D333" s="293"/>
      <c r="E333" s="293"/>
    </row>
    <row r="334">
      <c r="A334" s="293"/>
      <c r="C334" s="293"/>
      <c r="D334" s="293"/>
      <c r="E334" s="293"/>
    </row>
    <row r="335">
      <c r="A335" s="293"/>
      <c r="C335" s="293"/>
      <c r="D335" s="293"/>
      <c r="E335" s="293"/>
    </row>
    <row r="336">
      <c r="A336" s="293"/>
      <c r="C336" s="293"/>
      <c r="D336" s="293"/>
      <c r="E336" s="293"/>
    </row>
    <row r="337">
      <c r="A337" s="293"/>
      <c r="C337" s="293"/>
      <c r="D337" s="293"/>
      <c r="E337" s="293"/>
    </row>
    <row r="338">
      <c r="A338" s="293"/>
      <c r="C338" s="293"/>
      <c r="D338" s="293"/>
      <c r="E338" s="293"/>
    </row>
    <row r="339">
      <c r="A339" s="293"/>
      <c r="C339" s="293"/>
      <c r="D339" s="293"/>
      <c r="E339" s="293"/>
    </row>
    <row r="340">
      <c r="A340" s="293"/>
      <c r="C340" s="293"/>
      <c r="D340" s="293"/>
      <c r="E340" s="293"/>
    </row>
    <row r="341">
      <c r="A341" s="293"/>
      <c r="C341" s="293"/>
      <c r="D341" s="293"/>
      <c r="E341" s="293"/>
    </row>
    <row r="342">
      <c r="A342" s="293"/>
      <c r="C342" s="293"/>
      <c r="D342" s="293"/>
      <c r="E342" s="293"/>
    </row>
    <row r="343">
      <c r="A343" s="293"/>
      <c r="C343" s="293"/>
      <c r="D343" s="293"/>
      <c r="E343" s="293"/>
    </row>
    <row r="344">
      <c r="A344" s="293"/>
      <c r="C344" s="293"/>
      <c r="D344" s="293"/>
      <c r="E344" s="293"/>
    </row>
    <row r="345">
      <c r="A345" s="293"/>
      <c r="C345" s="293"/>
      <c r="D345" s="293"/>
      <c r="E345" s="293"/>
    </row>
    <row r="346">
      <c r="A346" s="293"/>
      <c r="C346" s="293"/>
      <c r="D346" s="293"/>
      <c r="E346" s="293"/>
    </row>
    <row r="347">
      <c r="A347" s="293"/>
      <c r="C347" s="293"/>
      <c r="D347" s="293"/>
      <c r="E347" s="293"/>
    </row>
    <row r="348">
      <c r="A348" s="293"/>
      <c r="C348" s="293"/>
      <c r="D348" s="293"/>
      <c r="E348" s="293"/>
    </row>
    <row r="349">
      <c r="A349" s="293"/>
      <c r="C349" s="293"/>
      <c r="D349" s="293"/>
      <c r="E349" s="293"/>
    </row>
    <row r="350">
      <c r="A350" s="293"/>
      <c r="C350" s="293"/>
      <c r="D350" s="293"/>
      <c r="E350" s="293"/>
    </row>
    <row r="351">
      <c r="A351" s="293"/>
      <c r="C351" s="293"/>
      <c r="D351" s="293"/>
      <c r="E351" s="293"/>
    </row>
    <row r="352">
      <c r="A352" s="293"/>
      <c r="C352" s="293"/>
      <c r="D352" s="293"/>
      <c r="E352" s="293"/>
    </row>
    <row r="353">
      <c r="A353" s="293"/>
      <c r="C353" s="293"/>
      <c r="D353" s="293"/>
      <c r="E353" s="293"/>
    </row>
    <row r="354">
      <c r="A354" s="293"/>
      <c r="C354" s="293"/>
      <c r="D354" s="293"/>
      <c r="E354" s="293"/>
    </row>
    <row r="355">
      <c r="A355" s="293"/>
      <c r="C355" s="293"/>
      <c r="D355" s="293"/>
      <c r="E355" s="293"/>
    </row>
    <row r="356">
      <c r="A356" s="293"/>
      <c r="C356" s="293"/>
      <c r="D356" s="293"/>
      <c r="E356" s="293"/>
    </row>
    <row r="357">
      <c r="A357" s="293"/>
      <c r="C357" s="293"/>
      <c r="D357" s="293"/>
      <c r="E357" s="293"/>
    </row>
    <row r="358">
      <c r="A358" s="293"/>
      <c r="C358" s="293"/>
      <c r="D358" s="293"/>
      <c r="E358" s="293"/>
    </row>
    <row r="359">
      <c r="A359" s="293"/>
      <c r="C359" s="293"/>
      <c r="D359" s="293"/>
      <c r="E359" s="293"/>
    </row>
    <row r="360">
      <c r="A360" s="293"/>
      <c r="C360" s="293"/>
      <c r="D360" s="293"/>
      <c r="E360" s="293"/>
    </row>
    <row r="361">
      <c r="A361" s="293"/>
      <c r="C361" s="293"/>
      <c r="D361" s="293"/>
      <c r="E361" s="293"/>
    </row>
    <row r="362">
      <c r="A362" s="293"/>
      <c r="C362" s="293"/>
      <c r="D362" s="293"/>
      <c r="E362" s="293"/>
    </row>
    <row r="363">
      <c r="A363" s="293"/>
      <c r="C363" s="293"/>
      <c r="D363" s="293"/>
      <c r="E363" s="293"/>
    </row>
    <row r="364">
      <c r="A364" s="293"/>
      <c r="C364" s="293"/>
      <c r="D364" s="293"/>
      <c r="E364" s="293"/>
    </row>
    <row r="365">
      <c r="A365" s="293"/>
      <c r="C365" s="293"/>
      <c r="D365" s="293"/>
      <c r="E365" s="293"/>
    </row>
    <row r="366">
      <c r="A366" s="293"/>
      <c r="C366" s="293"/>
      <c r="D366" s="293"/>
      <c r="E366" s="293"/>
    </row>
    <row r="367">
      <c r="A367" s="293"/>
      <c r="C367" s="293"/>
      <c r="D367" s="293"/>
      <c r="E367" s="293"/>
    </row>
    <row r="368">
      <c r="A368" s="293"/>
      <c r="C368" s="293"/>
      <c r="D368" s="293"/>
      <c r="E368" s="293"/>
    </row>
    <row r="369">
      <c r="A369" s="293"/>
      <c r="C369" s="293"/>
      <c r="D369" s="293"/>
      <c r="E369" s="293"/>
    </row>
    <row r="370">
      <c r="A370" s="293"/>
      <c r="C370" s="293"/>
      <c r="D370" s="293"/>
      <c r="E370" s="293"/>
    </row>
    <row r="371">
      <c r="A371" s="293"/>
      <c r="C371" s="293"/>
      <c r="D371" s="293"/>
      <c r="E371" s="293"/>
    </row>
    <row r="372">
      <c r="A372" s="293"/>
      <c r="C372" s="293"/>
      <c r="D372" s="293"/>
      <c r="E372" s="293"/>
    </row>
    <row r="373">
      <c r="A373" s="293"/>
      <c r="C373" s="293"/>
      <c r="D373" s="293"/>
      <c r="E373" s="293"/>
    </row>
    <row r="374">
      <c r="A374" s="293"/>
      <c r="C374" s="293"/>
      <c r="D374" s="293"/>
      <c r="E374" s="293"/>
    </row>
    <row r="375">
      <c r="A375" s="293"/>
      <c r="C375" s="293"/>
      <c r="D375" s="293"/>
      <c r="E375" s="293"/>
    </row>
    <row r="376">
      <c r="A376" s="293"/>
      <c r="C376" s="293"/>
      <c r="D376" s="293"/>
      <c r="E376" s="293"/>
    </row>
    <row r="377">
      <c r="A377" s="293"/>
      <c r="C377" s="293"/>
      <c r="D377" s="293"/>
      <c r="E377" s="293"/>
    </row>
    <row r="378">
      <c r="A378" s="293"/>
      <c r="C378" s="293"/>
      <c r="D378" s="293"/>
      <c r="E378" s="293"/>
    </row>
    <row r="379">
      <c r="A379" s="293"/>
      <c r="C379" s="293"/>
      <c r="D379" s="293"/>
      <c r="E379" s="293"/>
    </row>
    <row r="380">
      <c r="A380" s="293"/>
      <c r="C380" s="293"/>
      <c r="D380" s="293"/>
      <c r="E380" s="293"/>
    </row>
    <row r="381">
      <c r="A381" s="293"/>
      <c r="C381" s="293"/>
      <c r="D381" s="293"/>
      <c r="E381" s="293"/>
    </row>
    <row r="382">
      <c r="A382" s="293"/>
      <c r="C382" s="293"/>
      <c r="D382" s="293"/>
      <c r="E382" s="293"/>
    </row>
    <row r="383">
      <c r="A383" s="293"/>
      <c r="C383" s="293"/>
      <c r="D383" s="293"/>
      <c r="E383" s="293"/>
    </row>
    <row r="384">
      <c r="A384" s="293"/>
      <c r="C384" s="293"/>
      <c r="D384" s="293"/>
      <c r="E384" s="293"/>
    </row>
    <row r="385">
      <c r="A385" s="293"/>
      <c r="C385" s="293"/>
      <c r="D385" s="293"/>
      <c r="E385" s="293"/>
    </row>
    <row r="386">
      <c r="A386" s="293"/>
      <c r="C386" s="293"/>
      <c r="D386" s="293"/>
      <c r="E386" s="293"/>
    </row>
    <row r="387">
      <c r="A387" s="293"/>
      <c r="C387" s="293"/>
      <c r="D387" s="293"/>
      <c r="E387" s="293"/>
    </row>
    <row r="388">
      <c r="A388" s="293"/>
      <c r="C388" s="293"/>
      <c r="D388" s="293"/>
      <c r="E388" s="293"/>
    </row>
    <row r="389">
      <c r="A389" s="293"/>
      <c r="C389" s="293"/>
      <c r="D389" s="293"/>
      <c r="E389" s="293"/>
    </row>
    <row r="390">
      <c r="A390" s="293"/>
      <c r="C390" s="293"/>
      <c r="D390" s="293"/>
      <c r="E390" s="293"/>
    </row>
    <row r="391">
      <c r="A391" s="293"/>
      <c r="C391" s="293"/>
      <c r="D391" s="293"/>
      <c r="E391" s="293"/>
    </row>
    <row r="392">
      <c r="A392" s="293"/>
      <c r="C392" s="293"/>
      <c r="D392" s="293"/>
      <c r="E392" s="293"/>
    </row>
    <row r="393">
      <c r="A393" s="293"/>
      <c r="C393" s="293"/>
      <c r="D393" s="293"/>
      <c r="E393" s="293"/>
    </row>
    <row r="394">
      <c r="A394" s="293"/>
      <c r="C394" s="293"/>
      <c r="D394" s="293"/>
      <c r="E394" s="293"/>
    </row>
    <row r="395">
      <c r="A395" s="293"/>
      <c r="C395" s="293"/>
      <c r="D395" s="293"/>
      <c r="E395" s="293"/>
    </row>
    <row r="396">
      <c r="A396" s="293"/>
      <c r="C396" s="293"/>
      <c r="D396" s="293"/>
      <c r="E396" s="293"/>
    </row>
    <row r="397">
      <c r="A397" s="293"/>
      <c r="C397" s="293"/>
      <c r="D397" s="293"/>
      <c r="E397" s="293"/>
    </row>
    <row r="398">
      <c r="A398" s="293"/>
      <c r="C398" s="293"/>
      <c r="D398" s="293"/>
      <c r="E398" s="293"/>
    </row>
    <row r="399">
      <c r="A399" s="293"/>
      <c r="C399" s="293"/>
      <c r="D399" s="293"/>
      <c r="E399" s="293"/>
    </row>
    <row r="400">
      <c r="A400" s="293"/>
      <c r="C400" s="293"/>
      <c r="D400" s="293"/>
      <c r="E400" s="293"/>
    </row>
    <row r="401">
      <c r="A401" s="293"/>
      <c r="C401" s="293"/>
      <c r="D401" s="293"/>
      <c r="E401" s="293"/>
    </row>
    <row r="402">
      <c r="A402" s="293"/>
      <c r="C402" s="293"/>
      <c r="D402" s="293"/>
      <c r="E402" s="293"/>
    </row>
    <row r="403">
      <c r="A403" s="293"/>
      <c r="C403" s="293"/>
      <c r="D403" s="293"/>
      <c r="E403" s="293"/>
    </row>
    <row r="404">
      <c r="A404" s="293"/>
      <c r="C404" s="293"/>
      <c r="D404" s="293"/>
      <c r="E404" s="293"/>
    </row>
    <row r="405">
      <c r="A405" s="293"/>
      <c r="C405" s="293"/>
      <c r="D405" s="293"/>
      <c r="E405" s="293"/>
    </row>
    <row r="406">
      <c r="A406" s="293"/>
      <c r="C406" s="293"/>
      <c r="D406" s="293"/>
      <c r="E406" s="293"/>
    </row>
    <row r="407">
      <c r="A407" s="293"/>
      <c r="C407" s="293"/>
      <c r="D407" s="293"/>
      <c r="E407" s="293"/>
    </row>
    <row r="408">
      <c r="A408" s="293"/>
      <c r="C408" s="293"/>
      <c r="D408" s="293"/>
      <c r="E408" s="293"/>
    </row>
    <row r="409">
      <c r="A409" s="293"/>
      <c r="C409" s="293"/>
      <c r="D409" s="293"/>
      <c r="E409" s="293"/>
    </row>
    <row r="410">
      <c r="A410" s="293"/>
      <c r="C410" s="293"/>
      <c r="D410" s="293"/>
      <c r="E410" s="293"/>
    </row>
    <row r="411">
      <c r="A411" s="293"/>
      <c r="C411" s="293"/>
      <c r="D411" s="293"/>
      <c r="E411" s="293"/>
    </row>
    <row r="412">
      <c r="A412" s="293"/>
      <c r="C412" s="293"/>
      <c r="D412" s="293"/>
      <c r="E412" s="293"/>
    </row>
    <row r="413">
      <c r="A413" s="293"/>
      <c r="C413" s="293"/>
      <c r="D413" s="293"/>
      <c r="E413" s="293"/>
    </row>
    <row r="414">
      <c r="A414" s="293"/>
      <c r="C414" s="293"/>
      <c r="D414" s="293"/>
      <c r="E414" s="293"/>
    </row>
    <row r="415">
      <c r="A415" s="293"/>
      <c r="C415" s="293"/>
      <c r="D415" s="293"/>
      <c r="E415" s="293"/>
    </row>
    <row r="416">
      <c r="A416" s="293"/>
      <c r="C416" s="293"/>
      <c r="D416" s="293"/>
      <c r="E416" s="293"/>
    </row>
    <row r="417">
      <c r="A417" s="293"/>
      <c r="C417" s="293"/>
      <c r="D417" s="293"/>
      <c r="E417" s="293"/>
    </row>
    <row r="418">
      <c r="A418" s="293"/>
      <c r="C418" s="293"/>
      <c r="D418" s="293"/>
      <c r="E418" s="293"/>
    </row>
    <row r="419">
      <c r="A419" s="293"/>
      <c r="C419" s="293"/>
      <c r="D419" s="293"/>
      <c r="E419" s="293"/>
    </row>
    <row r="420">
      <c r="A420" s="293"/>
      <c r="C420" s="293"/>
      <c r="D420" s="293"/>
      <c r="E420" s="293"/>
    </row>
    <row r="421">
      <c r="A421" s="293"/>
      <c r="C421" s="293"/>
      <c r="D421" s="293"/>
      <c r="E421" s="293"/>
    </row>
    <row r="422">
      <c r="A422" s="293"/>
      <c r="C422" s="293"/>
      <c r="D422" s="293"/>
      <c r="E422" s="293"/>
    </row>
    <row r="423">
      <c r="A423" s="293"/>
      <c r="C423" s="293"/>
      <c r="D423" s="293"/>
      <c r="E423" s="293"/>
    </row>
    <row r="424">
      <c r="A424" s="293"/>
      <c r="C424" s="293"/>
      <c r="D424" s="293"/>
      <c r="E424" s="293"/>
    </row>
    <row r="425">
      <c r="A425" s="293"/>
      <c r="C425" s="293"/>
      <c r="D425" s="293"/>
      <c r="E425" s="293"/>
    </row>
    <row r="426">
      <c r="A426" s="293"/>
      <c r="C426" s="293"/>
      <c r="D426" s="293"/>
      <c r="E426" s="293"/>
    </row>
    <row r="427">
      <c r="A427" s="293"/>
      <c r="C427" s="293"/>
      <c r="D427" s="293"/>
      <c r="E427" s="293"/>
    </row>
    <row r="428">
      <c r="A428" s="293"/>
      <c r="C428" s="293"/>
      <c r="D428" s="293"/>
      <c r="E428" s="293"/>
    </row>
    <row r="429">
      <c r="A429" s="293"/>
      <c r="C429" s="293"/>
      <c r="D429" s="293"/>
      <c r="E429" s="293"/>
    </row>
    <row r="430">
      <c r="A430" s="293"/>
      <c r="C430" s="293"/>
      <c r="D430" s="293"/>
      <c r="E430" s="293"/>
    </row>
    <row r="431">
      <c r="A431" s="293"/>
      <c r="C431" s="293"/>
      <c r="D431" s="293"/>
      <c r="E431" s="293"/>
    </row>
    <row r="432">
      <c r="A432" s="293"/>
      <c r="C432" s="293"/>
      <c r="D432" s="293"/>
      <c r="E432" s="293"/>
    </row>
    <row r="433">
      <c r="A433" s="293"/>
      <c r="C433" s="293"/>
      <c r="D433" s="293"/>
      <c r="E433" s="293"/>
    </row>
    <row r="434">
      <c r="A434" s="293"/>
      <c r="C434" s="293"/>
      <c r="D434" s="293"/>
      <c r="E434" s="293"/>
    </row>
    <row r="435">
      <c r="A435" s="293"/>
      <c r="C435" s="293"/>
      <c r="D435" s="293"/>
      <c r="E435" s="293"/>
    </row>
    <row r="436">
      <c r="A436" s="293"/>
      <c r="C436" s="293"/>
      <c r="D436" s="293"/>
      <c r="E436" s="293"/>
    </row>
    <row r="437">
      <c r="A437" s="293"/>
      <c r="C437" s="293"/>
      <c r="D437" s="293"/>
      <c r="E437" s="293"/>
    </row>
    <row r="438">
      <c r="A438" s="293"/>
      <c r="C438" s="293"/>
      <c r="D438" s="293"/>
      <c r="E438" s="293"/>
    </row>
    <row r="439">
      <c r="A439" s="293"/>
      <c r="C439" s="293"/>
      <c r="D439" s="293"/>
      <c r="E439" s="293"/>
    </row>
    <row r="440">
      <c r="A440" s="293"/>
      <c r="C440" s="293"/>
      <c r="D440" s="293"/>
      <c r="E440" s="293"/>
    </row>
    <row r="441">
      <c r="A441" s="293"/>
      <c r="C441" s="293"/>
      <c r="D441" s="293"/>
      <c r="E441" s="293"/>
    </row>
    <row r="442">
      <c r="A442" s="293"/>
      <c r="C442" s="293"/>
      <c r="D442" s="293"/>
      <c r="E442" s="293"/>
    </row>
    <row r="443">
      <c r="A443" s="293"/>
      <c r="C443" s="293"/>
      <c r="D443" s="293"/>
      <c r="E443" s="293"/>
    </row>
    <row r="444">
      <c r="A444" s="293"/>
      <c r="C444" s="293"/>
      <c r="D444" s="293"/>
      <c r="E444" s="293"/>
    </row>
    <row r="445">
      <c r="A445" s="293"/>
      <c r="C445" s="293"/>
      <c r="D445" s="293"/>
      <c r="E445" s="293"/>
    </row>
    <row r="446">
      <c r="A446" s="293"/>
      <c r="C446" s="293"/>
      <c r="D446" s="293"/>
      <c r="E446" s="293"/>
    </row>
    <row r="447">
      <c r="A447" s="293"/>
      <c r="C447" s="293"/>
      <c r="D447" s="293"/>
      <c r="E447" s="293"/>
    </row>
    <row r="448">
      <c r="A448" s="293"/>
      <c r="C448" s="293"/>
      <c r="D448" s="293"/>
      <c r="E448" s="293"/>
    </row>
    <row r="449">
      <c r="A449" s="293"/>
      <c r="C449" s="293"/>
      <c r="D449" s="293"/>
      <c r="E449" s="293"/>
    </row>
    <row r="450">
      <c r="A450" s="293"/>
      <c r="C450" s="293"/>
      <c r="D450" s="293"/>
      <c r="E450" s="293"/>
    </row>
    <row r="451">
      <c r="A451" s="293"/>
      <c r="C451" s="293"/>
      <c r="D451" s="293"/>
      <c r="E451" s="293"/>
    </row>
    <row r="452">
      <c r="A452" s="293"/>
      <c r="C452" s="293"/>
      <c r="D452" s="293"/>
      <c r="E452" s="293"/>
    </row>
    <row r="453">
      <c r="A453" s="293"/>
      <c r="C453" s="293"/>
      <c r="D453" s="293"/>
      <c r="E453" s="293"/>
    </row>
    <row r="454">
      <c r="A454" s="293"/>
      <c r="C454" s="293"/>
      <c r="D454" s="293"/>
      <c r="E454" s="293"/>
    </row>
    <row r="455">
      <c r="A455" s="293"/>
      <c r="C455" s="293"/>
      <c r="D455" s="293"/>
      <c r="E455" s="293"/>
    </row>
    <row r="456">
      <c r="A456" s="293"/>
      <c r="C456" s="293"/>
      <c r="D456" s="293"/>
      <c r="E456" s="293"/>
    </row>
    <row r="457">
      <c r="A457" s="293"/>
      <c r="C457" s="293"/>
      <c r="D457" s="293"/>
      <c r="E457" s="293"/>
    </row>
    <row r="458">
      <c r="A458" s="293"/>
      <c r="C458" s="293"/>
      <c r="D458" s="293"/>
      <c r="E458" s="293"/>
    </row>
    <row r="459">
      <c r="A459" s="293"/>
      <c r="C459" s="293"/>
      <c r="D459" s="293"/>
      <c r="E459" s="293"/>
    </row>
    <row r="460">
      <c r="A460" s="293"/>
      <c r="C460" s="293"/>
      <c r="D460" s="293"/>
      <c r="E460" s="293"/>
    </row>
    <row r="461">
      <c r="A461" s="293"/>
      <c r="C461" s="293"/>
      <c r="D461" s="293"/>
      <c r="E461" s="293"/>
    </row>
    <row r="462">
      <c r="A462" s="293"/>
      <c r="C462" s="293"/>
      <c r="D462" s="293"/>
      <c r="E462" s="293"/>
    </row>
    <row r="463">
      <c r="A463" s="293"/>
      <c r="C463" s="293"/>
      <c r="D463" s="293"/>
      <c r="E463" s="293"/>
    </row>
    <row r="464">
      <c r="A464" s="293"/>
      <c r="C464" s="293"/>
      <c r="D464" s="293"/>
      <c r="E464" s="293"/>
    </row>
    <row r="465">
      <c r="A465" s="293"/>
      <c r="C465" s="293"/>
      <c r="D465" s="293"/>
      <c r="E465" s="293"/>
    </row>
    <row r="466">
      <c r="A466" s="293"/>
      <c r="C466" s="293"/>
      <c r="D466" s="293"/>
      <c r="E466" s="293"/>
    </row>
    <row r="467">
      <c r="A467" s="293"/>
      <c r="C467" s="293"/>
      <c r="D467" s="293"/>
      <c r="E467" s="293"/>
    </row>
    <row r="468">
      <c r="A468" s="293"/>
      <c r="C468" s="293"/>
      <c r="D468" s="293"/>
      <c r="E468" s="293"/>
    </row>
    <row r="469">
      <c r="A469" s="293"/>
      <c r="C469" s="293"/>
      <c r="D469" s="293"/>
      <c r="E469" s="293"/>
    </row>
    <row r="470">
      <c r="A470" s="293"/>
      <c r="C470" s="293"/>
      <c r="D470" s="293"/>
      <c r="E470" s="293"/>
    </row>
    <row r="471">
      <c r="A471" s="293"/>
      <c r="C471" s="293"/>
      <c r="D471" s="293"/>
      <c r="E471" s="293"/>
    </row>
    <row r="472">
      <c r="A472" s="293"/>
      <c r="C472" s="293"/>
      <c r="D472" s="293"/>
      <c r="E472" s="293"/>
    </row>
    <row r="473">
      <c r="A473" s="293"/>
      <c r="C473" s="293"/>
      <c r="D473" s="293"/>
      <c r="E473" s="293"/>
    </row>
    <row r="474">
      <c r="A474" s="293"/>
      <c r="C474" s="293"/>
      <c r="D474" s="293"/>
      <c r="E474" s="293"/>
    </row>
    <row r="475">
      <c r="A475" s="293"/>
      <c r="C475" s="293"/>
      <c r="D475" s="293"/>
      <c r="E475" s="293"/>
    </row>
    <row r="476">
      <c r="A476" s="293"/>
      <c r="C476" s="293"/>
      <c r="D476" s="293"/>
      <c r="E476" s="293"/>
    </row>
    <row r="477">
      <c r="A477" s="293"/>
      <c r="C477" s="293"/>
      <c r="D477" s="293"/>
      <c r="E477" s="293"/>
    </row>
    <row r="478">
      <c r="A478" s="293"/>
      <c r="C478" s="293"/>
      <c r="D478" s="293"/>
      <c r="E478" s="293"/>
    </row>
    <row r="479">
      <c r="A479" s="293"/>
      <c r="C479" s="293"/>
      <c r="D479" s="293"/>
      <c r="E479" s="293"/>
    </row>
    <row r="480">
      <c r="A480" s="293"/>
      <c r="C480" s="293"/>
      <c r="D480" s="293"/>
      <c r="E480" s="293"/>
    </row>
    <row r="481">
      <c r="A481" s="293"/>
      <c r="C481" s="293"/>
      <c r="D481" s="293"/>
      <c r="E481" s="293"/>
    </row>
    <row r="482">
      <c r="A482" s="293"/>
      <c r="C482" s="293"/>
      <c r="D482" s="293"/>
      <c r="E482" s="293"/>
    </row>
    <row r="483">
      <c r="A483" s="293"/>
      <c r="C483" s="293"/>
      <c r="D483" s="293"/>
      <c r="E483" s="293"/>
    </row>
    <row r="484">
      <c r="A484" s="293"/>
      <c r="C484" s="293"/>
      <c r="D484" s="293"/>
      <c r="E484" s="293"/>
    </row>
    <row r="485">
      <c r="A485" s="293"/>
      <c r="C485" s="293"/>
      <c r="D485" s="293"/>
      <c r="E485" s="293"/>
    </row>
    <row r="486">
      <c r="A486" s="293"/>
      <c r="C486" s="293"/>
      <c r="D486" s="293"/>
      <c r="E486" s="293"/>
    </row>
    <row r="487">
      <c r="A487" s="293"/>
      <c r="C487" s="293"/>
      <c r="D487" s="293"/>
      <c r="E487" s="293"/>
    </row>
    <row r="488">
      <c r="A488" s="293"/>
      <c r="C488" s="293"/>
      <c r="D488" s="293"/>
      <c r="E488" s="293"/>
    </row>
    <row r="489">
      <c r="A489" s="293"/>
      <c r="C489" s="293"/>
      <c r="D489" s="293"/>
      <c r="E489" s="293"/>
    </row>
    <row r="490">
      <c r="A490" s="293"/>
      <c r="C490" s="293"/>
      <c r="D490" s="293"/>
      <c r="E490" s="293"/>
    </row>
    <row r="491">
      <c r="A491" s="293"/>
      <c r="C491" s="293"/>
      <c r="D491" s="293"/>
      <c r="E491" s="293"/>
    </row>
    <row r="492">
      <c r="A492" s="293"/>
      <c r="C492" s="293"/>
      <c r="D492" s="293"/>
      <c r="E492" s="293"/>
    </row>
    <row r="493">
      <c r="A493" s="293"/>
      <c r="C493" s="293"/>
      <c r="D493" s="293"/>
      <c r="E493" s="293"/>
    </row>
    <row r="494">
      <c r="A494" s="293"/>
      <c r="C494" s="293"/>
      <c r="D494" s="293"/>
      <c r="E494" s="293"/>
    </row>
    <row r="495">
      <c r="A495" s="293"/>
      <c r="C495" s="293"/>
      <c r="D495" s="293"/>
      <c r="E495" s="293"/>
    </row>
    <row r="496">
      <c r="A496" s="293"/>
      <c r="C496" s="293"/>
      <c r="D496" s="293"/>
      <c r="E496" s="293"/>
    </row>
    <row r="497">
      <c r="A497" s="293"/>
      <c r="C497" s="293"/>
      <c r="D497" s="293"/>
      <c r="E497" s="293"/>
    </row>
    <row r="498">
      <c r="A498" s="293"/>
      <c r="C498" s="293"/>
      <c r="D498" s="293"/>
      <c r="E498" s="293"/>
    </row>
    <row r="499">
      <c r="A499" s="293"/>
      <c r="C499" s="293"/>
      <c r="D499" s="293"/>
      <c r="E499" s="293"/>
    </row>
    <row r="500">
      <c r="A500" s="293"/>
      <c r="C500" s="293"/>
      <c r="D500" s="293"/>
      <c r="E500" s="293"/>
    </row>
    <row r="501">
      <c r="A501" s="293"/>
      <c r="C501" s="293"/>
      <c r="D501" s="293"/>
      <c r="E501" s="293"/>
    </row>
    <row r="502">
      <c r="A502" s="293"/>
      <c r="C502" s="293"/>
      <c r="D502" s="293"/>
      <c r="E502" s="293"/>
    </row>
    <row r="503">
      <c r="A503" s="293"/>
      <c r="C503" s="293"/>
      <c r="D503" s="293"/>
      <c r="E503" s="293"/>
    </row>
    <row r="504">
      <c r="A504" s="293"/>
      <c r="C504" s="293"/>
      <c r="D504" s="293"/>
      <c r="E504" s="293"/>
    </row>
    <row r="505">
      <c r="A505" s="293"/>
      <c r="C505" s="293"/>
      <c r="D505" s="293"/>
      <c r="E505" s="293"/>
    </row>
    <row r="506">
      <c r="A506" s="293"/>
      <c r="C506" s="293"/>
      <c r="D506" s="293"/>
      <c r="E506" s="293"/>
    </row>
    <row r="507">
      <c r="A507" s="293"/>
      <c r="C507" s="293"/>
      <c r="D507" s="293"/>
      <c r="E507" s="293"/>
    </row>
    <row r="508">
      <c r="A508" s="293"/>
      <c r="C508" s="293"/>
      <c r="D508" s="293"/>
      <c r="E508" s="293"/>
    </row>
    <row r="509">
      <c r="A509" s="293"/>
      <c r="C509" s="293"/>
      <c r="D509" s="293"/>
      <c r="E509" s="293"/>
    </row>
    <row r="510">
      <c r="A510" s="293"/>
      <c r="C510" s="293"/>
      <c r="D510" s="293"/>
      <c r="E510" s="293"/>
    </row>
    <row r="511">
      <c r="A511" s="293"/>
      <c r="C511" s="293"/>
      <c r="D511" s="293"/>
      <c r="E511" s="293"/>
    </row>
    <row r="512">
      <c r="A512" s="293"/>
      <c r="C512" s="293"/>
      <c r="D512" s="293"/>
      <c r="E512" s="293"/>
    </row>
    <row r="513">
      <c r="A513" s="293"/>
      <c r="C513" s="293"/>
      <c r="D513" s="293"/>
      <c r="E513" s="293"/>
    </row>
    <row r="514">
      <c r="A514" s="293"/>
      <c r="C514" s="293"/>
      <c r="D514" s="293"/>
      <c r="E514" s="293"/>
    </row>
    <row r="515">
      <c r="A515" s="293"/>
      <c r="C515" s="293"/>
      <c r="D515" s="293"/>
      <c r="E515" s="293"/>
    </row>
    <row r="516">
      <c r="A516" s="293"/>
      <c r="C516" s="293"/>
      <c r="D516" s="293"/>
      <c r="E516" s="293"/>
    </row>
    <row r="517">
      <c r="A517" s="293"/>
      <c r="C517" s="293"/>
      <c r="D517" s="293"/>
      <c r="E517" s="293"/>
    </row>
    <row r="518">
      <c r="A518" s="293"/>
      <c r="C518" s="293"/>
      <c r="D518" s="293"/>
      <c r="E518" s="293"/>
    </row>
    <row r="519">
      <c r="A519" s="293"/>
      <c r="C519" s="293"/>
      <c r="D519" s="293"/>
      <c r="E519" s="293"/>
    </row>
    <row r="520">
      <c r="A520" s="293"/>
      <c r="C520" s="293"/>
      <c r="D520" s="293"/>
      <c r="E520" s="293"/>
    </row>
    <row r="521">
      <c r="A521" s="293"/>
      <c r="C521" s="293"/>
      <c r="D521" s="293"/>
      <c r="E521" s="293"/>
    </row>
    <row r="522">
      <c r="A522" s="293"/>
      <c r="C522" s="293"/>
      <c r="D522" s="293"/>
      <c r="E522" s="293"/>
    </row>
    <row r="523">
      <c r="A523" s="293"/>
      <c r="C523" s="293"/>
      <c r="D523" s="293"/>
      <c r="E523" s="293"/>
    </row>
    <row r="524">
      <c r="A524" s="293"/>
      <c r="C524" s="293"/>
      <c r="D524" s="293"/>
      <c r="E524" s="293"/>
    </row>
    <row r="525">
      <c r="A525" s="293"/>
      <c r="C525" s="293"/>
      <c r="D525" s="293"/>
      <c r="E525" s="293"/>
    </row>
    <row r="526">
      <c r="A526" s="293"/>
      <c r="C526" s="293"/>
      <c r="D526" s="293"/>
      <c r="E526" s="293"/>
    </row>
    <row r="527">
      <c r="A527" s="293"/>
      <c r="C527" s="293"/>
      <c r="D527" s="293"/>
      <c r="E527" s="293"/>
    </row>
    <row r="528">
      <c r="A528" s="293"/>
      <c r="C528" s="293"/>
      <c r="D528" s="293"/>
      <c r="E528" s="293"/>
    </row>
    <row r="529">
      <c r="A529" s="293"/>
      <c r="C529" s="293"/>
      <c r="D529" s="293"/>
      <c r="E529" s="293"/>
    </row>
    <row r="530">
      <c r="A530" s="293"/>
      <c r="C530" s="293"/>
      <c r="D530" s="293"/>
      <c r="E530" s="293"/>
    </row>
    <row r="531">
      <c r="A531" s="293"/>
      <c r="C531" s="293"/>
      <c r="D531" s="293"/>
      <c r="E531" s="293"/>
    </row>
    <row r="532">
      <c r="A532" s="293"/>
      <c r="C532" s="293"/>
      <c r="D532" s="293"/>
      <c r="E532" s="293"/>
    </row>
    <row r="533">
      <c r="A533" s="293"/>
      <c r="C533" s="293"/>
      <c r="D533" s="293"/>
      <c r="E533" s="293"/>
    </row>
    <row r="534">
      <c r="A534" s="293"/>
      <c r="C534" s="293"/>
      <c r="D534" s="293"/>
      <c r="E534" s="293"/>
    </row>
    <row r="535">
      <c r="A535" s="293"/>
      <c r="C535" s="293"/>
      <c r="D535" s="293"/>
      <c r="E535" s="293"/>
    </row>
    <row r="536">
      <c r="A536" s="293"/>
      <c r="C536" s="293"/>
      <c r="D536" s="293"/>
      <c r="E536" s="293"/>
    </row>
    <row r="537">
      <c r="A537" s="293"/>
      <c r="C537" s="293"/>
      <c r="D537" s="293"/>
      <c r="E537" s="293"/>
    </row>
    <row r="538">
      <c r="A538" s="293"/>
      <c r="C538" s="293"/>
      <c r="D538" s="293"/>
      <c r="E538" s="293"/>
    </row>
    <row r="539">
      <c r="A539" s="293"/>
      <c r="C539" s="293"/>
      <c r="D539" s="293"/>
      <c r="E539" s="293"/>
    </row>
    <row r="540">
      <c r="A540" s="293"/>
      <c r="C540" s="293"/>
      <c r="D540" s="293"/>
      <c r="E540" s="293"/>
    </row>
    <row r="541">
      <c r="A541" s="293"/>
      <c r="C541" s="293"/>
      <c r="D541" s="293"/>
      <c r="E541" s="293"/>
    </row>
    <row r="542">
      <c r="A542" s="293"/>
      <c r="C542" s="293"/>
      <c r="D542" s="293"/>
      <c r="E542" s="293"/>
    </row>
    <row r="543">
      <c r="A543" s="293"/>
      <c r="C543" s="293"/>
      <c r="D543" s="293"/>
      <c r="E543" s="293"/>
    </row>
    <row r="544">
      <c r="A544" s="293"/>
      <c r="C544" s="293"/>
      <c r="D544" s="293"/>
      <c r="E544" s="293"/>
    </row>
    <row r="545">
      <c r="A545" s="293"/>
      <c r="C545" s="293"/>
      <c r="D545" s="293"/>
      <c r="E545" s="293"/>
    </row>
    <row r="546">
      <c r="A546" s="293"/>
      <c r="C546" s="293"/>
      <c r="D546" s="293"/>
      <c r="E546" s="293"/>
    </row>
    <row r="547">
      <c r="A547" s="293"/>
      <c r="C547" s="293"/>
      <c r="D547" s="293"/>
      <c r="E547" s="293"/>
    </row>
    <row r="548">
      <c r="A548" s="293"/>
      <c r="C548" s="293"/>
      <c r="D548" s="293"/>
      <c r="E548" s="293"/>
    </row>
    <row r="549">
      <c r="A549" s="293"/>
      <c r="C549" s="293"/>
      <c r="D549" s="293"/>
      <c r="E549" s="293"/>
    </row>
    <row r="550">
      <c r="A550" s="293"/>
      <c r="C550" s="293"/>
      <c r="D550" s="293"/>
      <c r="E550" s="293"/>
    </row>
    <row r="551">
      <c r="A551" s="293"/>
      <c r="C551" s="293"/>
      <c r="D551" s="293"/>
      <c r="E551" s="293"/>
    </row>
    <row r="552">
      <c r="A552" s="293"/>
      <c r="C552" s="293"/>
      <c r="D552" s="293"/>
      <c r="E552" s="293"/>
    </row>
    <row r="553">
      <c r="A553" s="293"/>
      <c r="C553" s="293"/>
      <c r="D553" s="293"/>
      <c r="E553" s="293"/>
    </row>
    <row r="554">
      <c r="A554" s="293"/>
      <c r="C554" s="293"/>
      <c r="D554" s="293"/>
      <c r="E554" s="293"/>
    </row>
    <row r="555">
      <c r="A555" s="293"/>
      <c r="C555" s="293"/>
      <c r="D555" s="293"/>
      <c r="E555" s="293"/>
    </row>
    <row r="556">
      <c r="A556" s="293"/>
      <c r="C556" s="293"/>
      <c r="D556" s="293"/>
      <c r="E556" s="293"/>
    </row>
    <row r="557">
      <c r="A557" s="293"/>
      <c r="C557" s="293"/>
      <c r="D557" s="293"/>
      <c r="E557" s="293"/>
    </row>
    <row r="558">
      <c r="A558" s="293"/>
      <c r="C558" s="293"/>
      <c r="D558" s="293"/>
      <c r="E558" s="293"/>
    </row>
    <row r="559">
      <c r="A559" s="293"/>
      <c r="C559" s="293"/>
      <c r="D559" s="293"/>
      <c r="E559" s="293"/>
    </row>
    <row r="560">
      <c r="A560" s="293"/>
      <c r="C560" s="293"/>
      <c r="D560" s="293"/>
      <c r="E560" s="293"/>
    </row>
    <row r="561">
      <c r="A561" s="293"/>
      <c r="C561" s="293"/>
      <c r="D561" s="293"/>
      <c r="E561" s="293"/>
    </row>
    <row r="562">
      <c r="A562" s="293"/>
      <c r="C562" s="293"/>
      <c r="D562" s="293"/>
      <c r="E562" s="293"/>
    </row>
    <row r="563">
      <c r="A563" s="293"/>
      <c r="C563" s="293"/>
      <c r="D563" s="293"/>
      <c r="E563" s="293"/>
    </row>
    <row r="564">
      <c r="A564" s="293"/>
      <c r="C564" s="293"/>
      <c r="D564" s="293"/>
      <c r="E564" s="293"/>
    </row>
    <row r="565">
      <c r="A565" s="293"/>
      <c r="C565" s="293"/>
      <c r="D565" s="293"/>
      <c r="E565" s="293"/>
    </row>
    <row r="566">
      <c r="A566" s="293"/>
      <c r="C566" s="293"/>
      <c r="D566" s="293"/>
      <c r="E566" s="293"/>
    </row>
    <row r="567">
      <c r="A567" s="293"/>
      <c r="C567" s="293"/>
      <c r="D567" s="293"/>
      <c r="E567" s="293"/>
    </row>
    <row r="568">
      <c r="A568" s="293"/>
      <c r="C568" s="293"/>
      <c r="D568" s="293"/>
      <c r="E568" s="293"/>
    </row>
    <row r="569">
      <c r="A569" s="293"/>
      <c r="C569" s="293"/>
      <c r="D569" s="293"/>
      <c r="E569" s="293"/>
    </row>
    <row r="570">
      <c r="A570" s="293"/>
      <c r="C570" s="293"/>
      <c r="D570" s="293"/>
      <c r="E570" s="293"/>
    </row>
    <row r="571">
      <c r="A571" s="293"/>
      <c r="C571" s="293"/>
      <c r="D571" s="293"/>
      <c r="E571" s="293"/>
    </row>
    <row r="572">
      <c r="A572" s="293"/>
      <c r="C572" s="293"/>
      <c r="D572" s="293"/>
      <c r="E572" s="293"/>
    </row>
    <row r="573">
      <c r="A573" s="293"/>
      <c r="C573" s="293"/>
      <c r="D573" s="293"/>
      <c r="E573" s="293"/>
    </row>
    <row r="574">
      <c r="A574" s="293"/>
      <c r="C574" s="293"/>
      <c r="D574" s="293"/>
      <c r="E574" s="293"/>
    </row>
    <row r="575">
      <c r="A575" s="293"/>
      <c r="C575" s="293"/>
      <c r="D575" s="293"/>
      <c r="E575" s="293"/>
    </row>
    <row r="576">
      <c r="A576" s="293"/>
      <c r="C576" s="293"/>
      <c r="D576" s="293"/>
      <c r="E576" s="293"/>
    </row>
    <row r="577">
      <c r="A577" s="293"/>
      <c r="C577" s="293"/>
      <c r="D577" s="293"/>
      <c r="E577" s="293"/>
    </row>
    <row r="578">
      <c r="A578" s="293"/>
      <c r="C578" s="293"/>
      <c r="D578" s="293"/>
      <c r="E578" s="293"/>
    </row>
    <row r="579">
      <c r="A579" s="293"/>
      <c r="C579" s="293"/>
      <c r="D579" s="293"/>
      <c r="E579" s="293"/>
    </row>
    <row r="580">
      <c r="A580" s="293"/>
      <c r="C580" s="293"/>
      <c r="D580" s="293"/>
      <c r="E580" s="293"/>
    </row>
    <row r="581">
      <c r="A581" s="293"/>
      <c r="C581" s="293"/>
      <c r="D581" s="293"/>
      <c r="E581" s="293"/>
    </row>
    <row r="582">
      <c r="A582" s="293"/>
      <c r="C582" s="293"/>
      <c r="D582" s="293"/>
      <c r="E582" s="293"/>
    </row>
    <row r="583">
      <c r="A583" s="293"/>
      <c r="C583" s="293"/>
      <c r="D583" s="293"/>
      <c r="E583" s="293"/>
    </row>
    <row r="584">
      <c r="A584" s="293"/>
      <c r="C584" s="293"/>
      <c r="D584" s="293"/>
      <c r="E584" s="293"/>
    </row>
    <row r="585">
      <c r="A585" s="293"/>
      <c r="C585" s="293"/>
      <c r="D585" s="293"/>
      <c r="E585" s="293"/>
    </row>
    <row r="586">
      <c r="A586" s="293"/>
      <c r="C586" s="293"/>
      <c r="D586" s="293"/>
      <c r="E586" s="293"/>
    </row>
    <row r="587">
      <c r="A587" s="293"/>
      <c r="C587" s="293"/>
      <c r="D587" s="293"/>
      <c r="E587" s="293"/>
    </row>
    <row r="588">
      <c r="A588" s="293"/>
      <c r="C588" s="293"/>
      <c r="D588" s="293"/>
      <c r="E588" s="293"/>
    </row>
    <row r="589">
      <c r="A589" s="293"/>
      <c r="C589" s="293"/>
      <c r="D589" s="293"/>
      <c r="E589" s="293"/>
    </row>
    <row r="590">
      <c r="A590" s="293"/>
      <c r="C590" s="293"/>
      <c r="D590" s="293"/>
      <c r="E590" s="293"/>
    </row>
    <row r="591">
      <c r="A591" s="293"/>
      <c r="C591" s="293"/>
      <c r="D591" s="293"/>
      <c r="E591" s="293"/>
    </row>
    <row r="592">
      <c r="A592" s="293"/>
      <c r="C592" s="293"/>
      <c r="D592" s="293"/>
      <c r="E592" s="293"/>
    </row>
    <row r="593">
      <c r="A593" s="293"/>
      <c r="C593" s="293"/>
      <c r="D593" s="293"/>
      <c r="E593" s="293"/>
    </row>
    <row r="594">
      <c r="A594" s="293"/>
      <c r="C594" s="293"/>
      <c r="D594" s="293"/>
      <c r="E594" s="293"/>
    </row>
    <row r="595">
      <c r="A595" s="293"/>
      <c r="C595" s="293"/>
      <c r="D595" s="293"/>
      <c r="E595" s="293"/>
    </row>
    <row r="596">
      <c r="A596" s="293"/>
      <c r="C596" s="293"/>
      <c r="D596" s="293"/>
      <c r="E596" s="293"/>
    </row>
    <row r="597">
      <c r="A597" s="293"/>
      <c r="C597" s="293"/>
      <c r="D597" s="293"/>
      <c r="E597" s="293"/>
    </row>
    <row r="598">
      <c r="A598" s="293"/>
      <c r="C598" s="293"/>
      <c r="D598" s="293"/>
      <c r="E598" s="293"/>
    </row>
    <row r="599">
      <c r="A599" s="293"/>
      <c r="C599" s="293"/>
      <c r="D599" s="293"/>
      <c r="E599" s="293"/>
    </row>
    <row r="600">
      <c r="A600" s="293"/>
      <c r="C600" s="293"/>
      <c r="D600" s="293"/>
      <c r="E600" s="293"/>
    </row>
    <row r="601">
      <c r="A601" s="293"/>
      <c r="C601" s="293"/>
      <c r="D601" s="293"/>
      <c r="E601" s="293"/>
    </row>
    <row r="602">
      <c r="A602" s="293"/>
      <c r="C602" s="293"/>
      <c r="D602" s="293"/>
      <c r="E602" s="293"/>
    </row>
    <row r="603">
      <c r="A603" s="293"/>
      <c r="C603" s="293"/>
      <c r="D603" s="293"/>
      <c r="E603" s="293"/>
    </row>
    <row r="604">
      <c r="A604" s="293"/>
      <c r="C604" s="293"/>
      <c r="D604" s="293"/>
      <c r="E604" s="293"/>
    </row>
    <row r="605">
      <c r="A605" s="293"/>
      <c r="C605" s="293"/>
      <c r="D605" s="293"/>
      <c r="E605" s="293"/>
    </row>
    <row r="606">
      <c r="A606" s="293"/>
      <c r="C606" s="293"/>
      <c r="D606" s="293"/>
      <c r="E606" s="293"/>
    </row>
    <row r="607">
      <c r="A607" s="293"/>
      <c r="C607" s="293"/>
      <c r="D607" s="293"/>
      <c r="E607" s="293"/>
    </row>
    <row r="608">
      <c r="A608" s="293"/>
      <c r="C608" s="293"/>
      <c r="D608" s="293"/>
      <c r="E608" s="293"/>
    </row>
    <row r="609">
      <c r="A609" s="293"/>
      <c r="C609" s="293"/>
      <c r="D609" s="293"/>
      <c r="E609" s="293"/>
    </row>
    <row r="610">
      <c r="A610" s="293"/>
      <c r="C610" s="293"/>
      <c r="D610" s="293"/>
      <c r="E610" s="293"/>
    </row>
    <row r="611">
      <c r="A611" s="293"/>
      <c r="C611" s="293"/>
      <c r="D611" s="293"/>
      <c r="E611" s="293"/>
    </row>
    <row r="612">
      <c r="A612" s="293"/>
      <c r="C612" s="293"/>
      <c r="D612" s="293"/>
      <c r="E612" s="293"/>
    </row>
    <row r="613">
      <c r="A613" s="293"/>
      <c r="C613" s="293"/>
      <c r="D613" s="293"/>
      <c r="E613" s="293"/>
    </row>
    <row r="614">
      <c r="A614" s="293"/>
      <c r="C614" s="293"/>
      <c r="D614" s="293"/>
      <c r="E614" s="293"/>
    </row>
    <row r="615">
      <c r="A615" s="293"/>
      <c r="C615" s="293"/>
      <c r="D615" s="293"/>
      <c r="E615" s="293"/>
    </row>
    <row r="616">
      <c r="A616" s="293"/>
      <c r="C616" s="293"/>
      <c r="D616" s="293"/>
      <c r="E616" s="293"/>
    </row>
    <row r="617">
      <c r="A617" s="293"/>
      <c r="C617" s="293"/>
      <c r="D617" s="293"/>
      <c r="E617" s="293"/>
    </row>
    <row r="618">
      <c r="A618" s="293"/>
      <c r="C618" s="293"/>
      <c r="D618" s="293"/>
      <c r="E618" s="293"/>
    </row>
    <row r="619">
      <c r="A619" s="293"/>
      <c r="C619" s="293"/>
      <c r="D619" s="293"/>
      <c r="E619" s="293"/>
    </row>
    <row r="620">
      <c r="A620" s="293"/>
      <c r="C620" s="293"/>
      <c r="D620" s="293"/>
      <c r="E620" s="293"/>
    </row>
    <row r="621">
      <c r="A621" s="293"/>
      <c r="C621" s="293"/>
      <c r="D621" s="293"/>
      <c r="E621" s="293"/>
    </row>
    <row r="622">
      <c r="A622" s="293"/>
      <c r="C622" s="293"/>
      <c r="D622" s="293"/>
      <c r="E622" s="293"/>
    </row>
    <row r="623">
      <c r="A623" s="293"/>
      <c r="C623" s="293"/>
      <c r="D623" s="293"/>
      <c r="E623" s="293"/>
    </row>
    <row r="624">
      <c r="A624" s="293"/>
      <c r="C624" s="293"/>
      <c r="D624" s="293"/>
      <c r="E624" s="293"/>
    </row>
    <row r="625">
      <c r="A625" s="293"/>
      <c r="C625" s="293"/>
      <c r="D625" s="293"/>
      <c r="E625" s="293"/>
    </row>
    <row r="626">
      <c r="A626" s="293"/>
      <c r="C626" s="293"/>
      <c r="D626" s="293"/>
      <c r="E626" s="293"/>
    </row>
    <row r="627">
      <c r="A627" s="293"/>
      <c r="C627" s="293"/>
      <c r="D627" s="293"/>
      <c r="E627" s="293"/>
    </row>
    <row r="628">
      <c r="A628" s="293"/>
      <c r="C628" s="293"/>
      <c r="D628" s="293"/>
      <c r="E628" s="293"/>
    </row>
    <row r="629">
      <c r="A629" s="293"/>
      <c r="C629" s="293"/>
      <c r="D629" s="293"/>
      <c r="E629" s="293"/>
    </row>
    <row r="630">
      <c r="A630" s="293"/>
      <c r="C630" s="293"/>
      <c r="D630" s="293"/>
      <c r="E630" s="293"/>
    </row>
    <row r="631">
      <c r="A631" s="293"/>
      <c r="C631" s="293"/>
      <c r="D631" s="293"/>
      <c r="E631" s="293"/>
    </row>
    <row r="632">
      <c r="A632" s="293"/>
      <c r="C632" s="293"/>
      <c r="D632" s="293"/>
      <c r="E632" s="293"/>
    </row>
    <row r="633">
      <c r="A633" s="293"/>
      <c r="C633" s="293"/>
      <c r="D633" s="293"/>
      <c r="E633" s="293"/>
    </row>
    <row r="634">
      <c r="A634" s="293"/>
      <c r="C634" s="293"/>
      <c r="D634" s="293"/>
      <c r="E634" s="293"/>
    </row>
    <row r="635">
      <c r="A635" s="293"/>
      <c r="C635" s="293"/>
      <c r="D635" s="293"/>
      <c r="E635" s="293"/>
    </row>
    <row r="636">
      <c r="A636" s="293"/>
      <c r="C636" s="293"/>
      <c r="D636" s="293"/>
      <c r="E636" s="293"/>
    </row>
    <row r="637">
      <c r="A637" s="293"/>
      <c r="C637" s="293"/>
      <c r="D637" s="293"/>
      <c r="E637" s="293"/>
    </row>
    <row r="638">
      <c r="A638" s="293"/>
      <c r="C638" s="293"/>
      <c r="D638" s="293"/>
      <c r="E638" s="293"/>
    </row>
    <row r="639">
      <c r="A639" s="293"/>
      <c r="C639" s="293"/>
      <c r="D639" s="293"/>
      <c r="E639" s="293"/>
    </row>
    <row r="640">
      <c r="A640" s="293"/>
      <c r="C640" s="293"/>
      <c r="D640" s="293"/>
      <c r="E640" s="293"/>
    </row>
    <row r="641">
      <c r="A641" s="293"/>
      <c r="C641" s="293"/>
      <c r="D641" s="293"/>
      <c r="E641" s="293"/>
    </row>
    <row r="642">
      <c r="A642" s="293"/>
      <c r="C642" s="293"/>
      <c r="D642" s="293"/>
      <c r="E642" s="293"/>
    </row>
    <row r="643">
      <c r="A643" s="293"/>
      <c r="C643" s="293"/>
      <c r="D643" s="293"/>
      <c r="E643" s="293"/>
    </row>
    <row r="644">
      <c r="A644" s="293"/>
      <c r="C644" s="293"/>
      <c r="D644" s="293"/>
      <c r="E644" s="293"/>
    </row>
    <row r="645">
      <c r="A645" s="293"/>
      <c r="C645" s="293"/>
      <c r="D645" s="293"/>
      <c r="E645" s="293"/>
    </row>
    <row r="646">
      <c r="A646" s="293"/>
      <c r="C646" s="293"/>
      <c r="D646" s="293"/>
      <c r="E646" s="293"/>
    </row>
    <row r="647">
      <c r="A647" s="293"/>
      <c r="C647" s="293"/>
      <c r="D647" s="293"/>
      <c r="E647" s="293"/>
    </row>
    <row r="648">
      <c r="A648" s="293"/>
      <c r="C648" s="293"/>
      <c r="D648" s="293"/>
      <c r="E648" s="293"/>
    </row>
    <row r="649">
      <c r="A649" s="293"/>
      <c r="C649" s="293"/>
      <c r="D649" s="293"/>
      <c r="E649" s="293"/>
    </row>
    <row r="650">
      <c r="A650" s="293"/>
      <c r="C650" s="293"/>
      <c r="D650" s="293"/>
      <c r="E650" s="293"/>
    </row>
    <row r="651">
      <c r="A651" s="293"/>
      <c r="C651" s="293"/>
      <c r="D651" s="293"/>
      <c r="E651" s="293"/>
    </row>
    <row r="652">
      <c r="A652" s="293"/>
      <c r="C652" s="293"/>
      <c r="D652" s="293"/>
      <c r="E652" s="293"/>
    </row>
    <row r="653">
      <c r="A653" s="293"/>
      <c r="C653" s="293"/>
      <c r="D653" s="293"/>
      <c r="E653" s="293"/>
    </row>
    <row r="654">
      <c r="A654" s="293"/>
      <c r="C654" s="293"/>
      <c r="D654" s="293"/>
      <c r="E654" s="293"/>
    </row>
    <row r="655">
      <c r="A655" s="293"/>
      <c r="C655" s="293"/>
      <c r="D655" s="293"/>
      <c r="E655" s="293"/>
    </row>
    <row r="656">
      <c r="A656" s="293"/>
      <c r="C656" s="293"/>
      <c r="D656" s="293"/>
      <c r="E656" s="293"/>
    </row>
    <row r="657">
      <c r="A657" s="293"/>
      <c r="C657" s="293"/>
      <c r="D657" s="293"/>
      <c r="E657" s="293"/>
    </row>
    <row r="658">
      <c r="A658" s="293"/>
      <c r="C658" s="293"/>
      <c r="D658" s="293"/>
      <c r="E658" s="293"/>
    </row>
    <row r="659">
      <c r="A659" s="293"/>
      <c r="C659" s="293"/>
      <c r="D659" s="293"/>
      <c r="E659" s="293"/>
    </row>
    <row r="660">
      <c r="A660" s="293"/>
      <c r="C660" s="293"/>
      <c r="D660" s="293"/>
      <c r="E660" s="293"/>
    </row>
    <row r="661">
      <c r="A661" s="293"/>
      <c r="C661" s="293"/>
      <c r="D661" s="293"/>
      <c r="E661" s="293"/>
    </row>
    <row r="662">
      <c r="A662" s="293"/>
      <c r="C662" s="293"/>
      <c r="D662" s="293"/>
      <c r="E662" s="293"/>
    </row>
    <row r="663">
      <c r="A663" s="293"/>
      <c r="C663" s="293"/>
      <c r="D663" s="293"/>
      <c r="E663" s="293"/>
    </row>
    <row r="664">
      <c r="A664" s="293"/>
      <c r="C664" s="293"/>
      <c r="D664" s="293"/>
      <c r="E664" s="293"/>
    </row>
    <row r="665">
      <c r="A665" s="293"/>
      <c r="C665" s="293"/>
      <c r="D665" s="293"/>
      <c r="E665" s="293"/>
    </row>
    <row r="666">
      <c r="A666" s="293"/>
      <c r="C666" s="293"/>
      <c r="D666" s="293"/>
      <c r="E666" s="293"/>
    </row>
    <row r="667">
      <c r="A667" s="293"/>
      <c r="C667" s="293"/>
      <c r="D667" s="293"/>
      <c r="E667" s="293"/>
    </row>
    <row r="668">
      <c r="A668" s="293"/>
      <c r="C668" s="293"/>
      <c r="D668" s="293"/>
      <c r="E668" s="293"/>
    </row>
    <row r="669">
      <c r="A669" s="293"/>
      <c r="C669" s="293"/>
      <c r="D669" s="293"/>
      <c r="E669" s="293"/>
    </row>
    <row r="670">
      <c r="A670" s="293"/>
      <c r="C670" s="293"/>
      <c r="D670" s="293"/>
      <c r="E670" s="293"/>
    </row>
    <row r="671">
      <c r="A671" s="293"/>
      <c r="C671" s="293"/>
      <c r="D671" s="293"/>
      <c r="E671" s="293"/>
    </row>
    <row r="672">
      <c r="A672" s="293"/>
      <c r="C672" s="293"/>
      <c r="D672" s="293"/>
      <c r="E672" s="293"/>
    </row>
    <row r="673">
      <c r="A673" s="293"/>
      <c r="C673" s="293"/>
      <c r="D673" s="293"/>
      <c r="E673" s="293"/>
    </row>
    <row r="674">
      <c r="A674" s="293"/>
      <c r="C674" s="293"/>
      <c r="D674" s="293"/>
      <c r="E674" s="293"/>
    </row>
    <row r="675">
      <c r="A675" s="293"/>
      <c r="C675" s="293"/>
      <c r="D675" s="293"/>
      <c r="E675" s="293"/>
    </row>
    <row r="676">
      <c r="A676" s="293"/>
      <c r="C676" s="293"/>
      <c r="D676" s="293"/>
      <c r="E676" s="293"/>
    </row>
    <row r="677">
      <c r="A677" s="293"/>
      <c r="C677" s="293"/>
      <c r="D677" s="293"/>
      <c r="E677" s="293"/>
    </row>
    <row r="678">
      <c r="A678" s="293"/>
      <c r="C678" s="293"/>
      <c r="D678" s="293"/>
      <c r="E678" s="293"/>
    </row>
    <row r="679">
      <c r="A679" s="293"/>
      <c r="C679" s="293"/>
      <c r="D679" s="293"/>
      <c r="E679" s="293"/>
    </row>
    <row r="680">
      <c r="A680" s="293"/>
      <c r="C680" s="293"/>
      <c r="D680" s="293"/>
      <c r="E680" s="293"/>
    </row>
    <row r="681">
      <c r="A681" s="293"/>
      <c r="C681" s="293"/>
      <c r="D681" s="293"/>
      <c r="E681" s="293"/>
    </row>
    <row r="682">
      <c r="A682" s="293"/>
      <c r="C682" s="293"/>
      <c r="D682" s="293"/>
      <c r="E682" s="293"/>
    </row>
    <row r="683">
      <c r="A683" s="293"/>
      <c r="C683" s="293"/>
      <c r="D683" s="293"/>
      <c r="E683" s="293"/>
    </row>
    <row r="684">
      <c r="A684" s="293"/>
      <c r="C684" s="293"/>
      <c r="D684" s="293"/>
      <c r="E684" s="293"/>
    </row>
    <row r="685">
      <c r="A685" s="293"/>
      <c r="C685" s="293"/>
      <c r="D685" s="293"/>
      <c r="E685" s="293"/>
    </row>
    <row r="686">
      <c r="A686" s="293"/>
      <c r="C686" s="293"/>
      <c r="D686" s="293"/>
      <c r="E686" s="293"/>
    </row>
    <row r="687">
      <c r="A687" s="293"/>
      <c r="C687" s="293"/>
      <c r="D687" s="293"/>
      <c r="E687" s="293"/>
    </row>
    <row r="688">
      <c r="A688" s="293"/>
      <c r="C688" s="293"/>
      <c r="D688" s="293"/>
      <c r="E688" s="293"/>
    </row>
    <row r="689">
      <c r="A689" s="293"/>
      <c r="C689" s="293"/>
      <c r="D689" s="293"/>
      <c r="E689" s="293"/>
    </row>
    <row r="690">
      <c r="A690" s="293"/>
      <c r="C690" s="293"/>
      <c r="D690" s="293"/>
      <c r="E690" s="293"/>
    </row>
    <row r="691">
      <c r="A691" s="293"/>
      <c r="C691" s="293"/>
      <c r="D691" s="293"/>
      <c r="E691" s="293"/>
    </row>
    <row r="692">
      <c r="A692" s="293"/>
      <c r="C692" s="293"/>
      <c r="D692" s="293"/>
      <c r="E692" s="293"/>
    </row>
    <row r="693">
      <c r="A693" s="293"/>
      <c r="C693" s="293"/>
      <c r="D693" s="293"/>
      <c r="E693" s="293"/>
    </row>
    <row r="694">
      <c r="A694" s="293"/>
      <c r="C694" s="293"/>
      <c r="D694" s="293"/>
      <c r="E694" s="293"/>
    </row>
    <row r="695">
      <c r="A695" s="293"/>
      <c r="C695" s="293"/>
      <c r="D695" s="293"/>
      <c r="E695" s="293"/>
    </row>
    <row r="696">
      <c r="A696" s="293"/>
      <c r="C696" s="293"/>
      <c r="D696" s="293"/>
      <c r="E696" s="293"/>
    </row>
    <row r="697">
      <c r="A697" s="293"/>
      <c r="C697" s="293"/>
      <c r="D697" s="293"/>
      <c r="E697" s="293"/>
    </row>
    <row r="698">
      <c r="A698" s="293"/>
      <c r="C698" s="293"/>
      <c r="D698" s="293"/>
      <c r="E698" s="293"/>
    </row>
    <row r="699">
      <c r="A699" s="293"/>
      <c r="C699" s="293"/>
      <c r="D699" s="293"/>
      <c r="E699" s="293"/>
    </row>
    <row r="700">
      <c r="A700" s="293"/>
      <c r="C700" s="293"/>
      <c r="D700" s="293"/>
      <c r="E700" s="293"/>
    </row>
    <row r="701">
      <c r="A701" s="293"/>
      <c r="C701" s="293"/>
      <c r="D701" s="293"/>
      <c r="E701" s="293"/>
    </row>
    <row r="702">
      <c r="A702" s="293"/>
      <c r="C702" s="293"/>
      <c r="D702" s="293"/>
      <c r="E702" s="293"/>
    </row>
    <row r="703">
      <c r="A703" s="293"/>
      <c r="C703" s="293"/>
      <c r="D703" s="293"/>
      <c r="E703" s="293"/>
    </row>
    <row r="704">
      <c r="A704" s="293"/>
      <c r="C704" s="293"/>
      <c r="D704" s="293"/>
      <c r="E704" s="293"/>
    </row>
    <row r="705">
      <c r="A705" s="293"/>
      <c r="C705" s="293"/>
      <c r="D705" s="293"/>
      <c r="E705" s="293"/>
    </row>
    <row r="706">
      <c r="A706" s="293"/>
      <c r="C706" s="293"/>
      <c r="D706" s="293"/>
      <c r="E706" s="293"/>
    </row>
    <row r="707">
      <c r="A707" s="293"/>
      <c r="C707" s="293"/>
      <c r="D707" s="293"/>
      <c r="E707" s="293"/>
    </row>
    <row r="708">
      <c r="A708" s="293"/>
      <c r="C708" s="293"/>
      <c r="D708" s="293"/>
      <c r="E708" s="293"/>
    </row>
    <row r="709">
      <c r="A709" s="293"/>
      <c r="C709" s="293"/>
      <c r="D709" s="293"/>
      <c r="E709" s="293"/>
    </row>
    <row r="710">
      <c r="A710" s="293"/>
      <c r="C710" s="293"/>
      <c r="D710" s="293"/>
      <c r="E710" s="293"/>
    </row>
    <row r="711">
      <c r="A711" s="293"/>
      <c r="C711" s="293"/>
      <c r="D711" s="293"/>
      <c r="E711" s="293"/>
    </row>
    <row r="712">
      <c r="A712" s="293"/>
      <c r="C712" s="293"/>
      <c r="D712" s="293"/>
      <c r="E712" s="293"/>
    </row>
    <row r="713">
      <c r="A713" s="293"/>
      <c r="C713" s="293"/>
      <c r="D713" s="293"/>
      <c r="E713" s="293"/>
    </row>
    <row r="714">
      <c r="A714" s="293"/>
      <c r="C714" s="293"/>
      <c r="D714" s="293"/>
      <c r="E714" s="293"/>
    </row>
    <row r="715">
      <c r="A715" s="293"/>
      <c r="C715" s="293"/>
      <c r="D715" s="293"/>
      <c r="E715" s="293"/>
    </row>
    <row r="716">
      <c r="A716" s="293"/>
      <c r="C716" s="293"/>
      <c r="D716" s="293"/>
      <c r="E716" s="293"/>
    </row>
    <row r="717">
      <c r="A717" s="293"/>
      <c r="C717" s="293"/>
      <c r="D717" s="293"/>
      <c r="E717" s="293"/>
    </row>
    <row r="718">
      <c r="A718" s="293"/>
      <c r="C718" s="293"/>
      <c r="D718" s="293"/>
      <c r="E718" s="293"/>
    </row>
    <row r="719">
      <c r="A719" s="293"/>
      <c r="C719" s="293"/>
      <c r="D719" s="293"/>
      <c r="E719" s="293"/>
    </row>
    <row r="720">
      <c r="A720" s="293"/>
      <c r="C720" s="293"/>
      <c r="D720" s="293"/>
      <c r="E720" s="293"/>
    </row>
    <row r="721">
      <c r="A721" s="293"/>
      <c r="C721" s="293"/>
      <c r="D721" s="293"/>
      <c r="E721" s="293"/>
    </row>
    <row r="722">
      <c r="A722" s="293"/>
      <c r="C722" s="293"/>
      <c r="D722" s="293"/>
      <c r="E722" s="293"/>
    </row>
    <row r="723">
      <c r="A723" s="293"/>
      <c r="C723" s="293"/>
      <c r="D723" s="293"/>
      <c r="E723" s="293"/>
    </row>
    <row r="724">
      <c r="A724" s="293"/>
      <c r="C724" s="293"/>
      <c r="D724" s="293"/>
      <c r="E724" s="293"/>
    </row>
    <row r="725">
      <c r="A725" s="293"/>
      <c r="C725" s="293"/>
      <c r="D725" s="293"/>
      <c r="E725" s="293"/>
    </row>
    <row r="726">
      <c r="A726" s="293"/>
      <c r="C726" s="293"/>
      <c r="D726" s="293"/>
      <c r="E726" s="293"/>
    </row>
    <row r="727">
      <c r="A727" s="293"/>
      <c r="C727" s="293"/>
      <c r="D727" s="293"/>
      <c r="E727" s="293"/>
    </row>
    <row r="728">
      <c r="A728" s="293"/>
      <c r="C728" s="293"/>
      <c r="D728" s="293"/>
      <c r="E728" s="293"/>
    </row>
    <row r="729">
      <c r="A729" s="293"/>
      <c r="C729" s="293"/>
      <c r="D729" s="293"/>
      <c r="E729" s="293"/>
    </row>
    <row r="730">
      <c r="A730" s="293"/>
      <c r="C730" s="293"/>
      <c r="D730" s="293"/>
      <c r="E730" s="293"/>
    </row>
    <row r="731">
      <c r="A731" s="293"/>
      <c r="C731" s="293"/>
      <c r="D731" s="293"/>
      <c r="E731" s="293"/>
    </row>
    <row r="732">
      <c r="A732" s="293"/>
      <c r="C732" s="293"/>
      <c r="D732" s="293"/>
      <c r="E732" s="293"/>
    </row>
    <row r="733">
      <c r="A733" s="293"/>
      <c r="C733" s="293"/>
      <c r="D733" s="293"/>
      <c r="E733" s="293"/>
    </row>
    <row r="734">
      <c r="A734" s="293"/>
      <c r="C734" s="293"/>
      <c r="D734" s="293"/>
      <c r="E734" s="293"/>
    </row>
    <row r="735">
      <c r="A735" s="293"/>
      <c r="C735" s="293"/>
      <c r="D735" s="293"/>
      <c r="E735" s="293"/>
    </row>
    <row r="736">
      <c r="A736" s="293"/>
      <c r="C736" s="293"/>
      <c r="D736" s="293"/>
      <c r="E736" s="293"/>
    </row>
    <row r="737">
      <c r="A737" s="293"/>
      <c r="C737" s="293"/>
      <c r="D737" s="293"/>
      <c r="E737" s="293"/>
    </row>
    <row r="738">
      <c r="A738" s="293"/>
      <c r="C738" s="293"/>
      <c r="D738" s="293"/>
      <c r="E738" s="293"/>
    </row>
    <row r="739">
      <c r="A739" s="293"/>
      <c r="C739" s="293"/>
      <c r="D739" s="293"/>
      <c r="E739" s="293"/>
    </row>
    <row r="740">
      <c r="A740" s="293"/>
      <c r="C740" s="293"/>
      <c r="D740" s="293"/>
      <c r="E740" s="293"/>
    </row>
    <row r="741">
      <c r="A741" s="293"/>
      <c r="C741" s="293"/>
      <c r="D741" s="293"/>
      <c r="E741" s="293"/>
    </row>
    <row r="742">
      <c r="A742" s="293"/>
      <c r="C742" s="293"/>
      <c r="D742" s="293"/>
      <c r="E742" s="293"/>
    </row>
    <row r="743">
      <c r="A743" s="293"/>
      <c r="C743" s="293"/>
      <c r="D743" s="293"/>
      <c r="E743" s="293"/>
    </row>
    <row r="744">
      <c r="A744" s="293"/>
      <c r="C744" s="293"/>
      <c r="D744" s="293"/>
      <c r="E744" s="293"/>
    </row>
    <row r="745">
      <c r="A745" s="293"/>
      <c r="C745" s="293"/>
      <c r="D745" s="293"/>
      <c r="E745" s="293"/>
    </row>
    <row r="746">
      <c r="A746" s="293"/>
      <c r="C746" s="293"/>
      <c r="D746" s="293"/>
      <c r="E746" s="293"/>
    </row>
    <row r="747">
      <c r="A747" s="293"/>
      <c r="C747" s="293"/>
      <c r="D747" s="293"/>
      <c r="E747" s="293"/>
    </row>
    <row r="748">
      <c r="A748" s="293"/>
      <c r="C748" s="293"/>
      <c r="D748" s="293"/>
      <c r="E748" s="293"/>
    </row>
    <row r="749">
      <c r="A749" s="293"/>
      <c r="C749" s="293"/>
      <c r="D749" s="293"/>
      <c r="E749" s="293"/>
    </row>
    <row r="750">
      <c r="A750" s="293"/>
      <c r="C750" s="293"/>
      <c r="D750" s="293"/>
      <c r="E750" s="293"/>
    </row>
    <row r="751">
      <c r="A751" s="293"/>
      <c r="C751" s="293"/>
      <c r="D751" s="293"/>
      <c r="E751" s="293"/>
    </row>
    <row r="752">
      <c r="A752" s="293"/>
      <c r="C752" s="293"/>
      <c r="D752" s="293"/>
      <c r="E752" s="293"/>
    </row>
    <row r="753">
      <c r="A753" s="293"/>
      <c r="C753" s="293"/>
      <c r="D753" s="293"/>
      <c r="E753" s="293"/>
    </row>
    <row r="754">
      <c r="A754" s="293"/>
      <c r="C754" s="293"/>
      <c r="D754" s="293"/>
      <c r="E754" s="293"/>
    </row>
    <row r="755">
      <c r="A755" s="293"/>
      <c r="C755" s="293"/>
      <c r="D755" s="293"/>
      <c r="E755" s="293"/>
    </row>
    <row r="756">
      <c r="A756" s="293"/>
      <c r="C756" s="293"/>
      <c r="D756" s="293"/>
      <c r="E756" s="293"/>
    </row>
    <row r="757">
      <c r="A757" s="293"/>
      <c r="C757" s="293"/>
      <c r="D757" s="293"/>
      <c r="E757" s="293"/>
    </row>
    <row r="758">
      <c r="A758" s="293"/>
      <c r="C758" s="293"/>
      <c r="D758" s="293"/>
      <c r="E758" s="293"/>
    </row>
    <row r="759">
      <c r="A759" s="293"/>
      <c r="C759" s="293"/>
      <c r="D759" s="293"/>
      <c r="E759" s="293"/>
    </row>
    <row r="760">
      <c r="A760" s="293"/>
      <c r="C760" s="293"/>
      <c r="D760" s="293"/>
      <c r="E760" s="293"/>
    </row>
    <row r="761">
      <c r="A761" s="293"/>
      <c r="C761" s="293"/>
      <c r="D761" s="293"/>
      <c r="E761" s="293"/>
    </row>
    <row r="762">
      <c r="A762" s="293"/>
      <c r="C762" s="293"/>
      <c r="D762" s="293"/>
      <c r="E762" s="293"/>
    </row>
    <row r="763">
      <c r="A763" s="293"/>
      <c r="C763" s="293"/>
      <c r="D763" s="293"/>
      <c r="E763" s="293"/>
    </row>
    <row r="764">
      <c r="A764" s="293"/>
      <c r="C764" s="293"/>
      <c r="D764" s="293"/>
      <c r="E764" s="293"/>
    </row>
    <row r="765">
      <c r="A765" s="293"/>
      <c r="C765" s="293"/>
      <c r="D765" s="293"/>
      <c r="E765" s="293"/>
    </row>
    <row r="766">
      <c r="A766" s="293"/>
      <c r="C766" s="293"/>
      <c r="D766" s="293"/>
      <c r="E766" s="293"/>
    </row>
    <row r="767">
      <c r="A767" s="293"/>
      <c r="C767" s="293"/>
      <c r="D767" s="293"/>
      <c r="E767" s="293"/>
    </row>
    <row r="768">
      <c r="A768" s="293"/>
      <c r="C768" s="293"/>
      <c r="D768" s="293"/>
      <c r="E768" s="293"/>
    </row>
    <row r="769">
      <c r="A769" s="293"/>
      <c r="C769" s="293"/>
      <c r="D769" s="293"/>
      <c r="E769" s="293"/>
    </row>
    <row r="770">
      <c r="A770" s="293"/>
      <c r="C770" s="293"/>
      <c r="D770" s="293"/>
      <c r="E770" s="293"/>
    </row>
    <row r="771">
      <c r="A771" s="293"/>
      <c r="C771" s="293"/>
      <c r="D771" s="293"/>
      <c r="E771" s="293"/>
    </row>
    <row r="772">
      <c r="A772" s="293"/>
      <c r="C772" s="293"/>
      <c r="D772" s="293"/>
      <c r="E772" s="293"/>
    </row>
    <row r="773">
      <c r="A773" s="293"/>
      <c r="C773" s="293"/>
      <c r="D773" s="293"/>
      <c r="E773" s="293"/>
    </row>
    <row r="774">
      <c r="A774" s="293"/>
      <c r="C774" s="293"/>
      <c r="D774" s="293"/>
      <c r="E774" s="293"/>
    </row>
    <row r="775">
      <c r="A775" s="293"/>
      <c r="C775" s="293"/>
      <c r="D775" s="293"/>
      <c r="E775" s="293"/>
    </row>
    <row r="776">
      <c r="A776" s="293"/>
      <c r="C776" s="293"/>
      <c r="D776" s="293"/>
      <c r="E776" s="293"/>
    </row>
    <row r="777">
      <c r="A777" s="293"/>
      <c r="C777" s="293"/>
      <c r="D777" s="293"/>
      <c r="E777" s="293"/>
    </row>
    <row r="778">
      <c r="A778" s="293"/>
      <c r="C778" s="293"/>
      <c r="D778" s="293"/>
      <c r="E778" s="293"/>
    </row>
    <row r="779">
      <c r="A779" s="293"/>
      <c r="C779" s="293"/>
      <c r="D779" s="293"/>
      <c r="E779" s="293"/>
    </row>
    <row r="780">
      <c r="A780" s="293"/>
      <c r="C780" s="293"/>
      <c r="D780" s="293"/>
      <c r="E780" s="293"/>
    </row>
    <row r="781">
      <c r="A781" s="293"/>
      <c r="C781" s="293"/>
      <c r="D781" s="293"/>
      <c r="E781" s="293"/>
    </row>
    <row r="782">
      <c r="A782" s="293"/>
      <c r="C782" s="293"/>
      <c r="D782" s="293"/>
      <c r="E782" s="293"/>
    </row>
    <row r="783">
      <c r="A783" s="293"/>
      <c r="C783" s="293"/>
      <c r="D783" s="293"/>
      <c r="E783" s="293"/>
    </row>
    <row r="784">
      <c r="A784" s="293"/>
      <c r="C784" s="293"/>
      <c r="D784" s="293"/>
      <c r="E784" s="293"/>
    </row>
    <row r="785">
      <c r="A785" s="293"/>
      <c r="C785" s="293"/>
      <c r="D785" s="293"/>
      <c r="E785" s="293"/>
    </row>
    <row r="786">
      <c r="A786" s="293"/>
      <c r="C786" s="293"/>
      <c r="D786" s="293"/>
      <c r="E786" s="293"/>
    </row>
    <row r="787">
      <c r="A787" s="293"/>
      <c r="C787" s="293"/>
      <c r="D787" s="293"/>
      <c r="E787" s="293"/>
    </row>
    <row r="788">
      <c r="A788" s="293"/>
      <c r="C788" s="293"/>
      <c r="D788" s="293"/>
      <c r="E788" s="293"/>
    </row>
    <row r="789">
      <c r="A789" s="293"/>
      <c r="C789" s="293"/>
      <c r="D789" s="293"/>
      <c r="E789" s="293"/>
    </row>
    <row r="790">
      <c r="A790" s="293"/>
      <c r="C790" s="293"/>
      <c r="D790" s="293"/>
      <c r="E790" s="293"/>
    </row>
    <row r="791">
      <c r="A791" s="293"/>
      <c r="C791" s="293"/>
      <c r="D791" s="293"/>
      <c r="E791" s="293"/>
    </row>
    <row r="792">
      <c r="A792" s="293"/>
      <c r="C792" s="293"/>
      <c r="D792" s="293"/>
      <c r="E792" s="293"/>
    </row>
    <row r="793">
      <c r="A793" s="293"/>
      <c r="C793" s="293"/>
      <c r="D793" s="293"/>
      <c r="E793" s="293"/>
    </row>
    <row r="794">
      <c r="A794" s="293"/>
      <c r="C794" s="293"/>
      <c r="D794" s="293"/>
      <c r="E794" s="293"/>
    </row>
    <row r="795">
      <c r="A795" s="293"/>
      <c r="C795" s="293"/>
      <c r="D795" s="293"/>
      <c r="E795" s="293"/>
    </row>
    <row r="796">
      <c r="A796" s="293"/>
      <c r="C796" s="293"/>
      <c r="D796" s="293"/>
      <c r="E796" s="293"/>
    </row>
    <row r="797">
      <c r="A797" s="293"/>
      <c r="C797" s="293"/>
      <c r="D797" s="293"/>
      <c r="E797" s="293"/>
    </row>
    <row r="798">
      <c r="A798" s="293"/>
      <c r="C798" s="293"/>
      <c r="D798" s="293"/>
      <c r="E798" s="293"/>
    </row>
    <row r="799">
      <c r="A799" s="293"/>
      <c r="C799" s="293"/>
      <c r="D799" s="293"/>
      <c r="E799" s="293"/>
    </row>
    <row r="800">
      <c r="A800" s="293"/>
      <c r="C800" s="293"/>
      <c r="D800" s="293"/>
      <c r="E800" s="293"/>
    </row>
    <row r="801">
      <c r="A801" s="293"/>
      <c r="C801" s="293"/>
      <c r="D801" s="293"/>
      <c r="E801" s="293"/>
    </row>
    <row r="802">
      <c r="A802" s="293"/>
      <c r="C802" s="293"/>
      <c r="D802" s="293"/>
      <c r="E802" s="293"/>
    </row>
    <row r="803">
      <c r="A803" s="293"/>
      <c r="C803" s="293"/>
      <c r="D803" s="293"/>
      <c r="E803" s="293"/>
    </row>
    <row r="804">
      <c r="A804" s="293"/>
      <c r="C804" s="293"/>
      <c r="D804" s="293"/>
      <c r="E804" s="293"/>
    </row>
    <row r="805">
      <c r="A805" s="293"/>
      <c r="C805" s="293"/>
      <c r="D805" s="293"/>
      <c r="E805" s="293"/>
    </row>
    <row r="806">
      <c r="A806" s="293"/>
      <c r="C806" s="293"/>
      <c r="D806" s="293"/>
      <c r="E806" s="293"/>
    </row>
    <row r="807">
      <c r="A807" s="293"/>
      <c r="C807" s="293"/>
      <c r="D807" s="293"/>
      <c r="E807" s="293"/>
    </row>
    <row r="808">
      <c r="A808" s="293"/>
      <c r="C808" s="293"/>
      <c r="D808" s="293"/>
      <c r="E808" s="293"/>
    </row>
    <row r="809">
      <c r="A809" s="293"/>
      <c r="C809" s="293"/>
      <c r="D809" s="293"/>
      <c r="E809" s="293"/>
    </row>
    <row r="810">
      <c r="A810" s="293"/>
      <c r="C810" s="293"/>
      <c r="D810" s="293"/>
      <c r="E810" s="293"/>
    </row>
    <row r="811">
      <c r="A811" s="293"/>
      <c r="C811" s="293"/>
      <c r="D811" s="293"/>
      <c r="E811" s="293"/>
    </row>
    <row r="812">
      <c r="A812" s="293"/>
      <c r="C812" s="293"/>
      <c r="D812" s="293"/>
      <c r="E812" s="293"/>
    </row>
    <row r="813">
      <c r="A813" s="293"/>
      <c r="C813" s="293"/>
      <c r="D813" s="293"/>
      <c r="E813" s="293"/>
    </row>
    <row r="814">
      <c r="A814" s="293"/>
      <c r="C814" s="293"/>
      <c r="D814" s="293"/>
      <c r="E814" s="293"/>
    </row>
    <row r="815">
      <c r="A815" s="293"/>
      <c r="C815" s="293"/>
      <c r="D815" s="293"/>
      <c r="E815" s="293"/>
    </row>
    <row r="816">
      <c r="A816" s="293"/>
      <c r="C816" s="293"/>
      <c r="D816" s="293"/>
      <c r="E816" s="293"/>
    </row>
    <row r="817">
      <c r="A817" s="293"/>
      <c r="C817" s="293"/>
      <c r="D817" s="293"/>
      <c r="E817" s="293"/>
    </row>
    <row r="818">
      <c r="A818" s="293"/>
      <c r="C818" s="293"/>
      <c r="D818" s="293"/>
      <c r="E818" s="293"/>
    </row>
    <row r="819">
      <c r="A819" s="293"/>
      <c r="C819" s="293"/>
      <c r="D819" s="293"/>
      <c r="E819" s="293"/>
    </row>
    <row r="820">
      <c r="A820" s="293"/>
      <c r="C820" s="293"/>
      <c r="D820" s="293"/>
      <c r="E820" s="293"/>
    </row>
    <row r="821">
      <c r="A821" s="293"/>
      <c r="C821" s="293"/>
      <c r="D821" s="293"/>
      <c r="E821" s="293"/>
    </row>
    <row r="822">
      <c r="A822" s="293"/>
      <c r="C822" s="293"/>
      <c r="D822" s="293"/>
      <c r="E822" s="293"/>
    </row>
    <row r="823">
      <c r="A823" s="293"/>
      <c r="C823" s="293"/>
      <c r="D823" s="293"/>
      <c r="E823" s="293"/>
    </row>
    <row r="824">
      <c r="A824" s="293"/>
      <c r="C824" s="293"/>
      <c r="D824" s="293"/>
      <c r="E824" s="293"/>
    </row>
    <row r="825">
      <c r="A825" s="293"/>
      <c r="C825" s="293"/>
      <c r="D825" s="293"/>
      <c r="E825" s="293"/>
    </row>
    <row r="826">
      <c r="A826" s="293"/>
      <c r="C826" s="293"/>
      <c r="D826" s="293"/>
      <c r="E826" s="293"/>
    </row>
    <row r="827">
      <c r="A827" s="293"/>
      <c r="C827" s="293"/>
      <c r="D827" s="293"/>
      <c r="E827" s="293"/>
    </row>
    <row r="828">
      <c r="A828" s="293"/>
      <c r="C828" s="293"/>
      <c r="D828" s="293"/>
      <c r="E828" s="293"/>
    </row>
    <row r="829">
      <c r="A829" s="293"/>
      <c r="C829" s="293"/>
      <c r="D829" s="293"/>
      <c r="E829" s="293"/>
    </row>
    <row r="830">
      <c r="A830" s="293"/>
      <c r="C830" s="293"/>
      <c r="D830" s="293"/>
      <c r="E830" s="293"/>
    </row>
    <row r="831">
      <c r="A831" s="293"/>
      <c r="C831" s="293"/>
      <c r="D831" s="293"/>
      <c r="E831" s="293"/>
    </row>
    <row r="832">
      <c r="A832" s="293"/>
      <c r="C832" s="293"/>
      <c r="D832" s="293"/>
      <c r="E832" s="293"/>
    </row>
    <row r="833">
      <c r="A833" s="293"/>
      <c r="C833" s="293"/>
      <c r="D833" s="293"/>
      <c r="E833" s="293"/>
    </row>
    <row r="834">
      <c r="A834" s="293"/>
      <c r="C834" s="293"/>
      <c r="D834" s="293"/>
      <c r="E834" s="293"/>
    </row>
    <row r="835">
      <c r="A835" s="293"/>
      <c r="C835" s="293"/>
      <c r="D835" s="293"/>
      <c r="E835" s="293"/>
    </row>
    <row r="836">
      <c r="A836" s="293"/>
      <c r="C836" s="293"/>
      <c r="D836" s="293"/>
      <c r="E836" s="293"/>
    </row>
    <row r="837">
      <c r="A837" s="293"/>
      <c r="C837" s="293"/>
      <c r="D837" s="293"/>
      <c r="E837" s="293"/>
    </row>
    <row r="838">
      <c r="A838" s="293"/>
      <c r="C838" s="293"/>
      <c r="D838" s="293"/>
      <c r="E838" s="293"/>
    </row>
    <row r="839">
      <c r="A839" s="293"/>
      <c r="C839" s="293"/>
      <c r="D839" s="293"/>
      <c r="E839" s="293"/>
    </row>
    <row r="840">
      <c r="A840" s="293"/>
      <c r="C840" s="293"/>
      <c r="D840" s="293"/>
      <c r="E840" s="293"/>
    </row>
    <row r="841">
      <c r="A841" s="293"/>
      <c r="C841" s="293"/>
      <c r="D841" s="293"/>
      <c r="E841" s="293"/>
    </row>
    <row r="842">
      <c r="A842" s="293"/>
      <c r="C842" s="293"/>
      <c r="D842" s="293"/>
      <c r="E842" s="293"/>
    </row>
    <row r="843">
      <c r="A843" s="293"/>
      <c r="C843" s="293"/>
      <c r="D843" s="293"/>
      <c r="E843" s="293"/>
    </row>
    <row r="844">
      <c r="A844" s="293"/>
      <c r="C844" s="293"/>
      <c r="D844" s="293"/>
      <c r="E844" s="293"/>
    </row>
    <row r="845">
      <c r="A845" s="293"/>
      <c r="C845" s="293"/>
      <c r="D845" s="293"/>
      <c r="E845" s="293"/>
    </row>
    <row r="846">
      <c r="A846" s="293"/>
      <c r="C846" s="293"/>
      <c r="D846" s="293"/>
      <c r="E846" s="293"/>
    </row>
    <row r="847">
      <c r="A847" s="293"/>
      <c r="C847" s="293"/>
      <c r="D847" s="293"/>
      <c r="E847" s="293"/>
    </row>
    <row r="848">
      <c r="A848" s="293"/>
      <c r="C848" s="293"/>
      <c r="D848" s="293"/>
      <c r="E848" s="293"/>
    </row>
    <row r="849">
      <c r="A849" s="293"/>
      <c r="C849" s="293"/>
      <c r="D849" s="293"/>
      <c r="E849" s="293"/>
    </row>
    <row r="850">
      <c r="A850" s="293"/>
      <c r="C850" s="293"/>
      <c r="D850" s="293"/>
      <c r="E850" s="293"/>
    </row>
    <row r="851">
      <c r="A851" s="293"/>
      <c r="C851" s="293"/>
      <c r="D851" s="293"/>
      <c r="E851" s="293"/>
    </row>
    <row r="852">
      <c r="A852" s="293"/>
      <c r="C852" s="293"/>
      <c r="D852" s="293"/>
      <c r="E852" s="293"/>
    </row>
    <row r="853">
      <c r="A853" s="293"/>
      <c r="C853" s="293"/>
      <c r="D853" s="293"/>
      <c r="E853" s="293"/>
    </row>
    <row r="854">
      <c r="A854" s="293"/>
      <c r="C854" s="293"/>
      <c r="D854" s="293"/>
      <c r="E854" s="293"/>
    </row>
    <row r="855">
      <c r="A855" s="293"/>
      <c r="C855" s="293"/>
      <c r="D855" s="293"/>
      <c r="E855" s="293"/>
    </row>
    <row r="856">
      <c r="A856" s="293"/>
      <c r="C856" s="293"/>
      <c r="D856" s="293"/>
      <c r="E856" s="293"/>
    </row>
    <row r="857">
      <c r="A857" s="293"/>
      <c r="C857" s="293"/>
      <c r="D857" s="293"/>
      <c r="E857" s="293"/>
    </row>
    <row r="858">
      <c r="A858" s="293"/>
      <c r="C858" s="293"/>
      <c r="D858" s="293"/>
      <c r="E858" s="293"/>
    </row>
    <row r="859">
      <c r="A859" s="293"/>
      <c r="C859" s="293"/>
      <c r="D859" s="293"/>
      <c r="E859" s="293"/>
    </row>
    <row r="860">
      <c r="A860" s="293"/>
      <c r="C860" s="293"/>
      <c r="D860" s="293"/>
      <c r="E860" s="293"/>
    </row>
    <row r="861">
      <c r="A861" s="293"/>
      <c r="C861" s="293"/>
      <c r="D861" s="293"/>
      <c r="E861" s="293"/>
    </row>
    <row r="862">
      <c r="A862" s="293"/>
      <c r="C862" s="293"/>
      <c r="D862" s="293"/>
      <c r="E862" s="293"/>
    </row>
    <row r="863">
      <c r="A863" s="293"/>
      <c r="C863" s="293"/>
      <c r="D863" s="293"/>
      <c r="E863" s="293"/>
    </row>
    <row r="864">
      <c r="A864" s="293"/>
      <c r="C864" s="293"/>
      <c r="D864" s="293"/>
      <c r="E864" s="293"/>
    </row>
    <row r="865">
      <c r="A865" s="293"/>
      <c r="C865" s="293"/>
      <c r="D865" s="293"/>
      <c r="E865" s="293"/>
    </row>
    <row r="866">
      <c r="A866" s="293"/>
      <c r="C866" s="293"/>
      <c r="D866" s="293"/>
      <c r="E866" s="293"/>
    </row>
    <row r="867">
      <c r="A867" s="293"/>
      <c r="C867" s="293"/>
      <c r="D867" s="293"/>
      <c r="E867" s="293"/>
    </row>
    <row r="868">
      <c r="A868" s="293"/>
      <c r="C868" s="293"/>
      <c r="D868" s="293"/>
      <c r="E868" s="293"/>
    </row>
    <row r="869">
      <c r="A869" s="293"/>
      <c r="C869" s="293"/>
      <c r="D869" s="293"/>
      <c r="E869" s="293"/>
    </row>
    <row r="870">
      <c r="A870" s="293"/>
      <c r="C870" s="293"/>
      <c r="D870" s="293"/>
      <c r="E870" s="293"/>
    </row>
    <row r="871">
      <c r="A871" s="293"/>
      <c r="C871" s="293"/>
      <c r="D871" s="293"/>
      <c r="E871" s="293"/>
    </row>
    <row r="872">
      <c r="A872" s="293"/>
      <c r="C872" s="293"/>
      <c r="D872" s="293"/>
      <c r="E872" s="293"/>
    </row>
    <row r="873">
      <c r="A873" s="293"/>
      <c r="C873" s="293"/>
      <c r="D873" s="293"/>
      <c r="E873" s="293"/>
    </row>
    <row r="874">
      <c r="A874" s="293"/>
      <c r="C874" s="293"/>
      <c r="D874" s="293"/>
      <c r="E874" s="293"/>
    </row>
    <row r="875">
      <c r="A875" s="293"/>
      <c r="C875" s="293"/>
      <c r="D875" s="293"/>
      <c r="E875" s="293"/>
    </row>
    <row r="876">
      <c r="A876" s="293"/>
      <c r="C876" s="293"/>
      <c r="D876" s="293"/>
      <c r="E876" s="293"/>
    </row>
    <row r="877">
      <c r="A877" s="293"/>
      <c r="C877" s="293"/>
      <c r="D877" s="293"/>
      <c r="E877" s="293"/>
    </row>
    <row r="878">
      <c r="A878" s="293"/>
      <c r="C878" s="293"/>
      <c r="D878" s="293"/>
      <c r="E878" s="293"/>
    </row>
    <row r="879">
      <c r="A879" s="293"/>
      <c r="C879" s="293"/>
      <c r="D879" s="293"/>
      <c r="E879" s="293"/>
    </row>
    <row r="880">
      <c r="A880" s="293"/>
      <c r="C880" s="293"/>
      <c r="D880" s="293"/>
      <c r="E880" s="293"/>
    </row>
    <row r="881">
      <c r="A881" s="293"/>
      <c r="C881" s="293"/>
      <c r="D881" s="293"/>
      <c r="E881" s="293"/>
    </row>
    <row r="882">
      <c r="A882" s="293"/>
      <c r="C882" s="293"/>
      <c r="D882" s="293"/>
      <c r="E882" s="293"/>
    </row>
    <row r="883">
      <c r="A883" s="293"/>
      <c r="C883" s="293"/>
      <c r="D883" s="293"/>
      <c r="E883" s="293"/>
    </row>
    <row r="884">
      <c r="A884" s="293"/>
      <c r="C884" s="293"/>
      <c r="D884" s="293"/>
      <c r="E884" s="293"/>
    </row>
    <row r="885">
      <c r="A885" s="293"/>
      <c r="C885" s="293"/>
      <c r="D885" s="293"/>
      <c r="E885" s="293"/>
    </row>
    <row r="886">
      <c r="A886" s="293"/>
      <c r="C886" s="293"/>
      <c r="D886" s="293"/>
      <c r="E886" s="293"/>
    </row>
    <row r="887">
      <c r="A887" s="293"/>
      <c r="C887" s="293"/>
      <c r="D887" s="293"/>
      <c r="E887" s="293"/>
    </row>
    <row r="888">
      <c r="A888" s="293"/>
      <c r="C888" s="293"/>
      <c r="D888" s="293"/>
      <c r="E888" s="293"/>
    </row>
    <row r="889">
      <c r="A889" s="293"/>
      <c r="C889" s="293"/>
      <c r="D889" s="293"/>
      <c r="E889" s="293"/>
    </row>
    <row r="890">
      <c r="A890" s="293"/>
      <c r="C890" s="293"/>
      <c r="D890" s="293"/>
      <c r="E890" s="293"/>
    </row>
    <row r="891">
      <c r="A891" s="293"/>
      <c r="C891" s="293"/>
      <c r="D891" s="293"/>
      <c r="E891" s="293"/>
    </row>
    <row r="892">
      <c r="A892" s="293"/>
      <c r="C892" s="293"/>
      <c r="D892" s="293"/>
      <c r="E892" s="293"/>
    </row>
    <row r="893">
      <c r="A893" s="293"/>
      <c r="C893" s="293"/>
      <c r="D893" s="293"/>
      <c r="E893" s="293"/>
    </row>
    <row r="894">
      <c r="A894" s="293"/>
      <c r="C894" s="293"/>
      <c r="D894" s="293"/>
      <c r="E894" s="293"/>
    </row>
    <row r="895">
      <c r="A895" s="293"/>
      <c r="C895" s="293"/>
      <c r="D895" s="293"/>
      <c r="E895" s="293"/>
    </row>
    <row r="896">
      <c r="A896" s="293"/>
      <c r="C896" s="293"/>
      <c r="D896" s="293"/>
      <c r="E896" s="293"/>
    </row>
    <row r="897">
      <c r="A897" s="293"/>
      <c r="C897" s="293"/>
      <c r="D897" s="293"/>
      <c r="E897" s="293"/>
    </row>
    <row r="898">
      <c r="A898" s="293"/>
      <c r="C898" s="293"/>
      <c r="D898" s="293"/>
      <c r="E898" s="293"/>
    </row>
    <row r="899">
      <c r="A899" s="293"/>
      <c r="C899" s="293"/>
      <c r="D899" s="293"/>
      <c r="E899" s="293"/>
    </row>
    <row r="900">
      <c r="A900" s="293"/>
      <c r="C900" s="293"/>
      <c r="D900" s="293"/>
      <c r="E900" s="293"/>
    </row>
    <row r="901">
      <c r="A901" s="293"/>
      <c r="C901" s="293"/>
      <c r="D901" s="293"/>
      <c r="E901" s="293"/>
    </row>
    <row r="902">
      <c r="A902" s="293"/>
      <c r="C902" s="293"/>
      <c r="D902" s="293"/>
      <c r="E902" s="293"/>
    </row>
    <row r="903">
      <c r="A903" s="293"/>
      <c r="C903" s="293"/>
      <c r="D903" s="293"/>
      <c r="E903" s="293"/>
    </row>
    <row r="904">
      <c r="A904" s="293"/>
      <c r="C904" s="293"/>
      <c r="D904" s="293"/>
      <c r="E904" s="293"/>
    </row>
    <row r="905">
      <c r="A905" s="293"/>
      <c r="C905" s="293"/>
      <c r="D905" s="293"/>
      <c r="E905" s="293"/>
    </row>
    <row r="906">
      <c r="A906" s="293"/>
      <c r="C906" s="293"/>
      <c r="D906" s="293"/>
      <c r="E906" s="293"/>
    </row>
    <row r="907">
      <c r="A907" s="293"/>
      <c r="C907" s="293"/>
      <c r="D907" s="293"/>
      <c r="E907" s="293"/>
    </row>
    <row r="908">
      <c r="A908" s="293"/>
      <c r="C908" s="293"/>
      <c r="D908" s="293"/>
      <c r="E908" s="293"/>
    </row>
    <row r="909">
      <c r="A909" s="293"/>
      <c r="C909" s="293"/>
      <c r="D909" s="293"/>
      <c r="E909" s="293"/>
    </row>
    <row r="910">
      <c r="A910" s="293"/>
      <c r="C910" s="293"/>
      <c r="D910" s="293"/>
      <c r="E910" s="293"/>
    </row>
    <row r="911">
      <c r="A911" s="293"/>
      <c r="C911" s="293"/>
      <c r="D911" s="293"/>
      <c r="E911" s="293"/>
    </row>
    <row r="912">
      <c r="A912" s="293"/>
      <c r="C912" s="293"/>
      <c r="D912" s="293"/>
      <c r="E912" s="293"/>
    </row>
    <row r="913">
      <c r="A913" s="293"/>
      <c r="C913" s="293"/>
      <c r="D913" s="293"/>
      <c r="E913" s="293"/>
    </row>
    <row r="914">
      <c r="A914" s="293"/>
      <c r="C914" s="293"/>
      <c r="D914" s="293"/>
      <c r="E914" s="293"/>
    </row>
    <row r="915">
      <c r="A915" s="293"/>
      <c r="C915" s="293"/>
      <c r="D915" s="293"/>
      <c r="E915" s="293"/>
    </row>
    <row r="916">
      <c r="A916" s="293"/>
      <c r="C916" s="293"/>
      <c r="D916" s="293"/>
      <c r="E916" s="293"/>
    </row>
    <row r="917">
      <c r="A917" s="293"/>
      <c r="C917" s="293"/>
      <c r="D917" s="293"/>
      <c r="E917" s="293"/>
    </row>
    <row r="918">
      <c r="A918" s="293"/>
      <c r="C918" s="293"/>
      <c r="D918" s="293"/>
      <c r="E918" s="293"/>
    </row>
    <row r="919">
      <c r="A919" s="293"/>
      <c r="C919" s="293"/>
      <c r="D919" s="293"/>
      <c r="E919" s="293"/>
    </row>
    <row r="920">
      <c r="A920" s="293"/>
      <c r="C920" s="293"/>
      <c r="D920" s="293"/>
      <c r="E920" s="293"/>
    </row>
    <row r="921">
      <c r="A921" s="293"/>
      <c r="C921" s="293"/>
      <c r="D921" s="293"/>
      <c r="E921" s="293"/>
    </row>
    <row r="922">
      <c r="A922" s="293"/>
      <c r="C922" s="293"/>
      <c r="D922" s="293"/>
      <c r="E922" s="293"/>
    </row>
    <row r="923">
      <c r="A923" s="293"/>
      <c r="C923" s="293"/>
      <c r="D923" s="293"/>
      <c r="E923" s="293"/>
    </row>
    <row r="924">
      <c r="A924" s="293"/>
      <c r="C924" s="293"/>
      <c r="D924" s="293"/>
      <c r="E924" s="293"/>
    </row>
    <row r="925">
      <c r="A925" s="293"/>
      <c r="C925" s="293"/>
      <c r="D925" s="293"/>
      <c r="E925" s="293"/>
    </row>
    <row r="926">
      <c r="A926" s="293"/>
      <c r="C926" s="293"/>
      <c r="D926" s="293"/>
      <c r="E926" s="293"/>
    </row>
    <row r="927">
      <c r="A927" s="293"/>
      <c r="C927" s="293"/>
      <c r="D927" s="293"/>
      <c r="E927" s="293"/>
    </row>
    <row r="928">
      <c r="A928" s="293"/>
      <c r="C928" s="293"/>
      <c r="D928" s="293"/>
      <c r="E928" s="293"/>
    </row>
    <row r="929">
      <c r="A929" s="293"/>
      <c r="C929" s="293"/>
      <c r="D929" s="293"/>
      <c r="E929" s="293"/>
    </row>
    <row r="930">
      <c r="A930" s="293"/>
      <c r="C930" s="293"/>
      <c r="D930" s="293"/>
      <c r="E930" s="293"/>
    </row>
    <row r="931">
      <c r="A931" s="293"/>
      <c r="C931" s="293"/>
      <c r="D931" s="293"/>
      <c r="E931" s="293"/>
    </row>
    <row r="932">
      <c r="A932" s="293"/>
      <c r="C932" s="293"/>
      <c r="D932" s="293"/>
      <c r="E932" s="293"/>
    </row>
    <row r="933">
      <c r="A933" s="293"/>
      <c r="C933" s="293"/>
      <c r="D933" s="293"/>
      <c r="E933" s="293"/>
    </row>
    <row r="934">
      <c r="A934" s="293"/>
      <c r="C934" s="293"/>
      <c r="D934" s="293"/>
      <c r="E934" s="293"/>
    </row>
    <row r="935">
      <c r="A935" s="293"/>
      <c r="C935" s="293"/>
      <c r="D935" s="293"/>
      <c r="E935" s="293"/>
    </row>
    <row r="936">
      <c r="A936" s="293"/>
      <c r="C936" s="293"/>
      <c r="D936" s="293"/>
      <c r="E936" s="293"/>
    </row>
    <row r="937">
      <c r="A937" s="293"/>
      <c r="C937" s="293"/>
      <c r="D937" s="293"/>
      <c r="E937" s="293"/>
    </row>
    <row r="938">
      <c r="A938" s="293"/>
      <c r="C938" s="293"/>
      <c r="D938" s="293"/>
      <c r="E938" s="293"/>
    </row>
    <row r="939">
      <c r="A939" s="293"/>
      <c r="C939" s="293"/>
      <c r="D939" s="293"/>
      <c r="E939" s="293"/>
    </row>
    <row r="940">
      <c r="A940" s="293"/>
      <c r="C940" s="293"/>
      <c r="D940" s="293"/>
      <c r="E940" s="293"/>
    </row>
    <row r="941">
      <c r="A941" s="293"/>
      <c r="C941" s="293"/>
      <c r="D941" s="293"/>
      <c r="E941" s="293"/>
    </row>
    <row r="942">
      <c r="A942" s="293"/>
      <c r="C942" s="293"/>
      <c r="D942" s="293"/>
      <c r="E942" s="293"/>
    </row>
    <row r="943">
      <c r="A943" s="293"/>
      <c r="C943" s="293"/>
      <c r="D943" s="293"/>
      <c r="E943" s="293"/>
    </row>
    <row r="944">
      <c r="A944" s="293"/>
      <c r="C944" s="293"/>
      <c r="D944" s="293"/>
      <c r="E944" s="293"/>
    </row>
    <row r="945">
      <c r="A945" s="293"/>
      <c r="C945" s="293"/>
      <c r="D945" s="293"/>
      <c r="E945" s="293"/>
    </row>
    <row r="946">
      <c r="A946" s="293"/>
      <c r="C946" s="293"/>
      <c r="D946" s="293"/>
      <c r="E946" s="293"/>
    </row>
    <row r="947">
      <c r="A947" s="293"/>
      <c r="C947" s="293"/>
      <c r="D947" s="293"/>
      <c r="E947" s="293"/>
    </row>
    <row r="948">
      <c r="A948" s="293"/>
      <c r="C948" s="293"/>
      <c r="D948" s="293"/>
      <c r="E948" s="293"/>
    </row>
    <row r="949">
      <c r="A949" s="293"/>
      <c r="C949" s="293"/>
      <c r="D949" s="293"/>
      <c r="E949" s="293"/>
    </row>
    <row r="950">
      <c r="A950" s="293"/>
      <c r="C950" s="293"/>
      <c r="D950" s="293"/>
      <c r="E950" s="293"/>
    </row>
    <row r="951">
      <c r="A951" s="293"/>
      <c r="C951" s="293"/>
      <c r="D951" s="293"/>
      <c r="E951" s="293"/>
    </row>
    <row r="952">
      <c r="A952" s="293"/>
      <c r="C952" s="293"/>
      <c r="D952" s="293"/>
      <c r="E952" s="293"/>
    </row>
    <row r="953">
      <c r="A953" s="293"/>
      <c r="C953" s="293"/>
      <c r="D953" s="293"/>
      <c r="E953" s="293"/>
    </row>
    <row r="954">
      <c r="A954" s="293"/>
      <c r="C954" s="293"/>
      <c r="D954" s="293"/>
      <c r="E954" s="293"/>
    </row>
    <row r="955">
      <c r="A955" s="293"/>
      <c r="C955" s="293"/>
      <c r="D955" s="293"/>
      <c r="E955" s="293"/>
    </row>
    <row r="956">
      <c r="A956" s="293"/>
      <c r="C956" s="293"/>
      <c r="D956" s="293"/>
      <c r="E956" s="293"/>
    </row>
    <row r="957">
      <c r="A957" s="293"/>
      <c r="C957" s="293"/>
      <c r="D957" s="293"/>
      <c r="E957" s="293"/>
    </row>
    <row r="958">
      <c r="A958" s="293"/>
      <c r="C958" s="293"/>
      <c r="D958" s="293"/>
      <c r="E958" s="293"/>
    </row>
    <row r="959">
      <c r="A959" s="293"/>
      <c r="C959" s="293"/>
      <c r="D959" s="293"/>
      <c r="E959" s="293"/>
    </row>
    <row r="960">
      <c r="A960" s="293"/>
      <c r="C960" s="293"/>
      <c r="D960" s="293"/>
      <c r="E960" s="293"/>
    </row>
    <row r="961">
      <c r="A961" s="293"/>
      <c r="C961" s="293"/>
      <c r="D961" s="293"/>
      <c r="E961" s="293"/>
    </row>
    <row r="962">
      <c r="A962" s="293"/>
      <c r="C962" s="293"/>
      <c r="D962" s="293"/>
      <c r="E962" s="293"/>
    </row>
    <row r="963">
      <c r="A963" s="293"/>
      <c r="C963" s="293"/>
      <c r="D963" s="293"/>
      <c r="E963" s="293"/>
    </row>
    <row r="964">
      <c r="A964" s="293"/>
      <c r="C964" s="293"/>
      <c r="D964" s="293"/>
      <c r="E964" s="293"/>
    </row>
    <row r="965">
      <c r="A965" s="293"/>
      <c r="C965" s="293"/>
      <c r="D965" s="293"/>
      <c r="E965" s="293"/>
    </row>
    <row r="966">
      <c r="A966" s="293"/>
      <c r="C966" s="293"/>
      <c r="D966" s="293"/>
      <c r="E966" s="293"/>
    </row>
    <row r="967">
      <c r="A967" s="293"/>
      <c r="C967" s="293"/>
      <c r="D967" s="293"/>
      <c r="E967" s="293"/>
    </row>
    <row r="968">
      <c r="A968" s="293"/>
      <c r="C968" s="293"/>
      <c r="D968" s="293"/>
      <c r="E968" s="293"/>
    </row>
    <row r="969">
      <c r="A969" s="293"/>
      <c r="C969" s="293"/>
      <c r="D969" s="293"/>
      <c r="E969" s="293"/>
    </row>
    <row r="970">
      <c r="A970" s="293"/>
      <c r="C970" s="293"/>
      <c r="D970" s="293"/>
      <c r="E970" s="293"/>
    </row>
    <row r="971">
      <c r="A971" s="293"/>
      <c r="C971" s="293"/>
      <c r="D971" s="293"/>
      <c r="E971" s="293"/>
    </row>
    <row r="972">
      <c r="A972" s="293"/>
      <c r="C972" s="293"/>
      <c r="D972" s="293"/>
      <c r="E972" s="293"/>
    </row>
    <row r="973">
      <c r="A973" s="293"/>
      <c r="C973" s="293"/>
      <c r="D973" s="293"/>
      <c r="E973" s="293"/>
    </row>
    <row r="974">
      <c r="A974" s="293"/>
      <c r="C974" s="293"/>
      <c r="D974" s="293"/>
      <c r="E974" s="293"/>
    </row>
    <row r="975">
      <c r="A975" s="293"/>
      <c r="C975" s="293"/>
      <c r="D975" s="293"/>
      <c r="E975" s="293"/>
    </row>
    <row r="976">
      <c r="A976" s="293"/>
      <c r="C976" s="293"/>
      <c r="D976" s="293"/>
      <c r="E976" s="293"/>
    </row>
    <row r="977">
      <c r="A977" s="293"/>
      <c r="C977" s="293"/>
      <c r="D977" s="293"/>
      <c r="E977" s="293"/>
    </row>
    <row r="978">
      <c r="A978" s="293"/>
      <c r="C978" s="293"/>
      <c r="D978" s="293"/>
      <c r="E978" s="293"/>
    </row>
    <row r="979">
      <c r="A979" s="293"/>
      <c r="C979" s="293"/>
      <c r="D979" s="293"/>
      <c r="E979" s="293"/>
    </row>
    <row r="980">
      <c r="A980" s="293"/>
      <c r="C980" s="293"/>
      <c r="D980" s="293"/>
      <c r="E980" s="293"/>
    </row>
    <row r="981">
      <c r="A981" s="293"/>
      <c r="C981" s="293"/>
      <c r="D981" s="293"/>
      <c r="E981" s="293"/>
    </row>
    <row r="982">
      <c r="A982" s="293"/>
      <c r="C982" s="293"/>
      <c r="D982" s="293"/>
      <c r="E982" s="293"/>
    </row>
    <row r="983">
      <c r="A983" s="293"/>
      <c r="C983" s="293"/>
      <c r="D983" s="293"/>
      <c r="E983" s="293"/>
    </row>
    <row r="984">
      <c r="A984" s="293"/>
      <c r="C984" s="293"/>
      <c r="D984" s="293"/>
      <c r="E984" s="293"/>
    </row>
    <row r="985">
      <c r="A985" s="293"/>
      <c r="C985" s="293"/>
      <c r="D985" s="293"/>
      <c r="E985" s="293"/>
    </row>
    <row r="986">
      <c r="A986" s="293"/>
      <c r="C986" s="293"/>
      <c r="D986" s="293"/>
      <c r="E986" s="293"/>
    </row>
    <row r="987">
      <c r="A987" s="293"/>
      <c r="C987" s="293"/>
      <c r="D987" s="293"/>
      <c r="E987" s="293"/>
    </row>
    <row r="988">
      <c r="A988" s="293"/>
      <c r="C988" s="293"/>
      <c r="D988" s="293"/>
      <c r="E988" s="293"/>
    </row>
    <row r="989">
      <c r="A989" s="293"/>
      <c r="C989" s="293"/>
      <c r="D989" s="293"/>
      <c r="E989" s="293"/>
    </row>
    <row r="990">
      <c r="A990" s="293"/>
      <c r="C990" s="293"/>
      <c r="D990" s="293"/>
      <c r="E990" s="293"/>
    </row>
    <row r="991">
      <c r="A991" s="293"/>
      <c r="C991" s="293"/>
      <c r="D991" s="293"/>
      <c r="E991" s="293"/>
    </row>
    <row r="992">
      <c r="A992" s="293"/>
      <c r="C992" s="293"/>
      <c r="D992" s="293"/>
      <c r="E992" s="293"/>
    </row>
    <row r="993">
      <c r="A993" s="293"/>
      <c r="C993" s="293"/>
      <c r="D993" s="293"/>
      <c r="E993" s="293"/>
    </row>
    <row r="994">
      <c r="A994" s="293"/>
      <c r="C994" s="293"/>
      <c r="D994" s="293"/>
      <c r="E994" s="293"/>
    </row>
    <row r="995">
      <c r="A995" s="293"/>
      <c r="C995" s="293"/>
      <c r="D995" s="293"/>
      <c r="E995" s="293"/>
    </row>
    <row r="996">
      <c r="A996" s="293"/>
      <c r="C996" s="293"/>
      <c r="D996" s="293"/>
      <c r="E996" s="293"/>
    </row>
    <row r="997">
      <c r="A997" s="293"/>
      <c r="C997" s="293"/>
      <c r="D997" s="293"/>
      <c r="E997" s="293"/>
    </row>
    <row r="998">
      <c r="A998" s="293"/>
      <c r="C998" s="293"/>
      <c r="D998" s="293"/>
      <c r="E998" s="293"/>
    </row>
    <row r="999">
      <c r="A999" s="293"/>
      <c r="C999" s="293"/>
      <c r="D999" s="293"/>
      <c r="E999" s="293"/>
    </row>
    <row r="1000">
      <c r="A1000" s="293"/>
      <c r="C1000" s="293"/>
      <c r="D1000" s="293"/>
      <c r="E1000" s="293"/>
    </row>
    <row r="1001">
      <c r="A1001" s="293"/>
      <c r="C1001" s="293"/>
      <c r="D1001" s="293"/>
      <c r="E1001" s="293"/>
    </row>
    <row r="1002">
      <c r="A1002" s="293"/>
      <c r="C1002" s="293"/>
      <c r="D1002" s="293"/>
      <c r="E1002" s="293"/>
    </row>
    <row r="1003">
      <c r="A1003" s="293"/>
      <c r="C1003" s="293"/>
      <c r="D1003" s="293"/>
      <c r="E1003" s="293"/>
    </row>
    <row r="1004">
      <c r="A1004" s="293"/>
      <c r="C1004" s="293"/>
      <c r="D1004" s="293"/>
      <c r="E1004" s="293"/>
    </row>
    <row r="1005">
      <c r="A1005" s="293"/>
      <c r="C1005" s="293"/>
      <c r="D1005" s="293"/>
      <c r="E1005" s="293"/>
    </row>
    <row r="1006">
      <c r="A1006" s="293"/>
      <c r="C1006" s="293"/>
      <c r="D1006" s="293"/>
      <c r="E1006" s="293"/>
    </row>
    <row r="1007">
      <c r="A1007" s="293"/>
      <c r="C1007" s="293"/>
      <c r="D1007" s="293"/>
      <c r="E1007" s="293"/>
    </row>
    <row r="1008">
      <c r="A1008" s="293"/>
      <c r="C1008" s="293"/>
      <c r="D1008" s="293"/>
      <c r="E1008" s="293"/>
    </row>
    <row r="1009">
      <c r="A1009" s="293"/>
      <c r="C1009" s="293"/>
      <c r="D1009" s="293"/>
      <c r="E1009" s="29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27.25"/>
    <col customWidth="1" min="4" max="4" width="16.0"/>
    <col customWidth="1" min="6" max="6" width="15.63"/>
    <col customWidth="1" min="10" max="10" width="18.88"/>
    <col customWidth="1" min="11" max="11" width="11.38"/>
    <col customWidth="1" min="12" max="12" width="26.75"/>
  </cols>
  <sheetData>
    <row r="1">
      <c r="A1" s="466"/>
      <c r="B1" s="281" t="s">
        <v>89</v>
      </c>
      <c r="C1" s="281" t="s">
        <v>90</v>
      </c>
      <c r="D1" s="281" t="s">
        <v>91</v>
      </c>
      <c r="E1" s="281" t="s">
        <v>92</v>
      </c>
      <c r="F1" s="281" t="s">
        <v>93</v>
      </c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>
      <c r="A2" s="435" t="s">
        <v>17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>
      <c r="A3" s="467" t="s">
        <v>1451</v>
      </c>
      <c r="B3" s="467" t="s">
        <v>1452</v>
      </c>
      <c r="C3" s="467" t="s">
        <v>609</v>
      </c>
      <c r="D3" s="467" t="s">
        <v>2</v>
      </c>
      <c r="E3" s="467" t="s">
        <v>93</v>
      </c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</row>
    <row r="4">
      <c r="A4" s="435">
        <v>1.0</v>
      </c>
      <c r="B4" s="422" t="s">
        <v>1354</v>
      </c>
      <c r="C4" s="435">
        <v>6500.0</v>
      </c>
      <c r="D4" s="435" t="s">
        <v>1453</v>
      </c>
      <c r="E4" s="308"/>
      <c r="F4" s="435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</row>
    <row r="5">
      <c r="A5" s="435">
        <v>2.0</v>
      </c>
      <c r="B5" s="435" t="s">
        <v>1355</v>
      </c>
      <c r="C5" s="435">
        <v>3500.0</v>
      </c>
      <c r="D5" s="435" t="s">
        <v>1454</v>
      </c>
      <c r="E5" s="308"/>
      <c r="F5" s="455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</row>
    <row r="6">
      <c r="A6" s="435">
        <v>3.0</v>
      </c>
      <c r="B6" s="435" t="s">
        <v>1356</v>
      </c>
      <c r="C6" s="435">
        <v>3000.0</v>
      </c>
      <c r="D6" s="435" t="s">
        <v>3</v>
      </c>
      <c r="E6" s="308"/>
      <c r="F6" s="455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</row>
    <row r="7">
      <c r="A7" s="435">
        <v>4.0</v>
      </c>
      <c r="B7" s="435" t="s">
        <v>1363</v>
      </c>
      <c r="C7" s="435">
        <v>1500.0</v>
      </c>
      <c r="D7" s="435" t="s">
        <v>555</v>
      </c>
      <c r="E7" s="308"/>
      <c r="F7" s="455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</row>
    <row r="8">
      <c r="A8" s="435">
        <v>5.0</v>
      </c>
      <c r="B8" s="435" t="s">
        <v>1364</v>
      </c>
      <c r="C8" s="435">
        <v>3000.0</v>
      </c>
      <c r="D8" s="435" t="s">
        <v>555</v>
      </c>
      <c r="E8" s="308"/>
      <c r="F8" s="455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</row>
    <row r="9">
      <c r="A9" s="435">
        <v>6.0</v>
      </c>
      <c r="B9" s="435" t="s">
        <v>1365</v>
      </c>
      <c r="C9" s="435">
        <v>1000.0</v>
      </c>
      <c r="D9" s="435" t="s">
        <v>555</v>
      </c>
      <c r="E9" s="308"/>
      <c r="F9" s="455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</row>
    <row r="10">
      <c r="A10" s="308"/>
      <c r="B10" s="308"/>
      <c r="C10" s="308"/>
      <c r="D10" s="308"/>
      <c r="E10" s="308"/>
      <c r="F10" s="455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</row>
    <row r="11">
      <c r="A11" s="308"/>
      <c r="B11" s="435" t="s">
        <v>84</v>
      </c>
      <c r="C11" s="308">
        <f>sum(C4:C9)</f>
        <v>18500</v>
      </c>
      <c r="D11" s="308"/>
      <c r="E11" s="308"/>
      <c r="F11" s="455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</row>
    <row r="12">
      <c r="A12" s="308"/>
      <c r="B12" s="308"/>
      <c r="C12" s="308"/>
      <c r="D12" s="308"/>
      <c r="E12" s="308"/>
      <c r="F12" s="455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>
      <c r="A13" s="308"/>
      <c r="B13" s="435" t="s">
        <v>18</v>
      </c>
      <c r="C13" s="308"/>
      <c r="D13" s="308"/>
      <c r="E13" s="308"/>
      <c r="F13" s="46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>
      <c r="A14" s="467" t="s">
        <v>1451</v>
      </c>
      <c r="B14" s="467" t="s">
        <v>1452</v>
      </c>
      <c r="C14" s="467" t="s">
        <v>609</v>
      </c>
      <c r="D14" s="467" t="s">
        <v>2</v>
      </c>
      <c r="E14" s="467" t="s">
        <v>93</v>
      </c>
      <c r="F14" s="46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>
      <c r="A15" s="435">
        <v>1.0</v>
      </c>
      <c r="B15" s="453" t="s">
        <v>1325</v>
      </c>
      <c r="C15" s="435">
        <v>3000.0</v>
      </c>
      <c r="D15" s="435" t="s">
        <v>121</v>
      </c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>
      <c r="A16" s="435">
        <v>2.0</v>
      </c>
      <c r="B16" s="435" t="s">
        <v>1455</v>
      </c>
      <c r="C16" s="435">
        <v>3000.0</v>
      </c>
      <c r="D16" s="435" t="s">
        <v>121</v>
      </c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>
      <c r="A17" s="435">
        <v>3.0</v>
      </c>
      <c r="B17" s="435" t="s">
        <v>1363</v>
      </c>
      <c r="C17" s="435">
        <v>3000.0</v>
      </c>
      <c r="D17" s="435" t="s">
        <v>121</v>
      </c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</row>
    <row r="18">
      <c r="A18" s="435">
        <v>4.0</v>
      </c>
      <c r="B18" s="435" t="s">
        <v>1365</v>
      </c>
      <c r="C18" s="435">
        <v>3000.0</v>
      </c>
      <c r="D18" s="435" t="s">
        <v>121</v>
      </c>
      <c r="E18" s="308"/>
      <c r="F18" s="435"/>
      <c r="G18" s="435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</row>
    <row r="19">
      <c r="A19" s="435">
        <v>5.0</v>
      </c>
      <c r="B19" s="455" t="s">
        <v>1366</v>
      </c>
      <c r="C19" s="435">
        <v>3000.0</v>
      </c>
      <c r="D19" s="435" t="s">
        <v>555</v>
      </c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</row>
    <row r="20">
      <c r="A20" s="435">
        <v>6.0</v>
      </c>
      <c r="B20" s="455" t="s">
        <v>1367</v>
      </c>
      <c r="C20" s="435">
        <v>2000.0</v>
      </c>
      <c r="D20" s="435" t="s">
        <v>121</v>
      </c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</row>
    <row r="21">
      <c r="A21" s="435">
        <v>7.0</v>
      </c>
      <c r="B21" s="455" t="s">
        <v>1371</v>
      </c>
      <c r="C21" s="435">
        <v>3000.0</v>
      </c>
      <c r="D21" s="435" t="s">
        <v>121</v>
      </c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</row>
    <row r="22">
      <c r="A22" s="435">
        <v>8.0</v>
      </c>
      <c r="B22" s="455" t="s">
        <v>1372</v>
      </c>
      <c r="C22" s="435">
        <v>5500.0</v>
      </c>
      <c r="D22" s="435" t="s">
        <v>1456</v>
      </c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</row>
    <row r="23">
      <c r="A23" s="435">
        <v>9.0</v>
      </c>
      <c r="B23" s="455" t="s">
        <v>1373</v>
      </c>
      <c r="C23" s="435">
        <v>9000.0</v>
      </c>
      <c r="D23" s="435" t="s">
        <v>1457</v>
      </c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</row>
    <row r="24">
      <c r="A24" s="435">
        <v>10.0</v>
      </c>
      <c r="B24" s="455" t="s">
        <v>1375</v>
      </c>
      <c r="C24" s="435">
        <v>5000.0</v>
      </c>
      <c r="D24" s="435" t="s">
        <v>1458</v>
      </c>
      <c r="E24" s="469"/>
      <c r="F24" s="308"/>
      <c r="G24" s="435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</row>
    <row r="25">
      <c r="A25" s="435">
        <v>11.0</v>
      </c>
      <c r="B25" s="435" t="s">
        <v>1377</v>
      </c>
      <c r="C25" s="435">
        <v>2500.0</v>
      </c>
      <c r="D25" s="435" t="s">
        <v>1456</v>
      </c>
      <c r="E25" s="435" t="s">
        <v>1459</v>
      </c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</row>
    <row r="26">
      <c r="A26" s="435">
        <v>12.0</v>
      </c>
      <c r="B26" s="435" t="s">
        <v>1460</v>
      </c>
      <c r="C26" s="435">
        <v>2500.0</v>
      </c>
      <c r="D26" s="435" t="s">
        <v>1456</v>
      </c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</row>
    <row r="27">
      <c r="A27" s="435">
        <v>13.0</v>
      </c>
      <c r="B27" s="435" t="s">
        <v>1380</v>
      </c>
      <c r="C27" s="435">
        <v>3500.0</v>
      </c>
      <c r="D27" s="435" t="s">
        <v>1461</v>
      </c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</row>
    <row r="28">
      <c r="F28" s="308"/>
      <c r="G28" s="435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</row>
    <row r="29"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</row>
    <row r="30">
      <c r="C30" s="398">
        <f>sum(C15:C27)</f>
        <v>48000</v>
      </c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</row>
    <row r="31">
      <c r="A31" s="308"/>
      <c r="B31" s="470" t="s">
        <v>103</v>
      </c>
      <c r="C31" s="470">
        <f>25000+5800</f>
        <v>30800</v>
      </c>
      <c r="D31" s="308"/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</row>
    <row r="32">
      <c r="A32" s="308"/>
      <c r="B32" s="308"/>
      <c r="C32" s="398">
        <f>C30-C31</f>
        <v>17200</v>
      </c>
      <c r="D32" s="435" t="s">
        <v>322</v>
      </c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</row>
    <row r="33">
      <c r="A33" s="308"/>
      <c r="B33" s="308"/>
      <c r="C33" s="435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</row>
    <row r="34">
      <c r="A34" s="435">
        <v>14.0</v>
      </c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</row>
    <row r="35">
      <c r="A35" s="435">
        <v>15.0</v>
      </c>
      <c r="B35" s="182" t="s">
        <v>1355</v>
      </c>
      <c r="C35" s="435">
        <v>3000.0</v>
      </c>
      <c r="D35" s="435" t="s">
        <v>1290</v>
      </c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</row>
    <row r="36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</row>
    <row r="37">
      <c r="A37" s="308"/>
      <c r="B37" s="435" t="s">
        <v>1462</v>
      </c>
      <c r="C37" s="308">
        <f>C32+C35</f>
        <v>20200</v>
      </c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</row>
    <row r="38">
      <c r="A38" s="308"/>
      <c r="B38" s="435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</row>
    <row r="39">
      <c r="A39" s="308"/>
      <c r="B39" s="435" t="s">
        <v>7</v>
      </c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</row>
    <row r="40">
      <c r="A40" s="308"/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</row>
    <row r="41">
      <c r="A41" s="467" t="s">
        <v>1451</v>
      </c>
      <c r="B41" s="467" t="s">
        <v>1452</v>
      </c>
      <c r="C41" s="467" t="s">
        <v>609</v>
      </c>
      <c r="D41" s="467" t="s">
        <v>2</v>
      </c>
      <c r="E41" s="467" t="s">
        <v>93</v>
      </c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</row>
    <row r="42">
      <c r="A42" s="435">
        <v>1.0</v>
      </c>
      <c r="B42" s="182" t="s">
        <v>1381</v>
      </c>
      <c r="C42" s="435">
        <v>4000.0</v>
      </c>
      <c r="D42" s="435" t="s">
        <v>1463</v>
      </c>
      <c r="E42" s="435" t="s">
        <v>1464</v>
      </c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</row>
    <row r="43">
      <c r="A43" s="435">
        <v>2.0</v>
      </c>
      <c r="B43" s="182" t="s">
        <v>1382</v>
      </c>
      <c r="C43" s="435">
        <v>4000.0</v>
      </c>
      <c r="D43" s="435" t="s">
        <v>260</v>
      </c>
      <c r="E43" s="435" t="s">
        <v>1464</v>
      </c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</row>
    <row r="44">
      <c r="A44" s="435">
        <v>3.0</v>
      </c>
      <c r="B44" s="182" t="s">
        <v>1455</v>
      </c>
      <c r="C44" s="435">
        <v>2500.0</v>
      </c>
      <c r="D44" s="435" t="s">
        <v>1290</v>
      </c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</row>
    <row r="45">
      <c r="A45" s="435">
        <v>4.0</v>
      </c>
      <c r="B45" s="435" t="s">
        <v>1383</v>
      </c>
      <c r="C45" s="435">
        <v>2500.0</v>
      </c>
      <c r="D45" s="435" t="s">
        <v>1465</v>
      </c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</row>
    <row r="46">
      <c r="A46" s="435">
        <v>5.0</v>
      </c>
      <c r="B46" s="182" t="s">
        <v>1017</v>
      </c>
      <c r="C46" s="435">
        <v>2500.0</v>
      </c>
      <c r="D46" s="435" t="s">
        <v>1466</v>
      </c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</row>
    <row r="47">
      <c r="A47" s="435">
        <v>6.0</v>
      </c>
      <c r="B47" s="422" t="s">
        <v>1354</v>
      </c>
      <c r="C47" s="435">
        <v>2500.0</v>
      </c>
      <c r="D47" s="435" t="s">
        <v>1467</v>
      </c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</row>
    <row r="48">
      <c r="A48" s="435">
        <v>7.0</v>
      </c>
      <c r="B48" s="435" t="s">
        <v>1468</v>
      </c>
      <c r="C48" s="435">
        <v>3000.0</v>
      </c>
      <c r="D48" s="435" t="s">
        <v>1469</v>
      </c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</row>
    <row r="49">
      <c r="A49" s="435">
        <v>8.0</v>
      </c>
      <c r="B49" s="435" t="s">
        <v>1470</v>
      </c>
      <c r="C49" s="435">
        <v>4000.0</v>
      </c>
      <c r="D49" s="435" t="s">
        <v>1471</v>
      </c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</row>
    <row r="50">
      <c r="A50" s="435">
        <v>9.0</v>
      </c>
      <c r="B50" s="182" t="s">
        <v>1384</v>
      </c>
      <c r="C50" s="435">
        <v>2500.0</v>
      </c>
      <c r="D50" s="435" t="s">
        <v>1472</v>
      </c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</row>
    <row r="51">
      <c r="A51" s="435">
        <v>10.0</v>
      </c>
      <c r="B51" s="422" t="s">
        <v>1318</v>
      </c>
      <c r="C51" s="435">
        <v>500.0</v>
      </c>
      <c r="D51" s="435" t="s">
        <v>555</v>
      </c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</row>
    <row r="52">
      <c r="A52" s="435"/>
      <c r="B52" s="182"/>
      <c r="C52" s="435"/>
      <c r="D52" s="435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</row>
    <row r="53">
      <c r="A53" s="435"/>
      <c r="B53" s="471"/>
      <c r="C53" s="470">
        <f>sum(C42:C51)</f>
        <v>28000</v>
      </c>
      <c r="D53" s="470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</row>
    <row r="54">
      <c r="A54" s="435"/>
      <c r="B54" s="182" t="s">
        <v>94</v>
      </c>
      <c r="C54" s="435"/>
      <c r="D54" s="435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</row>
    <row r="55">
      <c r="A55" s="435" t="s">
        <v>33</v>
      </c>
      <c r="B55" s="182" t="s">
        <v>89</v>
      </c>
      <c r="C55" s="435" t="s">
        <v>90</v>
      </c>
      <c r="D55" s="435" t="s">
        <v>91</v>
      </c>
      <c r="E55" s="435" t="s">
        <v>92</v>
      </c>
      <c r="F55" s="435" t="s">
        <v>93</v>
      </c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</row>
    <row r="56">
      <c r="A56" s="435"/>
      <c r="B56" s="182"/>
      <c r="C56" s="435"/>
      <c r="D56" s="435"/>
      <c r="E56" s="308"/>
      <c r="F56" s="308"/>
      <c r="G56" s="308"/>
      <c r="H56" s="308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  <c r="Z56" s="308"/>
    </row>
    <row r="57">
      <c r="A57" s="472">
        <v>45119.0</v>
      </c>
      <c r="B57" s="182" t="s">
        <v>1473</v>
      </c>
      <c r="D57" s="435">
        <v>2500.0</v>
      </c>
      <c r="E57" s="435">
        <v>2500.0</v>
      </c>
      <c r="F57" s="435" t="s">
        <v>1474</v>
      </c>
      <c r="G57" s="30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</row>
    <row r="58">
      <c r="A58" s="472">
        <v>45120.0</v>
      </c>
      <c r="B58" s="435" t="s">
        <v>1475</v>
      </c>
      <c r="D58" s="435">
        <v>3000.0</v>
      </c>
      <c r="E58" s="308">
        <f t="shared" ref="E58:E70" si="1">E57+D58</f>
        <v>5500</v>
      </c>
      <c r="F58" s="435" t="s">
        <v>1476</v>
      </c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</row>
    <row r="59">
      <c r="A59" s="472">
        <v>45121.0</v>
      </c>
      <c r="B59" s="182" t="s">
        <v>1381</v>
      </c>
      <c r="D59" s="435">
        <v>4000.0</v>
      </c>
      <c r="E59" s="308">
        <f t="shared" si="1"/>
        <v>9500</v>
      </c>
      <c r="F59" s="435" t="s">
        <v>1477</v>
      </c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</row>
    <row r="60">
      <c r="A60" s="472">
        <v>45122.0</v>
      </c>
      <c r="B60" s="182" t="s">
        <v>1382</v>
      </c>
      <c r="D60" s="435">
        <v>4000.0</v>
      </c>
      <c r="E60" s="308">
        <f t="shared" si="1"/>
        <v>13500</v>
      </c>
      <c r="F60" s="435" t="s">
        <v>1477</v>
      </c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</row>
    <row r="61">
      <c r="A61" s="472">
        <v>45123.0</v>
      </c>
      <c r="B61" s="185" t="s">
        <v>1371</v>
      </c>
      <c r="D61" s="435">
        <v>2500.0</v>
      </c>
      <c r="E61" s="308">
        <f t="shared" si="1"/>
        <v>16000</v>
      </c>
      <c r="F61" s="435" t="s">
        <v>1478</v>
      </c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</row>
    <row r="62">
      <c r="A62" s="472">
        <v>45124.0</v>
      </c>
      <c r="B62" s="182" t="s">
        <v>1355</v>
      </c>
      <c r="D62" s="435">
        <v>3000.0</v>
      </c>
      <c r="E62" s="308">
        <f t="shared" si="1"/>
        <v>19000</v>
      </c>
      <c r="F62" s="435" t="s">
        <v>1478</v>
      </c>
      <c r="G62" s="308"/>
      <c r="H62" s="308"/>
      <c r="I62" s="308"/>
      <c r="J62" s="308"/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</row>
    <row r="63">
      <c r="A63" s="472">
        <v>45130.0</v>
      </c>
      <c r="B63" s="182" t="s">
        <v>1389</v>
      </c>
      <c r="C63" s="308"/>
      <c r="D63" s="435">
        <v>2500.0</v>
      </c>
      <c r="E63" s="308">
        <f t="shared" si="1"/>
        <v>21500</v>
      </c>
      <c r="F63" s="308"/>
      <c r="G63" s="435" t="s">
        <v>1479</v>
      </c>
      <c r="H63" s="308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</row>
    <row r="64">
      <c r="A64" s="472">
        <v>45130.0</v>
      </c>
      <c r="B64" s="182" t="s">
        <v>1390</v>
      </c>
      <c r="C64" s="308"/>
      <c r="D64" s="435">
        <v>5000.0</v>
      </c>
      <c r="E64" s="308">
        <f t="shared" si="1"/>
        <v>26500</v>
      </c>
      <c r="F64" s="435" t="s">
        <v>97</v>
      </c>
      <c r="G64" s="435" t="s">
        <v>1480</v>
      </c>
      <c r="H64" s="435" t="s">
        <v>97</v>
      </c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</row>
    <row r="65">
      <c r="A65" s="472">
        <v>45130.0</v>
      </c>
      <c r="B65" s="435" t="s">
        <v>1481</v>
      </c>
      <c r="C65" s="308"/>
      <c r="D65" s="435">
        <v>3000.0</v>
      </c>
      <c r="E65" s="308">
        <f t="shared" si="1"/>
        <v>29500</v>
      </c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</row>
    <row r="66">
      <c r="A66" s="472">
        <v>45130.0</v>
      </c>
      <c r="B66" s="469" t="s">
        <v>1482</v>
      </c>
      <c r="C66" s="308"/>
      <c r="D66" s="435">
        <v>2000.0</v>
      </c>
      <c r="E66" s="308">
        <f t="shared" si="1"/>
        <v>31500</v>
      </c>
      <c r="F66" s="308"/>
      <c r="G66" s="308"/>
      <c r="H66" s="308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</row>
    <row r="67">
      <c r="A67" s="472">
        <v>45130.0</v>
      </c>
      <c r="B67" s="182" t="s">
        <v>1391</v>
      </c>
      <c r="C67" s="308"/>
      <c r="D67" s="435">
        <v>7000.0</v>
      </c>
      <c r="E67" s="308">
        <f t="shared" si="1"/>
        <v>38500</v>
      </c>
      <c r="F67" s="308"/>
      <c r="G67" s="435" t="s">
        <v>1293</v>
      </c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</row>
    <row r="68">
      <c r="A68" s="472">
        <v>45130.0</v>
      </c>
      <c r="B68" s="469" t="s">
        <v>1372</v>
      </c>
      <c r="C68" s="308"/>
      <c r="D68" s="435">
        <v>2500.0</v>
      </c>
      <c r="E68" s="308">
        <f t="shared" si="1"/>
        <v>41000</v>
      </c>
      <c r="F68" s="435" t="s">
        <v>1478</v>
      </c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</row>
    <row r="69">
      <c r="A69" s="472">
        <v>45140.0</v>
      </c>
      <c r="B69" s="182" t="s">
        <v>1393</v>
      </c>
      <c r="C69" s="308"/>
      <c r="D69" s="435">
        <v>7500.0</v>
      </c>
      <c r="E69" s="308">
        <f t="shared" si="1"/>
        <v>48500</v>
      </c>
      <c r="F69" s="435" t="s">
        <v>1483</v>
      </c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</row>
    <row r="70">
      <c r="A70" s="472">
        <v>45140.0</v>
      </c>
      <c r="B70" s="435" t="s">
        <v>1484</v>
      </c>
      <c r="C70" s="308"/>
      <c r="D70" s="435">
        <v>2500.0</v>
      </c>
      <c r="E70" s="308">
        <f t="shared" si="1"/>
        <v>51000</v>
      </c>
      <c r="F70" s="435" t="s">
        <v>125</v>
      </c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</row>
    <row r="71">
      <c r="A71" s="308"/>
      <c r="B71" s="308"/>
      <c r="C71" s="308"/>
      <c r="D71" s="308"/>
      <c r="E71" s="308"/>
      <c r="F71" s="308"/>
      <c r="G71" s="308"/>
      <c r="H71" s="308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</row>
    <row r="72">
      <c r="A72" s="473"/>
      <c r="B72" s="473"/>
      <c r="C72" s="473"/>
      <c r="D72" s="473">
        <f>sum(D57:D70)</f>
        <v>51000</v>
      </c>
      <c r="E72" s="473"/>
      <c r="F72" s="473"/>
      <c r="G72" s="473"/>
      <c r="H72" s="308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</row>
    <row r="73">
      <c r="A73" s="308"/>
      <c r="B73" s="308"/>
      <c r="C73" s="308"/>
      <c r="D73" s="308"/>
      <c r="E73" s="308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</row>
    <row r="74">
      <c r="A74" s="308"/>
      <c r="B74" s="435" t="s">
        <v>1485</v>
      </c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</row>
    <row r="75">
      <c r="A75" s="308"/>
      <c r="B75" s="308"/>
      <c r="C75" s="308"/>
      <c r="D75" s="308"/>
      <c r="E75" s="308"/>
      <c r="F75" s="308"/>
      <c r="G75" s="308"/>
      <c r="H75" s="308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308"/>
    </row>
    <row r="76">
      <c r="A76" s="472">
        <v>45139.0</v>
      </c>
      <c r="B76" s="182" t="s">
        <v>1383</v>
      </c>
      <c r="C76" s="308"/>
      <c r="D76" s="435">
        <v>2500.0</v>
      </c>
      <c r="E76" s="435">
        <v>2500.0</v>
      </c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</row>
    <row r="77">
      <c r="A77" s="472">
        <v>45140.0</v>
      </c>
      <c r="B77" s="182" t="s">
        <v>1396</v>
      </c>
      <c r="C77" s="308"/>
      <c r="D77" s="435">
        <v>3000.0</v>
      </c>
      <c r="E77" s="308">
        <f t="shared" ref="E77:E88" si="2">E76+D77</f>
        <v>5500</v>
      </c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</row>
    <row r="78">
      <c r="A78" s="472">
        <v>45154.0</v>
      </c>
      <c r="B78" s="182" t="s">
        <v>1397</v>
      </c>
      <c r="C78" s="308"/>
      <c r="D78" s="435">
        <v>2000.0</v>
      </c>
      <c r="E78" s="308">
        <f t="shared" si="2"/>
        <v>7500</v>
      </c>
      <c r="F78" s="308"/>
      <c r="G78" s="308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</row>
    <row r="79">
      <c r="A79" s="472">
        <v>45154.0</v>
      </c>
      <c r="B79" s="182" t="s">
        <v>1398</v>
      </c>
      <c r="C79" s="308"/>
      <c r="D79" s="435">
        <v>2000.0</v>
      </c>
      <c r="E79" s="308">
        <f t="shared" si="2"/>
        <v>9500</v>
      </c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</row>
    <row r="80">
      <c r="A80" s="472">
        <v>45159.0</v>
      </c>
      <c r="B80" s="182" t="s">
        <v>1394</v>
      </c>
      <c r="C80" s="308"/>
      <c r="D80" s="435">
        <v>7500.0</v>
      </c>
      <c r="E80" s="308">
        <f t="shared" si="2"/>
        <v>17000</v>
      </c>
      <c r="F80" s="308"/>
      <c r="G80" s="308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</row>
    <row r="81">
      <c r="A81" s="472">
        <v>45160.0</v>
      </c>
      <c r="B81" s="182" t="s">
        <v>1384</v>
      </c>
      <c r="C81" s="308"/>
      <c r="D81" s="435">
        <v>2500.0</v>
      </c>
      <c r="E81" s="308">
        <f t="shared" si="2"/>
        <v>19500</v>
      </c>
      <c r="F81" s="435" t="s">
        <v>39</v>
      </c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</row>
    <row r="82">
      <c r="A82" s="472">
        <v>45161.0</v>
      </c>
      <c r="B82" s="182" t="s">
        <v>1399</v>
      </c>
      <c r="C82" s="308"/>
      <c r="D82" s="435">
        <v>3000.0</v>
      </c>
      <c r="E82" s="308">
        <f t="shared" si="2"/>
        <v>22500</v>
      </c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</row>
    <row r="83">
      <c r="A83" s="472">
        <v>45161.0</v>
      </c>
      <c r="B83" s="182" t="s">
        <v>1400</v>
      </c>
      <c r="C83" s="308"/>
      <c r="D83" s="435">
        <v>3000.0</v>
      </c>
      <c r="E83" s="308">
        <f t="shared" si="2"/>
        <v>25500</v>
      </c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</row>
    <row r="84">
      <c r="A84" s="472">
        <v>45161.0</v>
      </c>
      <c r="B84" s="182" t="s">
        <v>1401</v>
      </c>
      <c r="C84" s="308"/>
      <c r="D84" s="435">
        <v>3000.0</v>
      </c>
      <c r="E84" s="308">
        <f t="shared" si="2"/>
        <v>28500</v>
      </c>
      <c r="F84" s="308"/>
      <c r="G84" s="308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</row>
    <row r="85">
      <c r="A85" s="472">
        <v>45161.0</v>
      </c>
      <c r="B85" s="185" t="s">
        <v>1371</v>
      </c>
      <c r="C85" s="308"/>
      <c r="D85" s="435">
        <v>2500.0</v>
      </c>
      <c r="E85" s="308">
        <f t="shared" si="2"/>
        <v>31000</v>
      </c>
      <c r="F85" s="308"/>
      <c r="G85" s="308"/>
      <c r="H85" s="308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</row>
    <row r="86">
      <c r="A86" s="472">
        <v>45162.0</v>
      </c>
      <c r="B86" s="182" t="s">
        <v>1379</v>
      </c>
      <c r="C86" s="308"/>
      <c r="D86" s="435">
        <v>2500.0</v>
      </c>
      <c r="E86" s="308">
        <f t="shared" si="2"/>
        <v>33500</v>
      </c>
      <c r="F86" s="308"/>
      <c r="G86" s="308"/>
      <c r="H86" s="308"/>
      <c r="I86" s="308"/>
      <c r="J86" s="308"/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</row>
    <row r="87">
      <c r="A87" s="472">
        <v>45161.0</v>
      </c>
      <c r="B87" s="182" t="s">
        <v>1388</v>
      </c>
      <c r="C87" s="308"/>
      <c r="D87" s="435">
        <v>2500.0</v>
      </c>
      <c r="E87" s="308">
        <f t="shared" si="2"/>
        <v>36000</v>
      </c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</row>
    <row r="88">
      <c r="A88" s="472">
        <v>45162.0</v>
      </c>
      <c r="B88" s="469" t="s">
        <v>1372</v>
      </c>
      <c r="C88" s="308"/>
      <c r="D88" s="435">
        <v>2500.0</v>
      </c>
      <c r="E88" s="308">
        <f t="shared" si="2"/>
        <v>38500</v>
      </c>
      <c r="F88" s="308"/>
      <c r="G88" s="308"/>
      <c r="H88" s="308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</row>
    <row r="89">
      <c r="A89" s="474"/>
      <c r="B89" s="475" t="s">
        <v>1486</v>
      </c>
      <c r="C89" s="475">
        <v>38500.0</v>
      </c>
      <c r="D89" s="474"/>
      <c r="E89" s="474">
        <f>E88-C89</f>
        <v>0</v>
      </c>
      <c r="F89" s="474"/>
      <c r="G89" s="474"/>
      <c r="H89" s="474"/>
      <c r="I89" s="474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  <c r="Z89" s="308"/>
    </row>
    <row r="90">
      <c r="A90" s="474"/>
      <c r="B90" s="474"/>
      <c r="C90" s="475" t="s">
        <v>1487</v>
      </c>
      <c r="D90" s="474"/>
      <c r="E90" s="474"/>
      <c r="F90" s="474"/>
      <c r="G90" s="474"/>
      <c r="H90" s="474"/>
      <c r="I90" s="474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</row>
    <row r="91">
      <c r="A91" s="472">
        <v>45179.0</v>
      </c>
      <c r="B91" s="469" t="s">
        <v>1017</v>
      </c>
      <c r="C91" s="308"/>
      <c r="D91" s="435">
        <v>2500.0</v>
      </c>
      <c r="E91" s="435">
        <v>2500.0</v>
      </c>
      <c r="F91" s="435" t="s">
        <v>1488</v>
      </c>
      <c r="G91" s="308"/>
      <c r="H91" s="308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  <c r="Z91" s="308"/>
    </row>
    <row r="92">
      <c r="A92" s="472">
        <v>45180.0</v>
      </c>
      <c r="B92" s="182" t="s">
        <v>1403</v>
      </c>
      <c r="C92" s="308"/>
      <c r="D92" s="435">
        <v>3000.0</v>
      </c>
      <c r="E92" s="308">
        <f t="shared" ref="E92:E101" si="3">E91+D92</f>
        <v>5500</v>
      </c>
      <c r="F92" s="308"/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</row>
    <row r="93">
      <c r="A93" s="472">
        <v>45181.0</v>
      </c>
      <c r="B93" s="182" t="s">
        <v>1404</v>
      </c>
      <c r="C93" s="308"/>
      <c r="D93" s="435">
        <v>3000.0</v>
      </c>
      <c r="E93" s="308">
        <f t="shared" si="3"/>
        <v>8500</v>
      </c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</row>
    <row r="94">
      <c r="A94" s="472">
        <v>45181.0</v>
      </c>
      <c r="B94" s="435" t="s">
        <v>1489</v>
      </c>
      <c r="C94" s="308"/>
      <c r="D94" s="435">
        <v>2500.0</v>
      </c>
      <c r="E94" s="308">
        <f t="shared" si="3"/>
        <v>11000</v>
      </c>
      <c r="F94" s="308"/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</row>
    <row r="95">
      <c r="A95" s="472">
        <v>45182.0</v>
      </c>
      <c r="B95" s="453" t="s">
        <v>1325</v>
      </c>
      <c r="C95" s="308"/>
      <c r="D95" s="435">
        <v>3000.0</v>
      </c>
      <c r="E95" s="308">
        <f t="shared" si="3"/>
        <v>14000</v>
      </c>
      <c r="F95" s="308"/>
      <c r="G95" s="308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</row>
    <row r="96">
      <c r="A96" s="308"/>
      <c r="B96" s="435" t="s">
        <v>1401</v>
      </c>
      <c r="C96" s="308"/>
      <c r="D96" s="435">
        <v>3000.0</v>
      </c>
      <c r="E96" s="308">
        <f t="shared" si="3"/>
        <v>17000</v>
      </c>
      <c r="F96" s="308"/>
      <c r="G96" s="308"/>
      <c r="H96" s="308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</row>
    <row r="97">
      <c r="A97" s="308"/>
      <c r="B97" s="435" t="s">
        <v>1400</v>
      </c>
      <c r="C97" s="308"/>
      <c r="D97" s="435">
        <v>3000.0</v>
      </c>
      <c r="E97" s="308">
        <f t="shared" si="3"/>
        <v>20000</v>
      </c>
      <c r="F97" s="308"/>
      <c r="G97" s="308"/>
      <c r="H97" s="308"/>
      <c r="I97" s="308"/>
      <c r="J97" s="308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  <c r="Z97" s="308"/>
    </row>
    <row r="98">
      <c r="A98" s="308"/>
      <c r="B98" s="435" t="s">
        <v>1490</v>
      </c>
      <c r="C98" s="308"/>
      <c r="D98" s="435">
        <v>3000.0</v>
      </c>
      <c r="E98" s="308">
        <f t="shared" si="3"/>
        <v>23000</v>
      </c>
      <c r="F98" s="308"/>
      <c r="G98" s="308"/>
      <c r="H98" s="308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</row>
    <row r="99">
      <c r="A99" s="308"/>
      <c r="B99" s="435" t="s">
        <v>1491</v>
      </c>
      <c r="C99" s="308"/>
      <c r="D99" s="435">
        <v>2000.0</v>
      </c>
      <c r="E99" s="308">
        <f t="shared" si="3"/>
        <v>25000</v>
      </c>
      <c r="F99" s="308"/>
      <c r="G99" s="308"/>
      <c r="H99" s="308"/>
      <c r="I99" s="308"/>
      <c r="J99" s="308"/>
      <c r="K99" s="308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  <c r="Z99" s="308"/>
    </row>
    <row r="100">
      <c r="A100" s="308"/>
      <c r="B100" s="435" t="s">
        <v>1388</v>
      </c>
      <c r="C100" s="308"/>
      <c r="D100" s="435">
        <v>2500.0</v>
      </c>
      <c r="E100" s="308">
        <f t="shared" si="3"/>
        <v>27500</v>
      </c>
      <c r="F100" s="308"/>
      <c r="G100" s="308"/>
      <c r="H100" s="308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</row>
    <row r="101">
      <c r="A101" s="308"/>
      <c r="B101" s="470" t="s">
        <v>1492</v>
      </c>
      <c r="C101" s="473"/>
      <c r="D101" s="470">
        <v>3000.0</v>
      </c>
      <c r="E101" s="473">
        <f t="shared" si="3"/>
        <v>30500</v>
      </c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</row>
    <row r="102">
      <c r="A102" s="476"/>
      <c r="B102" s="455"/>
      <c r="C102" s="468"/>
      <c r="D102" s="455"/>
      <c r="E102" s="468"/>
      <c r="F102" s="468"/>
      <c r="G102" s="308"/>
      <c r="H102" s="308"/>
      <c r="I102" s="308"/>
      <c r="J102" s="308"/>
      <c r="K102" s="308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</row>
    <row r="103">
      <c r="A103" s="477"/>
      <c r="B103" s="478" t="s">
        <v>1493</v>
      </c>
      <c r="C103" s="479"/>
      <c r="D103" s="478"/>
      <c r="E103" s="479"/>
      <c r="F103" s="479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</row>
    <row r="104">
      <c r="A104" s="476"/>
      <c r="B104" s="455"/>
      <c r="C104" s="468"/>
      <c r="D104" s="455"/>
      <c r="E104" s="468"/>
      <c r="F104" s="468"/>
      <c r="G104" s="308"/>
      <c r="H104" s="308"/>
      <c r="I104" s="308"/>
      <c r="J104" s="308"/>
      <c r="K104" s="308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308"/>
      <c r="W104" s="308"/>
      <c r="X104" s="308"/>
      <c r="Y104" s="308"/>
      <c r="Z104" s="308"/>
    </row>
    <row r="105">
      <c r="A105" s="476">
        <v>45208.0</v>
      </c>
      <c r="B105" s="455" t="s">
        <v>757</v>
      </c>
      <c r="C105" s="468"/>
      <c r="D105" s="455">
        <v>2000.0</v>
      </c>
      <c r="E105" s="455">
        <v>2000.0</v>
      </c>
      <c r="F105" s="468"/>
      <c r="G105" s="308"/>
      <c r="H105" s="308"/>
      <c r="I105" s="308"/>
      <c r="J105" s="308"/>
      <c r="K105" s="308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  <c r="X105" s="308"/>
      <c r="Y105" s="308"/>
      <c r="Z105" s="308"/>
    </row>
    <row r="106">
      <c r="A106" s="480"/>
      <c r="B106" s="435"/>
      <c r="C106" s="308"/>
      <c r="D106" s="435"/>
      <c r="E106" s="308"/>
      <c r="F106" s="308"/>
      <c r="G106" s="308"/>
      <c r="H106" s="308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</row>
    <row r="107">
      <c r="A107" s="481">
        <v>45210.0</v>
      </c>
      <c r="B107" s="482" t="s">
        <v>1405</v>
      </c>
      <c r="C107" s="483"/>
      <c r="D107" s="482">
        <v>2000.0</v>
      </c>
      <c r="E107" s="483">
        <f>E105+D107</f>
        <v>4000</v>
      </c>
      <c r="F107" s="308"/>
      <c r="G107" s="308"/>
      <c r="H107" s="308"/>
      <c r="I107" s="308"/>
      <c r="J107" s="308"/>
      <c r="K107" s="308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</row>
    <row r="108">
      <c r="A108" s="308"/>
      <c r="B108" s="308"/>
      <c r="C108" s="308"/>
      <c r="D108" s="308"/>
      <c r="E108" s="308"/>
      <c r="F108" s="308"/>
      <c r="G108" s="308"/>
      <c r="H108" s="308"/>
      <c r="I108" s="308"/>
      <c r="J108" s="308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</row>
    <row r="109">
      <c r="A109" s="308"/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</row>
    <row r="110">
      <c r="A110" s="308"/>
      <c r="B110" s="308"/>
      <c r="C110" s="308"/>
      <c r="D110" s="308"/>
      <c r="E110" s="308"/>
      <c r="F110" s="308"/>
      <c r="G110" s="308"/>
      <c r="H110" s="308"/>
      <c r="I110" s="308"/>
      <c r="J110" s="308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</row>
    <row r="111">
      <c r="A111" s="308"/>
      <c r="B111" s="308"/>
      <c r="C111" s="308"/>
      <c r="D111" s="308"/>
      <c r="E111" s="308"/>
      <c r="F111" s="308"/>
      <c r="G111" s="308"/>
      <c r="H111" s="308"/>
      <c r="I111" s="308"/>
      <c r="J111" s="308"/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  <c r="X111" s="308"/>
      <c r="Y111" s="308"/>
      <c r="Z111" s="308"/>
    </row>
    <row r="112">
      <c r="A112" s="308"/>
      <c r="B112" s="308"/>
      <c r="C112" s="308"/>
      <c r="D112" s="308"/>
      <c r="E112" s="308"/>
      <c r="F112" s="308"/>
      <c r="G112" s="308"/>
      <c r="H112" s="308"/>
      <c r="I112" s="308"/>
      <c r="J112" s="308"/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</row>
    <row r="113">
      <c r="A113" s="308"/>
      <c r="B113" s="308"/>
      <c r="C113" s="308"/>
      <c r="D113" s="308"/>
      <c r="E113" s="308"/>
      <c r="F113" s="308"/>
      <c r="G113" s="308"/>
      <c r="H113" s="308"/>
      <c r="I113" s="308"/>
      <c r="J113" s="308"/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</row>
    <row r="114">
      <c r="A114" s="308"/>
      <c r="B114" s="308"/>
      <c r="C114" s="308"/>
      <c r="D114" s="308"/>
      <c r="E114" s="308"/>
      <c r="F114" s="308"/>
      <c r="G114" s="308"/>
      <c r="H114" s="308"/>
      <c r="I114" s="308"/>
      <c r="J114" s="308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</row>
    <row r="115">
      <c r="A115" s="308"/>
      <c r="B115" s="308"/>
      <c r="C115" s="308"/>
      <c r="D115" s="308"/>
      <c r="E115" s="308"/>
      <c r="F115" s="308"/>
      <c r="G115" s="308"/>
      <c r="H115" s="308"/>
      <c r="I115" s="308"/>
      <c r="J115" s="308"/>
      <c r="K115" s="308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308"/>
      <c r="W115" s="308"/>
      <c r="X115" s="308"/>
      <c r="Y115" s="308"/>
      <c r="Z115" s="308"/>
    </row>
    <row r="116">
      <c r="A116" s="308"/>
      <c r="B116" s="308"/>
      <c r="C116" s="308"/>
      <c r="D116" s="308"/>
      <c r="E116" s="308"/>
      <c r="F116" s="308"/>
      <c r="G116" s="308"/>
      <c r="H116" s="308"/>
      <c r="I116" s="308"/>
      <c r="J116" s="308"/>
      <c r="K116" s="308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308"/>
      <c r="W116" s="308"/>
      <c r="X116" s="308"/>
      <c r="Y116" s="308"/>
      <c r="Z116" s="308"/>
    </row>
    <row r="117">
      <c r="A117" s="308"/>
      <c r="B117" s="308"/>
      <c r="C117" s="308"/>
      <c r="D117" s="308"/>
      <c r="E117" s="308"/>
      <c r="F117" s="308"/>
      <c r="G117" s="308"/>
      <c r="H117" s="308"/>
      <c r="I117" s="308"/>
      <c r="J117" s="308"/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</row>
    <row r="118">
      <c r="A118" s="308"/>
      <c r="B118" s="308"/>
      <c r="C118" s="308"/>
      <c r="D118" s="308"/>
      <c r="E118" s="308"/>
      <c r="F118" s="308"/>
      <c r="G118" s="308"/>
      <c r="H118" s="308"/>
      <c r="I118" s="308"/>
      <c r="J118" s="308"/>
      <c r="K118" s="308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</row>
    <row r="119">
      <c r="A119" s="308"/>
      <c r="B119" s="308"/>
      <c r="C119" s="308"/>
      <c r="D119" s="308"/>
      <c r="E119" s="308"/>
      <c r="F119" s="308"/>
      <c r="G119" s="308"/>
      <c r="H119" s="308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</row>
    <row r="120">
      <c r="A120" s="308"/>
      <c r="B120" s="308"/>
      <c r="C120" s="308"/>
      <c r="D120" s="308"/>
      <c r="E120" s="308"/>
      <c r="F120" s="308"/>
      <c r="G120" s="308"/>
      <c r="H120" s="308"/>
      <c r="I120" s="308"/>
      <c r="J120" s="308"/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</row>
    <row r="121">
      <c r="A121" s="308"/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</row>
    <row r="122">
      <c r="A122" s="308"/>
      <c r="B122" s="308"/>
      <c r="C122" s="308"/>
      <c r="D122" s="308"/>
      <c r="E122" s="308"/>
      <c r="F122" s="308"/>
      <c r="G122" s="308"/>
      <c r="H122" s="308"/>
      <c r="I122" s="308"/>
      <c r="J122" s="308"/>
      <c r="K122" s="308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</row>
    <row r="123">
      <c r="A123" s="308"/>
      <c r="B123" s="308"/>
      <c r="C123" s="308"/>
      <c r="D123" s="308"/>
      <c r="E123" s="308"/>
      <c r="F123" s="308"/>
      <c r="G123" s="308"/>
      <c r="H123" s="308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308"/>
      <c r="W123" s="308"/>
      <c r="X123" s="308"/>
      <c r="Y123" s="308"/>
      <c r="Z123" s="308"/>
    </row>
    <row r="124">
      <c r="A124" s="308"/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</row>
    <row r="125">
      <c r="A125" s="308"/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</row>
    <row r="126">
      <c r="A126" s="308"/>
      <c r="B126" s="308"/>
      <c r="C126" s="308"/>
      <c r="D126" s="308"/>
      <c r="E126" s="308"/>
      <c r="F126" s="308"/>
      <c r="G126" s="308"/>
      <c r="H126" s="308"/>
      <c r="I126" s="308"/>
      <c r="J126" s="308"/>
      <c r="K126" s="308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</row>
    <row r="127">
      <c r="A127" s="308"/>
      <c r="B127" s="308"/>
      <c r="C127" s="308"/>
      <c r="D127" s="308"/>
      <c r="E127" s="308"/>
      <c r="F127" s="308"/>
      <c r="G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  <c r="Z127" s="308"/>
    </row>
    <row r="128">
      <c r="A128" s="308"/>
      <c r="B128" s="308"/>
      <c r="C128" s="308"/>
      <c r="D128" s="308"/>
      <c r="E128" s="308"/>
      <c r="F128" s="308"/>
      <c r="G128" s="308"/>
      <c r="H128" s="308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  <c r="Z128" s="308"/>
    </row>
    <row r="129">
      <c r="A129" s="308"/>
      <c r="B129" s="308"/>
      <c r="C129" s="308"/>
      <c r="D129" s="308"/>
      <c r="E129" s="308"/>
      <c r="F129" s="308"/>
      <c r="G129" s="308"/>
      <c r="H129" s="308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</row>
    <row r="130">
      <c r="A130" s="308"/>
      <c r="B130" s="308"/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</row>
    <row r="13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</row>
    <row r="132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</row>
    <row r="133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</row>
    <row r="134">
      <c r="A134" s="308"/>
      <c r="B134" s="308"/>
      <c r="C134" s="308"/>
      <c r="D134" s="308"/>
      <c r="E134" s="308"/>
      <c r="F134" s="308"/>
      <c r="G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</row>
    <row r="135">
      <c r="A135" s="308"/>
      <c r="B135" s="308"/>
      <c r="C135" s="308"/>
      <c r="D135" s="308"/>
      <c r="E135" s="308"/>
      <c r="F135" s="308"/>
      <c r="G135" s="308"/>
      <c r="H135" s="308"/>
      <c r="I135" s="308"/>
      <c r="J135" s="308"/>
      <c r="K135" s="308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  <c r="Z135" s="308"/>
    </row>
    <row r="136">
      <c r="A136" s="308"/>
      <c r="B136" s="308"/>
      <c r="C136" s="308"/>
      <c r="D136" s="308"/>
      <c r="E136" s="308"/>
      <c r="F136" s="308"/>
      <c r="G136" s="308"/>
      <c r="H136" s="308"/>
      <c r="I136" s="308"/>
      <c r="J136" s="308"/>
      <c r="K136" s="308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  <c r="Z136" s="308"/>
    </row>
    <row r="137">
      <c r="A137" s="308"/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</row>
    <row r="138">
      <c r="A138" s="308"/>
      <c r="B138" s="308"/>
      <c r="C138" s="308"/>
      <c r="D138" s="308"/>
      <c r="E138" s="308"/>
      <c r="F138" s="308"/>
      <c r="G138" s="308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  <c r="Z138" s="308"/>
    </row>
    <row r="139">
      <c r="A139" s="308"/>
      <c r="B139" s="308"/>
      <c r="C139" s="308"/>
      <c r="D139" s="308"/>
      <c r="E139" s="308"/>
      <c r="F139" s="308"/>
      <c r="G139" s="308"/>
      <c r="H139" s="308"/>
      <c r="I139" s="308"/>
      <c r="J139" s="308"/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  <c r="Z139" s="308"/>
    </row>
    <row r="140">
      <c r="A140" s="308"/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</row>
    <row r="141">
      <c r="A141" s="308"/>
      <c r="B141" s="308"/>
      <c r="C141" s="308"/>
      <c r="D141" s="308"/>
      <c r="E141" s="308"/>
      <c r="F141" s="308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  <c r="Z141" s="308"/>
    </row>
    <row r="142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</row>
    <row r="143">
      <c r="A143" s="308"/>
      <c r="B143" s="308"/>
      <c r="C143" s="308"/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  <c r="Z143" s="308"/>
    </row>
    <row r="144">
      <c r="A144" s="308"/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</row>
    <row r="145">
      <c r="A145" s="308"/>
      <c r="B145" s="308"/>
      <c r="C145" s="308"/>
      <c r="D145" s="308"/>
      <c r="E145" s="308"/>
      <c r="F145" s="308"/>
      <c r="G145" s="308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</row>
    <row r="146">
      <c r="A146" s="308"/>
      <c r="B146" s="308"/>
      <c r="C146" s="308"/>
      <c r="D146" s="308"/>
      <c r="E146" s="308"/>
      <c r="F146" s="308"/>
      <c r="G146" s="308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</row>
    <row r="147">
      <c r="A147" s="308"/>
      <c r="B147" s="308"/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</row>
    <row r="148">
      <c r="A148" s="308"/>
      <c r="B148" s="308"/>
      <c r="C148" s="308"/>
      <c r="D148" s="308"/>
      <c r="E148" s="308"/>
      <c r="F148" s="308"/>
      <c r="G148" s="308"/>
      <c r="H148" s="308"/>
      <c r="I148" s="308"/>
      <c r="J148" s="308"/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  <c r="Z148" s="308"/>
    </row>
    <row r="149">
      <c r="A149" s="308"/>
      <c r="B149" s="308"/>
      <c r="C149" s="308"/>
      <c r="D149" s="308"/>
      <c r="E149" s="308"/>
      <c r="F149" s="308"/>
      <c r="G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</row>
    <row r="150">
      <c r="A150" s="308"/>
      <c r="B150" s="308"/>
      <c r="C150" s="308"/>
      <c r="D150" s="308"/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</row>
    <row r="151">
      <c r="A151" s="308"/>
      <c r="B151" s="308"/>
      <c r="C151" s="308"/>
      <c r="D151" s="308"/>
      <c r="E151" s="308"/>
      <c r="F151" s="308"/>
      <c r="G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  <c r="Z151" s="308"/>
    </row>
    <row r="152">
      <c r="A152" s="308"/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</row>
    <row r="153">
      <c r="A153" s="308"/>
      <c r="B153" s="308"/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</row>
    <row r="154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</row>
    <row r="155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</row>
    <row r="156">
      <c r="A156" s="308"/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</row>
    <row r="157">
      <c r="A157" s="308"/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</row>
    <row r="158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</row>
    <row r="159">
      <c r="A159" s="308"/>
      <c r="B159" s="308"/>
      <c r="C159" s="308"/>
      <c r="D159" s="308"/>
      <c r="E159" s="308"/>
      <c r="F159" s="308"/>
      <c r="G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</row>
    <row r="160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</row>
    <row r="161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  <c r="Z161" s="308"/>
    </row>
    <row r="162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</row>
    <row r="163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</row>
    <row r="164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</row>
    <row r="165">
      <c r="A165" s="308"/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</row>
    <row r="166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  <c r="Z166" s="308"/>
    </row>
    <row r="167">
      <c r="A167" s="308"/>
      <c r="B167" s="308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</row>
    <row r="168">
      <c r="A168" s="308"/>
      <c r="B168" s="308"/>
      <c r="C168" s="308"/>
      <c r="D168" s="308"/>
      <c r="E168" s="308"/>
      <c r="F168" s="308"/>
      <c r="G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  <c r="Z168" s="308"/>
    </row>
    <row r="169">
      <c r="A169" s="308"/>
      <c r="B169" s="308"/>
      <c r="C169" s="308"/>
      <c r="D169" s="308"/>
      <c r="E169" s="308"/>
      <c r="F169" s="308"/>
      <c r="G169" s="308"/>
      <c r="H169" s="308"/>
      <c r="I169" s="308"/>
      <c r="J169" s="308"/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  <c r="Z169" s="308"/>
    </row>
    <row r="170">
      <c r="A170" s="308"/>
      <c r="B170" s="308"/>
      <c r="C170" s="308"/>
      <c r="D170" s="308"/>
      <c r="E170" s="308"/>
      <c r="F170" s="308"/>
      <c r="G170" s="308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</row>
    <row r="171">
      <c r="A171" s="308"/>
      <c r="B171" s="308"/>
      <c r="C171" s="308"/>
      <c r="D171" s="308"/>
      <c r="E171" s="308"/>
      <c r="F171" s="308"/>
      <c r="G171" s="308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</row>
    <row r="172">
      <c r="A172" s="308"/>
      <c r="B172" s="308"/>
      <c r="C172" s="308"/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</row>
    <row r="173">
      <c r="A173" s="308"/>
      <c r="B173" s="308"/>
      <c r="C173" s="308"/>
      <c r="D173" s="308"/>
      <c r="E173" s="308"/>
      <c r="F173" s="308"/>
      <c r="G173" s="308"/>
      <c r="H173" s="308"/>
      <c r="I173" s="308"/>
      <c r="J173" s="308"/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  <c r="Z173" s="308"/>
    </row>
    <row r="174">
      <c r="A174" s="308"/>
      <c r="B174" s="308"/>
      <c r="C174" s="308"/>
      <c r="D174" s="308"/>
      <c r="E174" s="308"/>
      <c r="F174" s="308"/>
      <c r="G174" s="308"/>
      <c r="H174" s="308"/>
      <c r="I174" s="308"/>
      <c r="J174" s="308"/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  <c r="Z174" s="308"/>
    </row>
    <row r="175">
      <c r="A175" s="308"/>
      <c r="B175" s="308"/>
      <c r="C175" s="308"/>
      <c r="D175" s="308"/>
      <c r="E175" s="308"/>
      <c r="F175" s="308"/>
      <c r="G175" s="308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</row>
    <row r="176">
      <c r="A176" s="308"/>
      <c r="B176" s="308"/>
      <c r="C176" s="308"/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</row>
    <row r="177">
      <c r="A177" s="308"/>
      <c r="B177" s="308"/>
      <c r="C177" s="308"/>
      <c r="D177" s="308"/>
      <c r="E177" s="308"/>
      <c r="F177" s="308"/>
      <c r="G177" s="308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</row>
    <row r="178">
      <c r="A178" s="308"/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</row>
    <row r="179">
      <c r="A179" s="308"/>
      <c r="B179" s="308"/>
      <c r="C179" s="308"/>
      <c r="D179" s="308"/>
      <c r="E179" s="308"/>
      <c r="F179" s="308"/>
      <c r="G179" s="308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  <c r="Z179" s="308"/>
    </row>
    <row r="180">
      <c r="A180" s="308"/>
      <c r="B180" s="308"/>
      <c r="C180" s="308"/>
      <c r="D180" s="308"/>
      <c r="E180" s="308"/>
      <c r="F180" s="308"/>
      <c r="G180" s="308"/>
      <c r="H180" s="308"/>
      <c r="I180" s="308"/>
      <c r="J180" s="308"/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  <c r="Z180" s="308"/>
    </row>
    <row r="181">
      <c r="A181" s="308"/>
      <c r="B181" s="308"/>
      <c r="C181" s="308"/>
      <c r="D181" s="308"/>
      <c r="E181" s="308"/>
      <c r="F181" s="308"/>
      <c r="G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</row>
    <row r="182">
      <c r="A182" s="308"/>
      <c r="B182" s="308"/>
      <c r="C182" s="308"/>
      <c r="D182" s="308"/>
      <c r="E182" s="308"/>
      <c r="F182" s="308"/>
      <c r="G182" s="308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308"/>
    </row>
    <row r="183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  <c r="Z183" s="308"/>
    </row>
    <row r="184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</row>
    <row r="185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</row>
    <row r="186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</row>
    <row r="187">
      <c r="A187" s="308"/>
      <c r="B187" s="308"/>
      <c r="C187" s="308"/>
      <c r="D187" s="308"/>
      <c r="E187" s="308"/>
      <c r="F187" s="308"/>
      <c r="G187" s="308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  <c r="Z187" s="308"/>
    </row>
    <row r="188">
      <c r="A188" s="308"/>
      <c r="B188" s="308"/>
      <c r="C188" s="308"/>
      <c r="D188" s="308"/>
      <c r="E188" s="308"/>
      <c r="F188" s="308"/>
      <c r="G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</row>
    <row r="189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</row>
    <row r="190">
      <c r="A190" s="308"/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</row>
    <row r="191">
      <c r="A191" s="308"/>
      <c r="B191" s="308"/>
      <c r="C191" s="308"/>
      <c r="D191" s="308"/>
      <c r="E191" s="308"/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</row>
    <row r="192">
      <c r="A192" s="308"/>
      <c r="B192" s="308"/>
      <c r="C192" s="308"/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  <c r="Z192" s="308"/>
    </row>
    <row r="193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</row>
    <row r="194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  <c r="Z194" s="308"/>
    </row>
    <row r="195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</row>
    <row r="196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</row>
    <row r="197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</row>
    <row r="198">
      <c r="A198" s="308"/>
      <c r="B198" s="308"/>
      <c r="C198" s="308"/>
      <c r="D198" s="308"/>
      <c r="E198" s="308"/>
      <c r="F198" s="308"/>
      <c r="G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</row>
    <row r="199">
      <c r="A199" s="308"/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</row>
    <row r="200">
      <c r="A200" s="308"/>
      <c r="B200" s="308"/>
      <c r="C200" s="308"/>
      <c r="D200" s="308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  <c r="Z200" s="308"/>
    </row>
    <row r="201">
      <c r="A201" s="308"/>
      <c r="B201" s="308"/>
      <c r="C201" s="308"/>
      <c r="D201" s="308"/>
      <c r="E201" s="308"/>
      <c r="F201" s="308"/>
      <c r="G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  <c r="Z201" s="308"/>
    </row>
    <row r="202">
      <c r="A202" s="308"/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</row>
    <row r="203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</row>
    <row r="204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  <c r="Z204" s="308"/>
    </row>
    <row r="205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  <c r="Z205" s="308"/>
    </row>
    <row r="206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</row>
    <row r="207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  <c r="Z207" s="308"/>
    </row>
    <row r="208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308"/>
      <c r="W208" s="308"/>
      <c r="X208" s="308"/>
      <c r="Y208" s="308"/>
      <c r="Z208" s="308"/>
    </row>
    <row r="209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</row>
    <row r="210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</row>
    <row r="211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</row>
    <row r="212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  <c r="Z212" s="308"/>
    </row>
    <row r="213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</row>
    <row r="214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  <c r="Z214" s="308"/>
    </row>
    <row r="215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</row>
    <row r="216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</row>
    <row r="217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  <c r="Z217" s="308"/>
    </row>
    <row r="218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  <c r="Z218" s="308"/>
    </row>
    <row r="219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</row>
    <row r="220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</row>
    <row r="221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</row>
    <row r="222">
      <c r="A222" s="308"/>
      <c r="B222" s="308"/>
      <c r="C222" s="308"/>
      <c r="D222" s="308"/>
      <c r="E222" s="308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</row>
    <row r="223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  <c r="Z223" s="308"/>
    </row>
    <row r="224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</row>
    <row r="225">
      <c r="A225" s="308"/>
      <c r="B225" s="308"/>
      <c r="C225" s="308"/>
      <c r="D225" s="308"/>
      <c r="E225" s="308"/>
      <c r="F225" s="308"/>
      <c r="G225" s="308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  <c r="Z225" s="308"/>
    </row>
    <row r="226">
      <c r="A226" s="308"/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</row>
    <row r="227">
      <c r="A227" s="308"/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</row>
    <row r="228">
      <c r="A228" s="308"/>
      <c r="B228" s="308"/>
      <c r="C228" s="308"/>
      <c r="D228" s="308"/>
      <c r="E228" s="308"/>
      <c r="F228" s="308"/>
      <c r="G228" s="308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  <c r="Z228" s="308"/>
    </row>
    <row r="229">
      <c r="A229" s="308"/>
      <c r="B229" s="308"/>
      <c r="C229" s="308"/>
      <c r="D229" s="308"/>
      <c r="E229" s="308"/>
      <c r="F229" s="308"/>
      <c r="G229" s="308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</row>
    <row r="230">
      <c r="A230" s="308"/>
      <c r="B230" s="308"/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</row>
    <row r="231">
      <c r="A231" s="308"/>
      <c r="B231" s="308"/>
      <c r="C231" s="308"/>
      <c r="D231" s="308"/>
      <c r="E231" s="308"/>
      <c r="F231" s="308"/>
      <c r="G231" s="308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  <c r="Z231" s="308"/>
    </row>
    <row r="232">
      <c r="A232" s="308"/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</row>
    <row r="233">
      <c r="A233" s="308"/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</row>
    <row r="234">
      <c r="A234" s="308"/>
      <c r="B234" s="308"/>
      <c r="C234" s="308"/>
      <c r="D234" s="308"/>
      <c r="E234" s="308"/>
      <c r="F234" s="308"/>
      <c r="G234" s="308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  <c r="Z234" s="308"/>
    </row>
    <row r="235">
      <c r="A235" s="308"/>
      <c r="B235" s="308"/>
      <c r="C235" s="308"/>
      <c r="D235" s="308"/>
      <c r="E235" s="308"/>
      <c r="F235" s="308"/>
      <c r="G235" s="308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  <c r="Z235" s="308"/>
    </row>
    <row r="236">
      <c r="A236" s="308"/>
      <c r="B236" s="308"/>
      <c r="C236" s="308"/>
      <c r="D236" s="308"/>
      <c r="E236" s="308"/>
      <c r="F236" s="308"/>
      <c r="G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</row>
    <row r="237">
      <c r="A237" s="308"/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</row>
    <row r="238">
      <c r="A238" s="308"/>
      <c r="B238" s="308"/>
      <c r="C238" s="308"/>
      <c r="D238" s="308"/>
      <c r="E238" s="308"/>
      <c r="F238" s="308"/>
      <c r="G238" s="308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  <c r="Z238" s="308"/>
    </row>
    <row r="239">
      <c r="A239" s="308"/>
      <c r="B239" s="308"/>
      <c r="C239" s="308"/>
      <c r="D239" s="308"/>
      <c r="E239" s="308"/>
      <c r="F239" s="308"/>
      <c r="G239" s="308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  <c r="Z239" s="308"/>
    </row>
    <row r="240">
      <c r="A240" s="308"/>
      <c r="B240" s="308"/>
      <c r="C240" s="308"/>
      <c r="D240" s="308"/>
      <c r="E240" s="308"/>
      <c r="F240" s="308"/>
      <c r="G240" s="308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  <c r="Z240" s="308"/>
    </row>
    <row r="241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  <c r="Z241" s="308"/>
    </row>
    <row r="242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</row>
    <row r="243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</row>
    <row r="244">
      <c r="A244" s="308"/>
      <c r="B244" s="308"/>
      <c r="C244" s="308"/>
      <c r="D244" s="308"/>
      <c r="E244" s="308"/>
      <c r="F244" s="308"/>
      <c r="G244" s="308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  <c r="Z244" s="308"/>
    </row>
    <row r="245">
      <c r="A245" s="308"/>
      <c r="B245" s="308"/>
      <c r="C245" s="308"/>
      <c r="D245" s="308"/>
      <c r="E245" s="308"/>
      <c r="F245" s="308"/>
      <c r="G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</row>
    <row r="246">
      <c r="A246" s="308"/>
      <c r="B246" s="308"/>
      <c r="C246" s="308"/>
      <c r="D246" s="308"/>
      <c r="E246" s="308"/>
      <c r="F246" s="308"/>
      <c r="G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</row>
    <row r="247">
      <c r="A247" s="308"/>
      <c r="B247" s="308"/>
      <c r="C247" s="308"/>
      <c r="D247" s="308"/>
      <c r="E247" s="308"/>
      <c r="F247" s="308"/>
      <c r="G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</row>
    <row r="248">
      <c r="A248" s="308"/>
      <c r="B248" s="308"/>
      <c r="C248" s="308"/>
      <c r="D248" s="308"/>
      <c r="E248" s="308"/>
      <c r="F248" s="308"/>
      <c r="G248" s="308"/>
      <c r="H248" s="308"/>
      <c r="I248" s="308"/>
      <c r="J248" s="308"/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  <c r="Z248" s="308"/>
    </row>
    <row r="249">
      <c r="A249" s="308"/>
      <c r="B249" s="308"/>
      <c r="C249" s="308"/>
      <c r="D249" s="308"/>
      <c r="E249" s="308"/>
      <c r="F249" s="308"/>
      <c r="G249" s="308"/>
      <c r="H249" s="308"/>
      <c r="I249" s="308"/>
      <c r="J249" s="308"/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  <c r="Z249" s="308"/>
    </row>
    <row r="250">
      <c r="A250" s="308"/>
      <c r="B250" s="308"/>
      <c r="C250" s="308"/>
      <c r="D250" s="308"/>
      <c r="E250" s="308"/>
      <c r="F250" s="308"/>
      <c r="G250" s="308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  <c r="Z250" s="308"/>
    </row>
    <row r="251">
      <c r="A251" s="308"/>
      <c r="B251" s="308"/>
      <c r="C251" s="308"/>
      <c r="D251" s="308"/>
      <c r="E251" s="308"/>
      <c r="F251" s="308"/>
      <c r="G251" s="308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  <c r="Z251" s="308"/>
    </row>
    <row r="252">
      <c r="A252" s="308"/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</row>
    <row r="253">
      <c r="A253" s="308"/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</row>
    <row r="254">
      <c r="A254" s="308"/>
      <c r="B254" s="308"/>
      <c r="C254" s="308"/>
      <c r="D254" s="308"/>
      <c r="E254" s="308"/>
      <c r="F254" s="308"/>
      <c r="G254" s="308"/>
      <c r="H254" s="308"/>
      <c r="I254" s="308"/>
      <c r="J254" s="308"/>
      <c r="K254" s="308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  <c r="Z254" s="308"/>
    </row>
    <row r="255">
      <c r="A255" s="308"/>
      <c r="B255" s="308"/>
      <c r="C255" s="308"/>
      <c r="D255" s="308"/>
      <c r="E255" s="308"/>
      <c r="F255" s="308"/>
      <c r="G255" s="308"/>
      <c r="H255" s="308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  <c r="Z255" s="308"/>
    </row>
    <row r="256">
      <c r="A256" s="308"/>
      <c r="B256" s="308"/>
      <c r="C256" s="308"/>
      <c r="D256" s="308"/>
      <c r="E256" s="308"/>
      <c r="F256" s="308"/>
      <c r="G256" s="308"/>
      <c r="H256" s="308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  <c r="Z256" s="308"/>
    </row>
    <row r="257">
      <c r="A257" s="308"/>
      <c r="B257" s="308"/>
      <c r="C257" s="308"/>
      <c r="D257" s="308"/>
      <c r="E257" s="308"/>
      <c r="F257" s="308"/>
      <c r="G257" s="308"/>
      <c r="H257" s="308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  <c r="Z257" s="308"/>
    </row>
    <row r="258">
      <c r="A258" s="308"/>
      <c r="B258" s="308"/>
      <c r="C258" s="308"/>
      <c r="D258" s="308"/>
      <c r="E258" s="308"/>
      <c r="F258" s="308"/>
      <c r="G258" s="308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</row>
    <row r="259">
      <c r="A259" s="308"/>
      <c r="B259" s="308"/>
      <c r="C259" s="308"/>
      <c r="D259" s="308"/>
      <c r="E259" s="308"/>
      <c r="F259" s="308"/>
      <c r="G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</row>
    <row r="260">
      <c r="A260" s="308"/>
      <c r="B260" s="308"/>
      <c r="C260" s="308"/>
      <c r="D260" s="308"/>
      <c r="E260" s="308"/>
      <c r="F260" s="308"/>
      <c r="G260" s="308"/>
      <c r="H260" s="308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</row>
    <row r="261">
      <c r="A261" s="308"/>
      <c r="B261" s="308"/>
      <c r="C261" s="308"/>
      <c r="D261" s="308"/>
      <c r="E261" s="308"/>
      <c r="F261" s="308"/>
      <c r="G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</row>
    <row r="262">
      <c r="A262" s="308"/>
      <c r="B262" s="308"/>
      <c r="C262" s="308"/>
      <c r="D262" s="308"/>
      <c r="E262" s="308"/>
      <c r="F262" s="308"/>
      <c r="G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</row>
    <row r="263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</row>
    <row r="264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308"/>
      <c r="W264" s="308"/>
      <c r="X264" s="308"/>
      <c r="Y264" s="308"/>
      <c r="Z264" s="308"/>
    </row>
    <row r="265">
      <c r="A265" s="308"/>
      <c r="B265" s="308"/>
      <c r="C265" s="308"/>
      <c r="D265" s="308"/>
      <c r="E265" s="308"/>
      <c r="F265" s="308"/>
      <c r="G265" s="308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308"/>
      <c r="W265" s="308"/>
      <c r="X265" s="308"/>
      <c r="Y265" s="308"/>
      <c r="Z265" s="308"/>
    </row>
    <row r="266">
      <c r="A266" s="308"/>
      <c r="B266" s="308"/>
      <c r="C266" s="308"/>
      <c r="D266" s="308"/>
      <c r="E266" s="308"/>
      <c r="F266" s="308"/>
      <c r="G266" s="308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308"/>
      <c r="W266" s="308"/>
      <c r="X266" s="308"/>
      <c r="Y266" s="308"/>
      <c r="Z266" s="308"/>
    </row>
    <row r="267">
      <c r="A267" s="308"/>
      <c r="B267" s="308"/>
      <c r="C267" s="308"/>
      <c r="D267" s="308"/>
      <c r="E267" s="308"/>
      <c r="F267" s="308"/>
      <c r="G267" s="308"/>
      <c r="H267" s="308"/>
      <c r="I267" s="308"/>
      <c r="J267" s="308"/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  <c r="Z267" s="308"/>
    </row>
    <row r="268">
      <c r="A268" s="308"/>
      <c r="B268" s="308"/>
      <c r="C268" s="308"/>
      <c r="D268" s="308"/>
      <c r="E268" s="308"/>
      <c r="F268" s="308"/>
      <c r="G268" s="308"/>
      <c r="H268" s="308"/>
      <c r="I268" s="308"/>
      <c r="J268" s="308"/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  <c r="Z268" s="308"/>
    </row>
    <row r="269">
      <c r="A269" s="308"/>
      <c r="B269" s="308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</row>
    <row r="270">
      <c r="A270" s="308"/>
      <c r="B270" s="308"/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308"/>
      <c r="W270" s="308"/>
      <c r="X270" s="308"/>
      <c r="Y270" s="308"/>
      <c r="Z270" s="308"/>
    </row>
    <row r="271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308"/>
      <c r="W271" s="308"/>
      <c r="X271" s="308"/>
      <c r="Y271" s="308"/>
      <c r="Z271" s="308"/>
    </row>
    <row r="272">
      <c r="A272" s="308"/>
      <c r="B272" s="308"/>
      <c r="C272" s="308"/>
      <c r="D272" s="308"/>
      <c r="E272" s="308"/>
      <c r="F272" s="308"/>
      <c r="G272" s="308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308"/>
      <c r="W272" s="308"/>
      <c r="X272" s="308"/>
      <c r="Y272" s="308"/>
      <c r="Z272" s="308"/>
    </row>
    <row r="273">
      <c r="A273" s="308"/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  <c r="Z273" s="308"/>
    </row>
    <row r="274">
      <c r="A274" s="308"/>
      <c r="B274" s="308"/>
      <c r="C274" s="308"/>
      <c r="D274" s="308"/>
      <c r="E274" s="308"/>
      <c r="F274" s="308"/>
      <c r="G274" s="308"/>
      <c r="H274" s="308"/>
      <c r="I274" s="308"/>
      <c r="J274" s="308"/>
      <c r="K274" s="308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308"/>
      <c r="W274" s="308"/>
      <c r="X274" s="308"/>
      <c r="Y274" s="308"/>
      <c r="Z274" s="308"/>
    </row>
    <row r="275">
      <c r="A275" s="308"/>
      <c r="B275" s="308"/>
      <c r="C275" s="308"/>
      <c r="D275" s="308"/>
      <c r="E275" s="308"/>
      <c r="F275" s="308"/>
      <c r="G275" s="308"/>
      <c r="H275" s="308"/>
      <c r="I275" s="308"/>
      <c r="J275" s="308"/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  <c r="Z275" s="308"/>
    </row>
    <row r="276">
      <c r="A276" s="308"/>
      <c r="B276" s="308"/>
      <c r="C276" s="308"/>
      <c r="D276" s="308"/>
      <c r="E276" s="308"/>
      <c r="F276" s="308"/>
      <c r="G276" s="308"/>
      <c r="H276" s="308"/>
      <c r="I276" s="308"/>
      <c r="J276" s="308"/>
      <c r="K276" s="308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308"/>
      <c r="W276" s="308"/>
      <c r="X276" s="308"/>
      <c r="Y276" s="308"/>
      <c r="Z276" s="308"/>
    </row>
    <row r="277">
      <c r="A277" s="308"/>
      <c r="B277" s="308"/>
      <c r="C277" s="308"/>
      <c r="D277" s="308"/>
      <c r="E277" s="308"/>
      <c r="F277" s="308"/>
      <c r="G277" s="308"/>
      <c r="H277" s="308"/>
      <c r="I277" s="308"/>
      <c r="J277" s="308"/>
      <c r="K277" s="308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  <c r="Z277" s="308"/>
    </row>
    <row r="278">
      <c r="A278" s="308"/>
      <c r="B278" s="308"/>
      <c r="C278" s="308"/>
      <c r="D278" s="308"/>
      <c r="E278" s="308"/>
      <c r="F278" s="308"/>
      <c r="G278" s="308"/>
      <c r="H278" s="308"/>
      <c r="I278" s="308"/>
      <c r="J278" s="308"/>
      <c r="K278" s="308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308"/>
      <c r="W278" s="308"/>
      <c r="X278" s="308"/>
      <c r="Y278" s="308"/>
      <c r="Z278" s="308"/>
    </row>
    <row r="279">
      <c r="A279" s="308"/>
      <c r="B279" s="308"/>
      <c r="C279" s="308"/>
      <c r="D279" s="308"/>
      <c r="E279" s="308"/>
      <c r="F279" s="308"/>
      <c r="G279" s="308"/>
      <c r="H279" s="308"/>
      <c r="I279" s="308"/>
      <c r="J279" s="308"/>
      <c r="K279" s="308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308"/>
      <c r="W279" s="308"/>
      <c r="X279" s="308"/>
      <c r="Y279" s="308"/>
      <c r="Z279" s="308"/>
    </row>
    <row r="280">
      <c r="A280" s="308"/>
      <c r="B280" s="308"/>
      <c r="C280" s="308"/>
      <c r="D280" s="308"/>
      <c r="E280" s="308"/>
      <c r="F280" s="308"/>
      <c r="G280" s="308"/>
      <c r="H280" s="308"/>
      <c r="I280" s="308"/>
      <c r="J280" s="308"/>
      <c r="K280" s="308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  <c r="Z280" s="308"/>
    </row>
    <row r="281">
      <c r="A281" s="308"/>
      <c r="B281" s="308"/>
      <c r="C281" s="308"/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308"/>
      <c r="W281" s="308"/>
      <c r="X281" s="308"/>
      <c r="Y281" s="308"/>
      <c r="Z281" s="308"/>
    </row>
    <row r="282">
      <c r="A282" s="308"/>
      <c r="B282" s="308"/>
      <c r="C282" s="308"/>
      <c r="D282" s="308"/>
      <c r="E282" s="308"/>
      <c r="F282" s="308"/>
      <c r="G282" s="308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308"/>
      <c r="W282" s="308"/>
      <c r="X282" s="308"/>
      <c r="Y282" s="308"/>
      <c r="Z282" s="308"/>
    </row>
    <row r="283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308"/>
      <c r="W283" s="308"/>
      <c r="X283" s="308"/>
      <c r="Y283" s="308"/>
      <c r="Z283" s="308"/>
    </row>
    <row r="284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308"/>
      <c r="W284" s="308"/>
      <c r="X284" s="308"/>
      <c r="Y284" s="308"/>
      <c r="Z284" s="308"/>
    </row>
    <row r="285">
      <c r="A285" s="308"/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308"/>
      <c r="W285" s="308"/>
      <c r="X285" s="308"/>
      <c r="Y285" s="308"/>
      <c r="Z285" s="308"/>
    </row>
    <row r="286">
      <c r="A286" s="308"/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308"/>
      <c r="W286" s="308"/>
      <c r="X286" s="308"/>
      <c r="Y286" s="308"/>
      <c r="Z286" s="308"/>
    </row>
    <row r="287">
      <c r="A287" s="308"/>
      <c r="B287" s="308"/>
      <c r="C287" s="308"/>
      <c r="D287" s="308"/>
      <c r="E287" s="308"/>
      <c r="F287" s="308"/>
      <c r="G287" s="308"/>
      <c r="H287" s="308"/>
      <c r="I287" s="308"/>
      <c r="J287" s="308"/>
      <c r="K287" s="308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308"/>
      <c r="W287" s="308"/>
      <c r="X287" s="308"/>
      <c r="Y287" s="308"/>
      <c r="Z287" s="308"/>
    </row>
    <row r="288">
      <c r="A288" s="308"/>
      <c r="B288" s="308"/>
      <c r="C288" s="308"/>
      <c r="D288" s="308"/>
      <c r="E288" s="308"/>
      <c r="F288" s="308"/>
      <c r="G288" s="308"/>
      <c r="H288" s="308"/>
      <c r="I288" s="308"/>
      <c r="J288" s="308"/>
      <c r="K288" s="308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308"/>
      <c r="W288" s="308"/>
      <c r="X288" s="308"/>
      <c r="Y288" s="308"/>
      <c r="Z288" s="308"/>
    </row>
    <row r="289">
      <c r="A289" s="308"/>
      <c r="B289" s="308"/>
      <c r="C289" s="308"/>
      <c r="D289" s="308"/>
      <c r="E289" s="308"/>
      <c r="F289" s="308"/>
      <c r="G289" s="308"/>
      <c r="H289" s="308"/>
      <c r="I289" s="308"/>
      <c r="J289" s="308"/>
      <c r="K289" s="308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</row>
    <row r="290">
      <c r="A290" s="308"/>
      <c r="B290" s="308"/>
      <c r="C290" s="308"/>
      <c r="D290" s="308"/>
      <c r="E290" s="308"/>
      <c r="F290" s="308"/>
      <c r="G290" s="308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308"/>
      <c r="W290" s="308"/>
      <c r="X290" s="308"/>
      <c r="Y290" s="308"/>
      <c r="Z290" s="308"/>
    </row>
    <row r="291">
      <c r="A291" s="308"/>
      <c r="B291" s="308"/>
      <c r="C291" s="308"/>
      <c r="D291" s="308"/>
      <c r="E291" s="308"/>
      <c r="F291" s="308"/>
      <c r="G291" s="308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308"/>
      <c r="W291" s="308"/>
      <c r="X291" s="308"/>
      <c r="Y291" s="308"/>
      <c r="Z291" s="308"/>
    </row>
    <row r="292">
      <c r="A292" s="308"/>
      <c r="B292" s="308"/>
      <c r="C292" s="308"/>
      <c r="D292" s="308"/>
      <c r="E292" s="308"/>
      <c r="F292" s="308"/>
      <c r="G292" s="308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308"/>
      <c r="W292" s="308"/>
      <c r="X292" s="308"/>
      <c r="Y292" s="308"/>
      <c r="Z292" s="308"/>
    </row>
    <row r="293">
      <c r="A293" s="308"/>
      <c r="B293" s="308"/>
      <c r="C293" s="308"/>
      <c r="D293" s="308"/>
      <c r="E293" s="308"/>
      <c r="F293" s="308"/>
      <c r="G293" s="308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  <c r="Z293" s="308"/>
    </row>
    <row r="294">
      <c r="A294" s="308"/>
      <c r="B294" s="308"/>
      <c r="C294" s="308"/>
      <c r="D294" s="308"/>
      <c r="E294" s="308"/>
      <c r="F294" s="308"/>
      <c r="G294" s="308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308"/>
      <c r="W294" s="308"/>
      <c r="X294" s="308"/>
      <c r="Y294" s="308"/>
      <c r="Z294" s="308"/>
    </row>
    <row r="295">
      <c r="A295" s="308"/>
      <c r="B295" s="308"/>
      <c r="C295" s="308"/>
      <c r="D295" s="308"/>
      <c r="E295" s="308"/>
      <c r="F295" s="308"/>
      <c r="G295" s="308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308"/>
      <c r="W295" s="308"/>
      <c r="X295" s="308"/>
      <c r="Y295" s="308"/>
      <c r="Z295" s="308"/>
    </row>
    <row r="296">
      <c r="A296" s="308"/>
      <c r="B296" s="308"/>
      <c r="C296" s="308"/>
      <c r="D296" s="308"/>
      <c r="E296" s="308"/>
      <c r="F296" s="308"/>
      <c r="G296" s="308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308"/>
      <c r="W296" s="308"/>
      <c r="X296" s="308"/>
      <c r="Y296" s="308"/>
      <c r="Z296" s="308"/>
    </row>
    <row r="297">
      <c r="A297" s="308"/>
      <c r="B297" s="308"/>
      <c r="C297" s="308"/>
      <c r="D297" s="308"/>
      <c r="E297" s="308"/>
      <c r="F297" s="308"/>
      <c r="G297" s="308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308"/>
      <c r="W297" s="308"/>
      <c r="X297" s="308"/>
      <c r="Y297" s="308"/>
      <c r="Z297" s="308"/>
    </row>
    <row r="298">
      <c r="A298" s="308"/>
      <c r="B298" s="308"/>
      <c r="C298" s="308"/>
      <c r="D298" s="308"/>
      <c r="E298" s="308"/>
      <c r="F298" s="308"/>
      <c r="G298" s="308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308"/>
      <c r="W298" s="308"/>
      <c r="X298" s="308"/>
      <c r="Y298" s="308"/>
      <c r="Z298" s="308"/>
    </row>
    <row r="299">
      <c r="A299" s="308"/>
      <c r="B299" s="308"/>
      <c r="C299" s="308"/>
      <c r="D299" s="308"/>
      <c r="E299" s="308"/>
      <c r="F299" s="308"/>
      <c r="G299" s="308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308"/>
      <c r="W299" s="308"/>
      <c r="X299" s="308"/>
      <c r="Y299" s="308"/>
      <c r="Z299" s="308"/>
    </row>
    <row r="300">
      <c r="A300" s="308"/>
      <c r="B300" s="308"/>
      <c r="C300" s="308"/>
      <c r="D300" s="308"/>
      <c r="E300" s="308"/>
      <c r="F300" s="308"/>
      <c r="G300" s="308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308"/>
      <c r="W300" s="308"/>
      <c r="X300" s="308"/>
      <c r="Y300" s="308"/>
      <c r="Z300" s="308"/>
    </row>
    <row r="301">
      <c r="A301" s="308"/>
      <c r="B301" s="308"/>
      <c r="C301" s="308"/>
      <c r="D301" s="308"/>
      <c r="E301" s="308"/>
      <c r="F301" s="308"/>
      <c r="G301" s="308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308"/>
      <c r="W301" s="308"/>
      <c r="X301" s="308"/>
      <c r="Y301" s="308"/>
      <c r="Z301" s="308"/>
    </row>
    <row r="302">
      <c r="A302" s="308"/>
      <c r="B302" s="308"/>
      <c r="C302" s="308"/>
      <c r="D302" s="308"/>
      <c r="E302" s="308"/>
      <c r="F302" s="308"/>
      <c r="G302" s="308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308"/>
      <c r="W302" s="308"/>
      <c r="X302" s="308"/>
      <c r="Y302" s="308"/>
      <c r="Z302" s="308"/>
    </row>
    <row r="303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308"/>
      <c r="W303" s="308"/>
      <c r="X303" s="308"/>
      <c r="Y303" s="308"/>
      <c r="Z303" s="308"/>
    </row>
    <row r="304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308"/>
      <c r="W304" s="308"/>
      <c r="X304" s="308"/>
      <c r="Y304" s="308"/>
      <c r="Z304" s="308"/>
    </row>
    <row r="305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308"/>
      <c r="W305" s="308"/>
      <c r="X305" s="308"/>
      <c r="Y305" s="308"/>
      <c r="Z305" s="308"/>
    </row>
    <row r="306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308"/>
      <c r="W306" s="308"/>
      <c r="X306" s="308"/>
      <c r="Y306" s="308"/>
      <c r="Z306" s="308"/>
    </row>
    <row r="307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308"/>
      <c r="W307" s="308"/>
      <c r="X307" s="308"/>
      <c r="Y307" s="308"/>
      <c r="Z307" s="308"/>
    </row>
    <row r="308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308"/>
      <c r="W308" s="308"/>
      <c r="X308" s="308"/>
      <c r="Y308" s="308"/>
      <c r="Z308" s="308"/>
    </row>
    <row r="309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  <c r="Z309" s="308"/>
    </row>
    <row r="310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308"/>
      <c r="W310" s="308"/>
      <c r="X310" s="308"/>
      <c r="Y310" s="308"/>
      <c r="Z310" s="308"/>
    </row>
    <row r="311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308"/>
      <c r="W311" s="308"/>
      <c r="X311" s="308"/>
      <c r="Y311" s="308"/>
      <c r="Z311" s="308"/>
    </row>
    <row r="312">
      <c r="A312" s="308"/>
      <c r="B312" s="308"/>
      <c r="C312" s="308"/>
      <c r="D312" s="308"/>
      <c r="E312" s="308"/>
      <c r="F312" s="308"/>
      <c r="G312" s="308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308"/>
      <c r="W312" s="308"/>
      <c r="X312" s="308"/>
      <c r="Y312" s="308"/>
      <c r="Z312" s="308"/>
    </row>
    <row r="313">
      <c r="A313" s="308"/>
      <c r="B313" s="308"/>
      <c r="C313" s="308"/>
      <c r="D313" s="308"/>
      <c r="E313" s="308"/>
      <c r="F313" s="308"/>
      <c r="G313" s="308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308"/>
      <c r="W313" s="308"/>
      <c r="X313" s="308"/>
      <c r="Y313" s="308"/>
      <c r="Z313" s="308"/>
    </row>
    <row r="314">
      <c r="A314" s="308"/>
      <c r="B314" s="308"/>
      <c r="C314" s="308"/>
      <c r="D314" s="308"/>
      <c r="E314" s="308"/>
      <c r="F314" s="308"/>
      <c r="G314" s="308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308"/>
      <c r="W314" s="308"/>
      <c r="X314" s="308"/>
      <c r="Y314" s="308"/>
      <c r="Z314" s="308"/>
    </row>
    <row r="315">
      <c r="A315" s="308"/>
      <c r="B315" s="308"/>
      <c r="C315" s="308"/>
      <c r="D315" s="308"/>
      <c r="E315" s="308"/>
      <c r="F315" s="308"/>
      <c r="G315" s="308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308"/>
      <c r="W315" s="308"/>
      <c r="X315" s="308"/>
      <c r="Y315" s="308"/>
      <c r="Z315" s="308"/>
    </row>
    <row r="316">
      <c r="A316" s="308"/>
      <c r="B316" s="308"/>
      <c r="C316" s="308"/>
      <c r="D316" s="308"/>
      <c r="E316" s="308"/>
      <c r="F316" s="308"/>
      <c r="G316" s="308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308"/>
      <c r="W316" s="308"/>
      <c r="X316" s="308"/>
      <c r="Y316" s="308"/>
      <c r="Z316" s="308"/>
    </row>
    <row r="317">
      <c r="A317" s="308"/>
      <c r="B317" s="308"/>
      <c r="C317" s="308"/>
      <c r="D317" s="308"/>
      <c r="E317" s="308"/>
      <c r="F317" s="308"/>
      <c r="G317" s="308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308"/>
      <c r="W317" s="308"/>
      <c r="X317" s="308"/>
      <c r="Y317" s="308"/>
      <c r="Z317" s="308"/>
    </row>
    <row r="318">
      <c r="A318" s="308"/>
      <c r="B318" s="308"/>
      <c r="C318" s="308"/>
      <c r="D318" s="308"/>
      <c r="E318" s="308"/>
      <c r="F318" s="308"/>
      <c r="G318" s="308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308"/>
      <c r="W318" s="308"/>
      <c r="X318" s="308"/>
      <c r="Y318" s="308"/>
      <c r="Z318" s="308"/>
    </row>
    <row r="319">
      <c r="A319" s="308"/>
      <c r="B319" s="308"/>
      <c r="C319" s="308"/>
      <c r="D319" s="308"/>
      <c r="E319" s="308"/>
      <c r="F319" s="308"/>
      <c r="G319" s="308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308"/>
      <c r="W319" s="308"/>
      <c r="X319" s="308"/>
      <c r="Y319" s="308"/>
      <c r="Z319" s="308"/>
    </row>
    <row r="320">
      <c r="A320" s="308"/>
      <c r="B320" s="308"/>
      <c r="C320" s="308"/>
      <c r="D320" s="308"/>
      <c r="E320" s="308"/>
      <c r="F320" s="308"/>
      <c r="G320" s="308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  <c r="Z320" s="308"/>
    </row>
    <row r="321">
      <c r="A321" s="308"/>
      <c r="B321" s="308"/>
      <c r="C321" s="308"/>
      <c r="D321" s="308"/>
      <c r="E321" s="308"/>
      <c r="F321" s="308"/>
      <c r="G321" s="308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308"/>
      <c r="W321" s="308"/>
      <c r="X321" s="308"/>
      <c r="Y321" s="308"/>
      <c r="Z321" s="308"/>
    </row>
    <row r="322">
      <c r="A322" s="308"/>
      <c r="B322" s="308"/>
      <c r="C322" s="308"/>
      <c r="D322" s="308"/>
      <c r="E322" s="308"/>
      <c r="F322" s="308"/>
      <c r="G322" s="308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308"/>
      <c r="W322" s="308"/>
      <c r="X322" s="308"/>
      <c r="Y322" s="308"/>
      <c r="Z322" s="308"/>
    </row>
    <row r="323">
      <c r="A323" s="308"/>
      <c r="B323" s="308"/>
      <c r="C323" s="308"/>
      <c r="D323" s="308"/>
      <c r="E323" s="308"/>
      <c r="F323" s="308"/>
      <c r="G323" s="308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308"/>
      <c r="W323" s="308"/>
      <c r="X323" s="308"/>
      <c r="Y323" s="308"/>
      <c r="Z323" s="308"/>
    </row>
    <row r="324">
      <c r="A324" s="308"/>
      <c r="B324" s="308"/>
      <c r="C324" s="308"/>
      <c r="D324" s="308"/>
      <c r="E324" s="308"/>
      <c r="F324" s="308"/>
      <c r="G324" s="308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308"/>
      <c r="W324" s="308"/>
      <c r="X324" s="308"/>
      <c r="Y324" s="308"/>
      <c r="Z324" s="308"/>
    </row>
    <row r="325">
      <c r="A325" s="308"/>
      <c r="B325" s="308"/>
      <c r="C325" s="308"/>
      <c r="D325" s="308"/>
      <c r="E325" s="308"/>
      <c r="F325" s="308"/>
      <c r="G325" s="308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  <c r="Z325" s="308"/>
    </row>
    <row r="326">
      <c r="A326" s="308"/>
      <c r="B326" s="308"/>
      <c r="C326" s="308"/>
      <c r="D326" s="308"/>
      <c r="E326" s="308"/>
      <c r="F326" s="308"/>
      <c r="G326" s="308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</row>
    <row r="327">
      <c r="A327" s="308"/>
      <c r="B327" s="308"/>
      <c r="C327" s="308"/>
      <c r="D327" s="308"/>
      <c r="E327" s="308"/>
      <c r="F327" s="308"/>
      <c r="G327" s="308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  <c r="Z327" s="308"/>
    </row>
    <row r="328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  <c r="Z328" s="308"/>
    </row>
    <row r="329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  <c r="Z329" s="308"/>
    </row>
    <row r="330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308"/>
      <c r="W330" s="308"/>
      <c r="X330" s="308"/>
      <c r="Y330" s="308"/>
      <c r="Z330" s="308"/>
    </row>
    <row r="331">
      <c r="A331" s="308"/>
      <c r="B331" s="308"/>
      <c r="C331" s="308"/>
      <c r="D331" s="308"/>
      <c r="E331" s="308"/>
      <c r="F331" s="308"/>
      <c r="G331" s="308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308"/>
      <c r="W331" s="308"/>
      <c r="X331" s="308"/>
      <c r="Y331" s="308"/>
      <c r="Z331" s="308"/>
    </row>
    <row r="332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308"/>
      <c r="W332" s="308"/>
      <c r="X332" s="308"/>
      <c r="Y332" s="308"/>
      <c r="Z332" s="308"/>
    </row>
    <row r="333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308"/>
      <c r="W333" s="308"/>
      <c r="X333" s="308"/>
      <c r="Y333" s="308"/>
      <c r="Z333" s="308"/>
    </row>
    <row r="334">
      <c r="A334" s="308"/>
      <c r="B334" s="308"/>
      <c r="C334" s="308"/>
      <c r="D334" s="308"/>
      <c r="E334" s="308"/>
      <c r="F334" s="308"/>
      <c r="G334" s="308"/>
      <c r="H334" s="308"/>
      <c r="I334" s="308"/>
      <c r="J334" s="308"/>
      <c r="K334" s="308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308"/>
      <c r="W334" s="308"/>
      <c r="X334" s="308"/>
      <c r="Y334" s="308"/>
      <c r="Z334" s="308"/>
    </row>
    <row r="335">
      <c r="A335" s="308"/>
      <c r="B335" s="308"/>
      <c r="C335" s="308"/>
      <c r="D335" s="308"/>
      <c r="E335" s="308"/>
      <c r="F335" s="308"/>
      <c r="G335" s="308"/>
      <c r="H335" s="308"/>
      <c r="I335" s="308"/>
      <c r="J335" s="308"/>
      <c r="K335" s="308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308"/>
      <c r="W335" s="308"/>
      <c r="X335" s="308"/>
      <c r="Y335" s="308"/>
      <c r="Z335" s="308"/>
    </row>
    <row r="336">
      <c r="A336" s="308"/>
      <c r="B336" s="308"/>
      <c r="C336" s="308"/>
      <c r="D336" s="308"/>
      <c r="E336" s="308"/>
      <c r="F336" s="308"/>
      <c r="G336" s="308"/>
      <c r="H336" s="308"/>
      <c r="I336" s="308"/>
      <c r="J336" s="308"/>
      <c r="K336" s="308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308"/>
      <c r="W336" s="308"/>
      <c r="X336" s="308"/>
      <c r="Y336" s="308"/>
      <c r="Z336" s="308"/>
    </row>
    <row r="337">
      <c r="A337" s="308"/>
      <c r="B337" s="308"/>
      <c r="C337" s="308"/>
      <c r="D337" s="308"/>
      <c r="E337" s="308"/>
      <c r="F337" s="308"/>
      <c r="G337" s="308"/>
      <c r="H337" s="308"/>
      <c r="I337" s="308"/>
      <c r="J337" s="308"/>
      <c r="K337" s="308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308"/>
      <c r="W337" s="308"/>
      <c r="X337" s="308"/>
      <c r="Y337" s="308"/>
      <c r="Z337" s="308"/>
    </row>
    <row r="338">
      <c r="A338" s="308"/>
      <c r="B338" s="308"/>
      <c r="C338" s="308"/>
      <c r="D338" s="308"/>
      <c r="E338" s="308"/>
      <c r="F338" s="308"/>
      <c r="G338" s="308"/>
      <c r="H338" s="308"/>
      <c r="I338" s="308"/>
      <c r="J338" s="308"/>
      <c r="K338" s="308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308"/>
      <c r="W338" s="308"/>
      <c r="X338" s="308"/>
      <c r="Y338" s="308"/>
      <c r="Z338" s="308"/>
    </row>
    <row r="339">
      <c r="A339" s="308"/>
      <c r="B339" s="308"/>
      <c r="C339" s="308"/>
      <c r="D339" s="308"/>
      <c r="E339" s="308"/>
      <c r="F339" s="308"/>
      <c r="G339" s="308"/>
      <c r="H339" s="308"/>
      <c r="I339" s="308"/>
      <c r="J339" s="308"/>
      <c r="K339" s="308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308"/>
      <c r="W339" s="308"/>
      <c r="X339" s="308"/>
      <c r="Y339" s="308"/>
      <c r="Z339" s="308"/>
    </row>
    <row r="340">
      <c r="A340" s="308"/>
      <c r="B340" s="308"/>
      <c r="C340" s="308"/>
      <c r="D340" s="308"/>
      <c r="E340" s="308"/>
      <c r="F340" s="308"/>
      <c r="G340" s="308"/>
      <c r="H340" s="308"/>
      <c r="I340" s="308"/>
      <c r="J340" s="308"/>
      <c r="K340" s="308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308"/>
      <c r="W340" s="308"/>
      <c r="X340" s="308"/>
      <c r="Y340" s="308"/>
      <c r="Z340" s="308"/>
    </row>
    <row r="341">
      <c r="A341" s="308"/>
      <c r="B341" s="308"/>
      <c r="C341" s="308"/>
      <c r="D341" s="308"/>
      <c r="E341" s="308"/>
      <c r="F341" s="308"/>
      <c r="G341" s="308"/>
      <c r="H341" s="308"/>
      <c r="I341" s="308"/>
      <c r="J341" s="308"/>
      <c r="K341" s="308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  <c r="Z341" s="308"/>
    </row>
    <row r="342">
      <c r="A342" s="308"/>
      <c r="B342" s="308"/>
      <c r="C342" s="308"/>
      <c r="D342" s="308"/>
      <c r="E342" s="308"/>
      <c r="F342" s="308"/>
      <c r="G342" s="308"/>
      <c r="H342" s="308"/>
      <c r="I342" s="308"/>
      <c r="J342" s="308"/>
      <c r="K342" s="308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308"/>
      <c r="W342" s="308"/>
      <c r="X342" s="308"/>
      <c r="Y342" s="308"/>
      <c r="Z342" s="308"/>
    </row>
    <row r="343">
      <c r="A343" s="308"/>
      <c r="B343" s="308"/>
      <c r="C343" s="308"/>
      <c r="D343" s="308"/>
      <c r="E343" s="308"/>
      <c r="F343" s="308"/>
      <c r="G343" s="308"/>
      <c r="H343" s="308"/>
      <c r="I343" s="308"/>
      <c r="J343" s="308"/>
      <c r="K343" s="308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308"/>
      <c r="W343" s="308"/>
      <c r="X343" s="308"/>
      <c r="Y343" s="308"/>
      <c r="Z343" s="308"/>
    </row>
    <row r="344">
      <c r="A344" s="308"/>
      <c r="B344" s="308"/>
      <c r="C344" s="308"/>
      <c r="D344" s="308"/>
      <c r="E344" s="308"/>
      <c r="F344" s="308"/>
      <c r="G344" s="308"/>
      <c r="H344" s="308"/>
      <c r="I344" s="308"/>
      <c r="J344" s="308"/>
      <c r="K344" s="308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308"/>
      <c r="W344" s="308"/>
      <c r="X344" s="308"/>
      <c r="Y344" s="308"/>
      <c r="Z344" s="308"/>
    </row>
    <row r="345">
      <c r="A345" s="308"/>
      <c r="B345" s="308"/>
      <c r="C345" s="308"/>
      <c r="D345" s="308"/>
      <c r="E345" s="308"/>
      <c r="F345" s="308"/>
      <c r="G345" s="308"/>
      <c r="H345" s="308"/>
      <c r="I345" s="308"/>
      <c r="J345" s="308"/>
      <c r="K345" s="308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308"/>
      <c r="W345" s="308"/>
      <c r="X345" s="308"/>
      <c r="Y345" s="308"/>
      <c r="Z345" s="308"/>
    </row>
    <row r="346">
      <c r="A346" s="308"/>
      <c r="B346" s="308"/>
      <c r="C346" s="308"/>
      <c r="D346" s="308"/>
      <c r="E346" s="308"/>
      <c r="F346" s="308"/>
      <c r="G346" s="308"/>
      <c r="H346" s="308"/>
      <c r="I346" s="308"/>
      <c r="J346" s="308"/>
      <c r="K346" s="308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308"/>
      <c r="W346" s="308"/>
      <c r="X346" s="308"/>
      <c r="Y346" s="308"/>
      <c r="Z346" s="308"/>
    </row>
    <row r="347">
      <c r="A347" s="308"/>
      <c r="B347" s="308"/>
      <c r="C347" s="308"/>
      <c r="D347" s="308"/>
      <c r="E347" s="308"/>
      <c r="F347" s="308"/>
      <c r="G347" s="308"/>
      <c r="H347" s="308"/>
      <c r="I347" s="308"/>
      <c r="J347" s="308"/>
      <c r="K347" s="308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308"/>
      <c r="W347" s="308"/>
      <c r="X347" s="308"/>
      <c r="Y347" s="308"/>
      <c r="Z347" s="308"/>
    </row>
    <row r="348">
      <c r="A348" s="308"/>
      <c r="B348" s="308"/>
      <c r="C348" s="308"/>
      <c r="D348" s="308"/>
      <c r="E348" s="308"/>
      <c r="F348" s="308"/>
      <c r="G348" s="308"/>
      <c r="H348" s="308"/>
      <c r="I348" s="308"/>
      <c r="J348" s="308"/>
      <c r="K348" s="308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308"/>
      <c r="W348" s="308"/>
      <c r="X348" s="308"/>
      <c r="Y348" s="308"/>
      <c r="Z348" s="308"/>
    </row>
    <row r="349">
      <c r="A349" s="308"/>
      <c r="B349" s="308"/>
      <c r="C349" s="308"/>
      <c r="D349" s="308"/>
      <c r="E349" s="308"/>
      <c r="F349" s="308"/>
      <c r="G349" s="308"/>
      <c r="H349" s="308"/>
      <c r="I349" s="308"/>
      <c r="J349" s="308"/>
      <c r="K349" s="308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308"/>
      <c r="W349" s="308"/>
      <c r="X349" s="308"/>
      <c r="Y349" s="308"/>
      <c r="Z349" s="308"/>
    </row>
    <row r="350">
      <c r="A350" s="308"/>
      <c r="B350" s="308"/>
      <c r="C350" s="308"/>
      <c r="D350" s="308"/>
      <c r="E350" s="308"/>
      <c r="F350" s="308"/>
      <c r="G350" s="308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308"/>
      <c r="W350" s="308"/>
      <c r="X350" s="308"/>
      <c r="Y350" s="308"/>
      <c r="Z350" s="308"/>
    </row>
    <row r="351">
      <c r="A351" s="308"/>
      <c r="B351" s="308"/>
      <c r="C351" s="308"/>
      <c r="D351" s="308"/>
      <c r="E351" s="308"/>
      <c r="F351" s="308"/>
      <c r="G351" s="308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308"/>
      <c r="W351" s="308"/>
      <c r="X351" s="308"/>
      <c r="Y351" s="308"/>
      <c r="Z351" s="308"/>
    </row>
    <row r="352">
      <c r="A352" s="308"/>
      <c r="B352" s="308"/>
      <c r="C352" s="308"/>
      <c r="D352" s="308"/>
      <c r="E352" s="308"/>
      <c r="F352" s="308"/>
      <c r="G352" s="308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308"/>
      <c r="W352" s="308"/>
      <c r="X352" s="308"/>
      <c r="Y352" s="308"/>
      <c r="Z352" s="308"/>
    </row>
    <row r="353">
      <c r="A353" s="308"/>
      <c r="B353" s="308"/>
      <c r="C353" s="308"/>
      <c r="D353" s="308"/>
      <c r="E353" s="308"/>
      <c r="F353" s="308"/>
      <c r="G353" s="308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308"/>
      <c r="W353" s="308"/>
      <c r="X353" s="308"/>
      <c r="Y353" s="308"/>
      <c r="Z353" s="308"/>
    </row>
    <row r="354">
      <c r="A354" s="308"/>
      <c r="B354" s="308"/>
      <c r="C354" s="308"/>
      <c r="D354" s="308"/>
      <c r="E354" s="308"/>
      <c r="F354" s="308"/>
      <c r="G354" s="308"/>
      <c r="H354" s="308"/>
      <c r="I354" s="308"/>
      <c r="J354" s="308"/>
      <c r="K354" s="308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  <c r="W354" s="308"/>
      <c r="X354" s="308"/>
      <c r="Y354" s="308"/>
      <c r="Z354" s="308"/>
    </row>
    <row r="355">
      <c r="A355" s="308"/>
      <c r="B355" s="308"/>
      <c r="C355" s="308"/>
      <c r="D355" s="308"/>
      <c r="E355" s="308"/>
      <c r="F355" s="308"/>
      <c r="G355" s="308"/>
      <c r="H355" s="308"/>
      <c r="I355" s="308"/>
      <c r="J355" s="308"/>
      <c r="K355" s="308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308"/>
      <c r="W355" s="308"/>
      <c r="X355" s="308"/>
      <c r="Y355" s="308"/>
      <c r="Z355" s="308"/>
    </row>
    <row r="356">
      <c r="A356" s="308"/>
      <c r="B356" s="308"/>
      <c r="C356" s="308"/>
      <c r="D356" s="308"/>
      <c r="E356" s="308"/>
      <c r="F356" s="308"/>
      <c r="G356" s="308"/>
      <c r="H356" s="308"/>
      <c r="I356" s="308"/>
      <c r="J356" s="308"/>
      <c r="K356" s="308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308"/>
      <c r="W356" s="308"/>
      <c r="X356" s="308"/>
      <c r="Y356" s="308"/>
      <c r="Z356" s="308"/>
    </row>
    <row r="357">
      <c r="A357" s="308"/>
      <c r="B357" s="308"/>
      <c r="C357" s="308"/>
      <c r="D357" s="308"/>
      <c r="E357" s="308"/>
      <c r="F357" s="308"/>
      <c r="G357" s="308"/>
      <c r="H357" s="308"/>
      <c r="I357" s="308"/>
      <c r="J357" s="308"/>
      <c r="K357" s="308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  <c r="Z357" s="308"/>
    </row>
    <row r="358">
      <c r="A358" s="308"/>
      <c r="B358" s="308"/>
      <c r="C358" s="308"/>
      <c r="D358" s="308"/>
      <c r="E358" s="308"/>
      <c r="F358" s="308"/>
      <c r="G358" s="308"/>
      <c r="H358" s="308"/>
      <c r="I358" s="308"/>
      <c r="J358" s="308"/>
      <c r="K358" s="308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308"/>
      <c r="W358" s="308"/>
      <c r="X358" s="308"/>
      <c r="Y358" s="308"/>
      <c r="Z358" s="308"/>
    </row>
    <row r="359">
      <c r="A359" s="308"/>
      <c r="B359" s="308"/>
      <c r="C359" s="308"/>
      <c r="D359" s="308"/>
      <c r="E359" s="308"/>
      <c r="F359" s="308"/>
      <c r="G359" s="308"/>
      <c r="H359" s="308"/>
      <c r="I359" s="308"/>
      <c r="J359" s="308"/>
      <c r="K359" s="308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308"/>
      <c r="W359" s="308"/>
      <c r="X359" s="308"/>
      <c r="Y359" s="308"/>
      <c r="Z359" s="308"/>
    </row>
    <row r="360">
      <c r="A360" s="308"/>
      <c r="B360" s="308"/>
      <c r="C360" s="308"/>
      <c r="D360" s="308"/>
      <c r="E360" s="308"/>
      <c r="F360" s="308"/>
      <c r="G360" s="308"/>
      <c r="H360" s="308"/>
      <c r="I360" s="308"/>
      <c r="J360" s="308"/>
      <c r="K360" s="308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308"/>
      <c r="W360" s="308"/>
      <c r="X360" s="308"/>
      <c r="Y360" s="308"/>
      <c r="Z360" s="308"/>
    </row>
    <row r="361">
      <c r="A361" s="308"/>
      <c r="B361" s="308"/>
      <c r="C361" s="308"/>
      <c r="D361" s="308"/>
      <c r="E361" s="308"/>
      <c r="F361" s="308"/>
      <c r="G361" s="308"/>
      <c r="H361" s="308"/>
      <c r="I361" s="308"/>
      <c r="J361" s="308"/>
      <c r="K361" s="308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308"/>
      <c r="W361" s="308"/>
      <c r="X361" s="308"/>
      <c r="Y361" s="308"/>
      <c r="Z361" s="308"/>
    </row>
    <row r="362">
      <c r="A362" s="308"/>
      <c r="B362" s="308"/>
      <c r="C362" s="308"/>
      <c r="D362" s="308"/>
      <c r="E362" s="308"/>
      <c r="F362" s="308"/>
      <c r="G362" s="308"/>
      <c r="H362" s="308"/>
      <c r="I362" s="308"/>
      <c r="J362" s="308"/>
      <c r="K362" s="308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308"/>
      <c r="W362" s="308"/>
      <c r="X362" s="308"/>
      <c r="Y362" s="308"/>
      <c r="Z362" s="308"/>
    </row>
    <row r="363">
      <c r="A363" s="308"/>
      <c r="B363" s="308"/>
      <c r="C363" s="308"/>
      <c r="D363" s="308"/>
      <c r="E363" s="308"/>
      <c r="F363" s="308"/>
      <c r="G363" s="308"/>
      <c r="H363" s="308"/>
      <c r="I363" s="308"/>
      <c r="J363" s="308"/>
      <c r="K363" s="308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308"/>
      <c r="W363" s="308"/>
      <c r="X363" s="308"/>
      <c r="Y363" s="308"/>
      <c r="Z363" s="308"/>
    </row>
    <row r="364">
      <c r="A364" s="308"/>
      <c r="B364" s="308"/>
      <c r="C364" s="308"/>
      <c r="D364" s="308"/>
      <c r="E364" s="308"/>
      <c r="F364" s="308"/>
      <c r="G364" s="308"/>
      <c r="H364" s="308"/>
      <c r="I364" s="308"/>
      <c r="J364" s="308"/>
      <c r="K364" s="308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308"/>
      <c r="W364" s="308"/>
      <c r="X364" s="308"/>
      <c r="Y364" s="308"/>
      <c r="Z364" s="308"/>
    </row>
    <row r="365">
      <c r="A365" s="308"/>
      <c r="B365" s="308"/>
      <c r="C365" s="308"/>
      <c r="D365" s="308"/>
      <c r="E365" s="308"/>
      <c r="F365" s="308"/>
      <c r="G365" s="308"/>
      <c r="H365" s="308"/>
      <c r="I365" s="308"/>
      <c r="J365" s="308"/>
      <c r="K365" s="308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308"/>
      <c r="W365" s="308"/>
      <c r="X365" s="308"/>
      <c r="Y365" s="308"/>
      <c r="Z365" s="308"/>
    </row>
    <row r="366">
      <c r="A366" s="308"/>
      <c r="B366" s="308"/>
      <c r="C366" s="308"/>
      <c r="D366" s="308"/>
      <c r="E366" s="308"/>
      <c r="F366" s="308"/>
      <c r="G366" s="308"/>
      <c r="H366" s="308"/>
      <c r="I366" s="308"/>
      <c r="J366" s="308"/>
      <c r="K366" s="308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308"/>
      <c r="W366" s="308"/>
      <c r="X366" s="308"/>
      <c r="Y366" s="308"/>
      <c r="Z366" s="308"/>
    </row>
    <row r="367">
      <c r="A367" s="308"/>
      <c r="B367" s="308"/>
      <c r="C367" s="308"/>
      <c r="D367" s="308"/>
      <c r="E367" s="308"/>
      <c r="F367" s="308"/>
      <c r="G367" s="308"/>
      <c r="H367" s="308"/>
      <c r="I367" s="308"/>
      <c r="J367" s="308"/>
      <c r="K367" s="308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308"/>
      <c r="W367" s="308"/>
      <c r="X367" s="308"/>
      <c r="Y367" s="308"/>
      <c r="Z367" s="308"/>
    </row>
    <row r="368">
      <c r="A368" s="308"/>
      <c r="B368" s="308"/>
      <c r="C368" s="308"/>
      <c r="D368" s="308"/>
      <c r="E368" s="308"/>
      <c r="F368" s="308"/>
      <c r="G368" s="308"/>
      <c r="H368" s="308"/>
      <c r="I368" s="308"/>
      <c r="J368" s="308"/>
      <c r="K368" s="308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  <c r="W368" s="308"/>
      <c r="X368" s="308"/>
      <c r="Y368" s="308"/>
      <c r="Z368" s="308"/>
    </row>
    <row r="369">
      <c r="A369" s="308"/>
      <c r="B369" s="308"/>
      <c r="C369" s="308"/>
      <c r="D369" s="308"/>
      <c r="E369" s="308"/>
      <c r="F369" s="308"/>
      <c r="G369" s="308"/>
      <c r="H369" s="308"/>
      <c r="I369" s="308"/>
      <c r="J369" s="308"/>
      <c r="K369" s="308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308"/>
      <c r="W369" s="308"/>
      <c r="X369" s="308"/>
      <c r="Y369" s="308"/>
      <c r="Z369" s="308"/>
    </row>
    <row r="370">
      <c r="A370" s="308"/>
      <c r="B370" s="308"/>
      <c r="C370" s="308"/>
      <c r="D370" s="308"/>
      <c r="E370" s="308"/>
      <c r="F370" s="308"/>
      <c r="G370" s="308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308"/>
      <c r="W370" s="308"/>
      <c r="X370" s="308"/>
      <c r="Y370" s="308"/>
      <c r="Z370" s="308"/>
    </row>
    <row r="371">
      <c r="A371" s="308"/>
      <c r="B371" s="308"/>
      <c r="C371" s="308"/>
      <c r="D371" s="308"/>
      <c r="E371" s="308"/>
      <c r="F371" s="308"/>
      <c r="G371" s="308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308"/>
      <c r="W371" s="308"/>
      <c r="X371" s="308"/>
      <c r="Y371" s="308"/>
      <c r="Z371" s="308"/>
    </row>
    <row r="372">
      <c r="A372" s="308"/>
      <c r="B372" s="308"/>
      <c r="C372" s="308"/>
      <c r="D372" s="308"/>
      <c r="E372" s="308"/>
      <c r="F372" s="308"/>
      <c r="G372" s="308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308"/>
      <c r="W372" s="308"/>
      <c r="X372" s="308"/>
      <c r="Y372" s="308"/>
      <c r="Z372" s="308"/>
    </row>
    <row r="373">
      <c r="A373" s="308"/>
      <c r="B373" s="308"/>
      <c r="C373" s="308"/>
      <c r="D373" s="308"/>
      <c r="E373" s="308"/>
      <c r="F373" s="308"/>
      <c r="G373" s="308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  <c r="Z373" s="308"/>
    </row>
    <row r="374">
      <c r="A374" s="308"/>
      <c r="B374" s="308"/>
      <c r="C374" s="308"/>
      <c r="D374" s="308"/>
      <c r="E374" s="308"/>
      <c r="F374" s="308"/>
      <c r="G374" s="308"/>
      <c r="H374" s="308"/>
      <c r="I374" s="308"/>
      <c r="J374" s="308"/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308"/>
      <c r="W374" s="308"/>
      <c r="X374" s="308"/>
      <c r="Y374" s="308"/>
      <c r="Z374" s="308"/>
    </row>
    <row r="375">
      <c r="A375" s="308"/>
      <c r="B375" s="308"/>
      <c r="C375" s="308"/>
      <c r="D375" s="308"/>
      <c r="E375" s="308"/>
      <c r="F375" s="308"/>
      <c r="G375" s="308"/>
      <c r="H375" s="308"/>
      <c r="I375" s="308"/>
      <c r="J375" s="308"/>
      <c r="K375" s="308"/>
      <c r="L375" s="308"/>
      <c r="M375" s="308"/>
      <c r="N375" s="308"/>
      <c r="O375" s="308"/>
      <c r="P375" s="308"/>
      <c r="Q375" s="308"/>
      <c r="R375" s="308"/>
      <c r="S375" s="308"/>
      <c r="T375" s="308"/>
      <c r="U375" s="308"/>
      <c r="V375" s="308"/>
      <c r="W375" s="308"/>
      <c r="X375" s="308"/>
      <c r="Y375" s="308"/>
      <c r="Z375" s="308"/>
    </row>
    <row r="376">
      <c r="A376" s="308"/>
      <c r="B376" s="308"/>
      <c r="C376" s="308"/>
      <c r="D376" s="308"/>
      <c r="E376" s="308"/>
      <c r="F376" s="308"/>
      <c r="G376" s="308"/>
      <c r="H376" s="308"/>
      <c r="I376" s="308"/>
      <c r="J376" s="308"/>
      <c r="K376" s="308"/>
      <c r="L376" s="308"/>
      <c r="M376" s="308"/>
      <c r="N376" s="308"/>
      <c r="O376" s="308"/>
      <c r="P376" s="308"/>
      <c r="Q376" s="308"/>
      <c r="R376" s="308"/>
      <c r="S376" s="308"/>
      <c r="T376" s="308"/>
      <c r="U376" s="308"/>
      <c r="V376" s="308"/>
      <c r="W376" s="308"/>
      <c r="X376" s="308"/>
      <c r="Y376" s="308"/>
      <c r="Z376" s="308"/>
    </row>
    <row r="377">
      <c r="A377" s="308"/>
      <c r="B377" s="308"/>
      <c r="C377" s="308"/>
      <c r="D377" s="308"/>
      <c r="E377" s="308"/>
      <c r="F377" s="308"/>
      <c r="G377" s="308"/>
      <c r="H377" s="308"/>
      <c r="I377" s="308"/>
      <c r="J377" s="308"/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  <c r="Z377" s="308"/>
    </row>
    <row r="378">
      <c r="A378" s="308"/>
      <c r="B378" s="308"/>
      <c r="C378" s="308"/>
      <c r="D378" s="308"/>
      <c r="E378" s="308"/>
      <c r="F378" s="308"/>
      <c r="G378" s="308"/>
      <c r="H378" s="308"/>
      <c r="I378" s="308"/>
      <c r="J378" s="308"/>
      <c r="K378" s="308"/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  <c r="Z378" s="308"/>
    </row>
    <row r="379">
      <c r="A379" s="308"/>
      <c r="B379" s="308"/>
      <c r="C379" s="308"/>
      <c r="D379" s="308"/>
      <c r="E379" s="308"/>
      <c r="F379" s="308"/>
      <c r="G379" s="308"/>
      <c r="H379" s="308"/>
      <c r="I379" s="308"/>
      <c r="J379" s="308"/>
      <c r="K379" s="308"/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  <c r="Z379" s="308"/>
    </row>
    <row r="380">
      <c r="A380" s="308"/>
      <c r="B380" s="308"/>
      <c r="C380" s="308"/>
      <c r="D380" s="308"/>
      <c r="E380" s="308"/>
      <c r="F380" s="308"/>
      <c r="G380" s="308"/>
      <c r="H380" s="308"/>
      <c r="I380" s="308"/>
      <c r="J380" s="308"/>
      <c r="K380" s="308"/>
      <c r="L380" s="308"/>
      <c r="M380" s="308"/>
      <c r="N380" s="308"/>
      <c r="O380" s="308"/>
      <c r="P380" s="308"/>
      <c r="Q380" s="308"/>
      <c r="R380" s="308"/>
      <c r="S380" s="308"/>
      <c r="T380" s="308"/>
      <c r="U380" s="308"/>
      <c r="V380" s="308"/>
      <c r="W380" s="308"/>
      <c r="X380" s="308"/>
      <c r="Y380" s="308"/>
      <c r="Z380" s="308"/>
    </row>
    <row r="381">
      <c r="A381" s="308"/>
      <c r="B381" s="308"/>
      <c r="C381" s="308"/>
      <c r="D381" s="308"/>
      <c r="E381" s="308"/>
      <c r="F381" s="308"/>
      <c r="G381" s="308"/>
      <c r="H381" s="308"/>
      <c r="I381" s="308"/>
      <c r="J381" s="308"/>
      <c r="K381" s="308"/>
      <c r="L381" s="308"/>
      <c r="M381" s="308"/>
      <c r="N381" s="308"/>
      <c r="O381" s="308"/>
      <c r="P381" s="308"/>
      <c r="Q381" s="308"/>
      <c r="R381" s="308"/>
      <c r="S381" s="308"/>
      <c r="T381" s="308"/>
      <c r="U381" s="308"/>
      <c r="V381" s="308"/>
      <c r="W381" s="308"/>
      <c r="X381" s="308"/>
      <c r="Y381" s="308"/>
      <c r="Z381" s="308"/>
    </row>
    <row r="382">
      <c r="A382" s="308"/>
      <c r="B382" s="308"/>
      <c r="C382" s="308"/>
      <c r="D382" s="308"/>
      <c r="E382" s="308"/>
      <c r="F382" s="308"/>
      <c r="G382" s="308"/>
      <c r="H382" s="308"/>
      <c r="I382" s="308"/>
      <c r="J382" s="308"/>
      <c r="K382" s="308"/>
      <c r="L382" s="308"/>
      <c r="M382" s="308"/>
      <c r="N382" s="308"/>
      <c r="O382" s="308"/>
      <c r="P382" s="308"/>
      <c r="Q382" s="308"/>
      <c r="R382" s="308"/>
      <c r="S382" s="308"/>
      <c r="T382" s="308"/>
      <c r="U382" s="308"/>
      <c r="V382" s="308"/>
      <c r="W382" s="308"/>
      <c r="X382" s="308"/>
      <c r="Y382" s="308"/>
      <c r="Z382" s="308"/>
    </row>
    <row r="383">
      <c r="A383" s="308"/>
      <c r="B383" s="308"/>
      <c r="C383" s="308"/>
      <c r="D383" s="308"/>
      <c r="E383" s="308"/>
      <c r="F383" s="308"/>
      <c r="G383" s="308"/>
      <c r="H383" s="308"/>
      <c r="I383" s="308"/>
      <c r="J383" s="308"/>
      <c r="K383" s="308"/>
      <c r="L383" s="308"/>
      <c r="M383" s="308"/>
      <c r="N383" s="308"/>
      <c r="O383" s="308"/>
      <c r="P383" s="308"/>
      <c r="Q383" s="308"/>
      <c r="R383" s="308"/>
      <c r="S383" s="308"/>
      <c r="T383" s="308"/>
      <c r="U383" s="308"/>
      <c r="V383" s="308"/>
      <c r="W383" s="308"/>
      <c r="X383" s="308"/>
      <c r="Y383" s="308"/>
      <c r="Z383" s="308"/>
    </row>
    <row r="384">
      <c r="A384" s="308"/>
      <c r="B384" s="308"/>
      <c r="C384" s="308"/>
      <c r="D384" s="308"/>
      <c r="E384" s="308"/>
      <c r="F384" s="308"/>
      <c r="G384" s="308"/>
      <c r="H384" s="308"/>
      <c r="I384" s="308"/>
      <c r="J384" s="308"/>
      <c r="K384" s="308"/>
      <c r="L384" s="308"/>
      <c r="M384" s="308"/>
      <c r="N384" s="308"/>
      <c r="O384" s="308"/>
      <c r="P384" s="308"/>
      <c r="Q384" s="308"/>
      <c r="R384" s="308"/>
      <c r="S384" s="308"/>
      <c r="T384" s="308"/>
      <c r="U384" s="308"/>
      <c r="V384" s="308"/>
      <c r="W384" s="308"/>
      <c r="X384" s="308"/>
      <c r="Y384" s="308"/>
      <c r="Z384" s="308"/>
    </row>
    <row r="385">
      <c r="A385" s="308"/>
      <c r="B385" s="308"/>
      <c r="C385" s="308"/>
      <c r="D385" s="308"/>
      <c r="E385" s="308"/>
      <c r="F385" s="308"/>
      <c r="G385" s="308"/>
      <c r="H385" s="308"/>
      <c r="I385" s="308"/>
      <c r="J385" s="308"/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  <c r="Z385" s="308"/>
    </row>
    <row r="386">
      <c r="A386" s="308"/>
      <c r="B386" s="308"/>
      <c r="C386" s="308"/>
      <c r="D386" s="308"/>
      <c r="E386" s="308"/>
      <c r="F386" s="308"/>
      <c r="G386" s="308"/>
      <c r="H386" s="308"/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  <c r="W386" s="308"/>
      <c r="X386" s="308"/>
      <c r="Y386" s="308"/>
      <c r="Z386" s="308"/>
    </row>
    <row r="387">
      <c r="A387" s="308"/>
      <c r="B387" s="308"/>
      <c r="C387" s="308"/>
      <c r="D387" s="308"/>
      <c r="E387" s="308"/>
      <c r="F387" s="308"/>
      <c r="G387" s="308"/>
      <c r="H387" s="308"/>
      <c r="I387" s="308"/>
      <c r="J387" s="308"/>
      <c r="K387" s="308"/>
      <c r="L387" s="308"/>
      <c r="M387" s="308"/>
      <c r="N387" s="308"/>
      <c r="O387" s="308"/>
      <c r="P387" s="308"/>
      <c r="Q387" s="308"/>
      <c r="R387" s="308"/>
      <c r="S387" s="308"/>
      <c r="T387" s="308"/>
      <c r="U387" s="308"/>
      <c r="V387" s="308"/>
      <c r="W387" s="308"/>
      <c r="X387" s="308"/>
      <c r="Y387" s="308"/>
      <c r="Z387" s="308"/>
    </row>
    <row r="388">
      <c r="A388" s="308"/>
      <c r="B388" s="308"/>
      <c r="C388" s="308"/>
      <c r="D388" s="308"/>
      <c r="E388" s="308"/>
      <c r="F388" s="308"/>
      <c r="G388" s="308"/>
      <c r="H388" s="308"/>
      <c r="I388" s="308"/>
      <c r="J388" s="308"/>
      <c r="K388" s="308"/>
      <c r="L388" s="308"/>
      <c r="M388" s="308"/>
      <c r="N388" s="308"/>
      <c r="O388" s="308"/>
      <c r="P388" s="308"/>
      <c r="Q388" s="308"/>
      <c r="R388" s="308"/>
      <c r="S388" s="308"/>
      <c r="T388" s="308"/>
      <c r="U388" s="308"/>
      <c r="V388" s="308"/>
      <c r="W388" s="308"/>
      <c r="X388" s="308"/>
      <c r="Y388" s="308"/>
      <c r="Z388" s="308"/>
    </row>
    <row r="389">
      <c r="A389" s="308"/>
      <c r="B389" s="308"/>
      <c r="C389" s="308"/>
      <c r="D389" s="308"/>
      <c r="E389" s="308"/>
      <c r="F389" s="308"/>
      <c r="G389" s="308"/>
      <c r="H389" s="308"/>
      <c r="I389" s="308"/>
      <c r="J389" s="308"/>
      <c r="K389" s="308"/>
      <c r="L389" s="308"/>
      <c r="M389" s="308"/>
      <c r="N389" s="308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  <c r="Z389" s="308"/>
    </row>
    <row r="390">
      <c r="A390" s="308"/>
      <c r="B390" s="308"/>
      <c r="C390" s="308"/>
      <c r="D390" s="308"/>
      <c r="E390" s="308"/>
      <c r="F390" s="308"/>
      <c r="G390" s="308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  <c r="R390" s="308"/>
      <c r="S390" s="308"/>
      <c r="T390" s="308"/>
      <c r="U390" s="308"/>
      <c r="V390" s="308"/>
      <c r="W390" s="308"/>
      <c r="X390" s="308"/>
      <c r="Y390" s="308"/>
      <c r="Z390" s="308"/>
    </row>
    <row r="391">
      <c r="A391" s="308"/>
      <c r="B391" s="308"/>
      <c r="C391" s="308"/>
      <c r="D391" s="308"/>
      <c r="E391" s="308"/>
      <c r="F391" s="308"/>
      <c r="G391" s="308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  <c r="R391" s="308"/>
      <c r="S391" s="308"/>
      <c r="T391" s="308"/>
      <c r="U391" s="308"/>
      <c r="V391" s="308"/>
      <c r="W391" s="308"/>
      <c r="X391" s="308"/>
      <c r="Y391" s="308"/>
      <c r="Z391" s="308"/>
    </row>
    <row r="392">
      <c r="A392" s="308"/>
      <c r="B392" s="308"/>
      <c r="C392" s="308"/>
      <c r="D392" s="308"/>
      <c r="E392" s="308"/>
      <c r="F392" s="308"/>
      <c r="G392" s="308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  <c r="R392" s="308"/>
      <c r="S392" s="308"/>
      <c r="T392" s="308"/>
      <c r="U392" s="308"/>
      <c r="V392" s="308"/>
      <c r="W392" s="308"/>
      <c r="X392" s="308"/>
      <c r="Y392" s="308"/>
      <c r="Z392" s="308"/>
    </row>
    <row r="393">
      <c r="A393" s="308"/>
      <c r="B393" s="308"/>
      <c r="C393" s="308"/>
      <c r="D393" s="308"/>
      <c r="E393" s="308"/>
      <c r="F393" s="308"/>
      <c r="G393" s="308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  <c r="R393" s="308"/>
      <c r="S393" s="308"/>
      <c r="T393" s="308"/>
      <c r="U393" s="308"/>
      <c r="V393" s="308"/>
      <c r="W393" s="308"/>
      <c r="X393" s="308"/>
      <c r="Y393" s="308"/>
      <c r="Z393" s="308"/>
    </row>
    <row r="394">
      <c r="A394" s="308"/>
      <c r="B394" s="308"/>
      <c r="C394" s="308"/>
      <c r="D394" s="308"/>
      <c r="E394" s="308"/>
      <c r="F394" s="308"/>
      <c r="G394" s="308"/>
      <c r="H394" s="308"/>
      <c r="I394" s="308"/>
      <c r="J394" s="308"/>
      <c r="K394" s="308"/>
      <c r="L394" s="308"/>
      <c r="M394" s="308"/>
      <c r="N394" s="308"/>
      <c r="O394" s="308"/>
      <c r="P394" s="308"/>
      <c r="Q394" s="308"/>
      <c r="R394" s="308"/>
      <c r="S394" s="308"/>
      <c r="T394" s="308"/>
      <c r="U394" s="308"/>
      <c r="V394" s="308"/>
      <c r="W394" s="308"/>
      <c r="X394" s="308"/>
      <c r="Y394" s="308"/>
      <c r="Z394" s="308"/>
    </row>
    <row r="395">
      <c r="A395" s="308"/>
      <c r="B395" s="308"/>
      <c r="C395" s="308"/>
      <c r="D395" s="308"/>
      <c r="E395" s="308"/>
      <c r="F395" s="308"/>
      <c r="G395" s="308"/>
      <c r="H395" s="308"/>
      <c r="I395" s="308"/>
      <c r="J395" s="308"/>
      <c r="K395" s="308"/>
      <c r="L395" s="308"/>
      <c r="M395" s="308"/>
      <c r="N395" s="308"/>
      <c r="O395" s="308"/>
      <c r="P395" s="308"/>
      <c r="Q395" s="308"/>
      <c r="R395" s="308"/>
      <c r="S395" s="308"/>
      <c r="T395" s="308"/>
      <c r="U395" s="308"/>
      <c r="V395" s="308"/>
      <c r="W395" s="308"/>
      <c r="X395" s="308"/>
      <c r="Y395" s="308"/>
      <c r="Z395" s="308"/>
    </row>
    <row r="396">
      <c r="A396" s="308"/>
      <c r="B396" s="308"/>
      <c r="C396" s="308"/>
      <c r="D396" s="308"/>
      <c r="E396" s="308"/>
      <c r="F396" s="308"/>
      <c r="G396" s="308"/>
      <c r="H396" s="308"/>
      <c r="I396" s="308"/>
      <c r="J396" s="308"/>
      <c r="K396" s="308"/>
      <c r="L396" s="308"/>
      <c r="M396" s="308"/>
      <c r="N396" s="308"/>
      <c r="O396" s="308"/>
      <c r="P396" s="308"/>
      <c r="Q396" s="308"/>
      <c r="R396" s="308"/>
      <c r="S396" s="308"/>
      <c r="T396" s="308"/>
      <c r="U396" s="308"/>
      <c r="V396" s="308"/>
      <c r="W396" s="308"/>
      <c r="X396" s="308"/>
      <c r="Y396" s="308"/>
      <c r="Z396" s="308"/>
    </row>
    <row r="397">
      <c r="A397" s="308"/>
      <c r="B397" s="308"/>
      <c r="C397" s="308"/>
      <c r="D397" s="308"/>
      <c r="E397" s="308"/>
      <c r="F397" s="308"/>
      <c r="G397" s="308"/>
      <c r="H397" s="308"/>
      <c r="I397" s="308"/>
      <c r="J397" s="308"/>
      <c r="K397" s="308"/>
      <c r="L397" s="308"/>
      <c r="M397" s="308"/>
      <c r="N397" s="308"/>
      <c r="O397" s="308"/>
      <c r="P397" s="308"/>
      <c r="Q397" s="308"/>
      <c r="R397" s="308"/>
      <c r="S397" s="308"/>
      <c r="T397" s="308"/>
      <c r="U397" s="308"/>
      <c r="V397" s="308"/>
      <c r="W397" s="308"/>
      <c r="X397" s="308"/>
      <c r="Y397" s="308"/>
      <c r="Z397" s="308"/>
    </row>
    <row r="398">
      <c r="A398" s="308"/>
      <c r="B398" s="308"/>
      <c r="C398" s="308"/>
      <c r="D398" s="308"/>
      <c r="E398" s="308"/>
      <c r="F398" s="308"/>
      <c r="G398" s="308"/>
      <c r="H398" s="308"/>
      <c r="I398" s="308"/>
      <c r="J398" s="308"/>
      <c r="K398" s="308"/>
      <c r="L398" s="308"/>
      <c r="M398" s="308"/>
      <c r="N398" s="308"/>
      <c r="O398" s="308"/>
      <c r="P398" s="308"/>
      <c r="Q398" s="308"/>
      <c r="R398" s="308"/>
      <c r="S398" s="308"/>
      <c r="T398" s="308"/>
      <c r="U398" s="308"/>
      <c r="V398" s="308"/>
      <c r="W398" s="308"/>
      <c r="X398" s="308"/>
      <c r="Y398" s="308"/>
      <c r="Z398" s="308"/>
    </row>
    <row r="399">
      <c r="A399" s="308"/>
      <c r="B399" s="308"/>
      <c r="C399" s="308"/>
      <c r="D399" s="308"/>
      <c r="E399" s="308"/>
      <c r="F399" s="308"/>
      <c r="G399" s="308"/>
      <c r="H399" s="308"/>
      <c r="I399" s="308"/>
      <c r="J399" s="308"/>
      <c r="K399" s="308"/>
      <c r="L399" s="308"/>
      <c r="M399" s="308"/>
      <c r="N399" s="308"/>
      <c r="O399" s="308"/>
      <c r="P399" s="308"/>
      <c r="Q399" s="308"/>
      <c r="R399" s="308"/>
      <c r="S399" s="308"/>
      <c r="T399" s="308"/>
      <c r="U399" s="308"/>
      <c r="V399" s="308"/>
      <c r="W399" s="308"/>
      <c r="X399" s="308"/>
      <c r="Y399" s="308"/>
      <c r="Z399" s="308"/>
    </row>
    <row r="400">
      <c r="A400" s="308"/>
      <c r="B400" s="308"/>
      <c r="C400" s="308"/>
      <c r="D400" s="308"/>
      <c r="E400" s="308"/>
      <c r="F400" s="308"/>
      <c r="G400" s="308"/>
      <c r="H400" s="308"/>
      <c r="I400" s="308"/>
      <c r="J400" s="308"/>
      <c r="K400" s="308"/>
      <c r="L400" s="308"/>
      <c r="M400" s="308"/>
      <c r="N400" s="308"/>
      <c r="O400" s="308"/>
      <c r="P400" s="308"/>
      <c r="Q400" s="308"/>
      <c r="R400" s="308"/>
      <c r="S400" s="308"/>
      <c r="T400" s="308"/>
      <c r="U400" s="308"/>
      <c r="V400" s="308"/>
      <c r="W400" s="308"/>
      <c r="X400" s="308"/>
      <c r="Y400" s="308"/>
      <c r="Z400" s="308"/>
    </row>
    <row r="401">
      <c r="A401" s="308"/>
      <c r="B401" s="308"/>
      <c r="C401" s="308"/>
      <c r="D401" s="308"/>
      <c r="E401" s="308"/>
      <c r="F401" s="308"/>
      <c r="G401" s="308"/>
      <c r="H401" s="308"/>
      <c r="I401" s="308"/>
      <c r="J401" s="308"/>
      <c r="K401" s="308"/>
      <c r="L401" s="308"/>
      <c r="M401" s="308"/>
      <c r="N401" s="308"/>
      <c r="O401" s="308"/>
      <c r="P401" s="308"/>
      <c r="Q401" s="308"/>
      <c r="R401" s="308"/>
      <c r="S401" s="308"/>
      <c r="T401" s="308"/>
      <c r="U401" s="308"/>
      <c r="V401" s="308"/>
      <c r="W401" s="308"/>
      <c r="X401" s="308"/>
      <c r="Y401" s="308"/>
      <c r="Z401" s="308"/>
    </row>
    <row r="402">
      <c r="A402" s="308"/>
      <c r="B402" s="308"/>
      <c r="C402" s="308"/>
      <c r="D402" s="308"/>
      <c r="E402" s="308"/>
      <c r="F402" s="308"/>
      <c r="G402" s="308"/>
      <c r="H402" s="308"/>
      <c r="I402" s="308"/>
      <c r="J402" s="308"/>
      <c r="K402" s="308"/>
      <c r="L402" s="308"/>
      <c r="M402" s="308"/>
      <c r="N402" s="308"/>
      <c r="O402" s="308"/>
      <c r="P402" s="308"/>
      <c r="Q402" s="308"/>
      <c r="R402" s="308"/>
      <c r="S402" s="308"/>
      <c r="T402" s="308"/>
      <c r="U402" s="308"/>
      <c r="V402" s="308"/>
      <c r="W402" s="308"/>
      <c r="X402" s="308"/>
      <c r="Y402" s="308"/>
      <c r="Z402" s="308"/>
    </row>
    <row r="403">
      <c r="A403" s="308"/>
      <c r="B403" s="308"/>
      <c r="C403" s="308"/>
      <c r="D403" s="308"/>
      <c r="E403" s="308"/>
      <c r="F403" s="308"/>
      <c r="G403" s="308"/>
      <c r="H403" s="308"/>
      <c r="I403" s="308"/>
      <c r="J403" s="308"/>
      <c r="K403" s="308"/>
      <c r="L403" s="308"/>
      <c r="M403" s="308"/>
      <c r="N403" s="308"/>
      <c r="O403" s="308"/>
      <c r="P403" s="308"/>
      <c r="Q403" s="308"/>
      <c r="R403" s="308"/>
      <c r="S403" s="308"/>
      <c r="T403" s="308"/>
      <c r="U403" s="308"/>
      <c r="V403" s="308"/>
      <c r="W403" s="308"/>
      <c r="X403" s="308"/>
      <c r="Y403" s="308"/>
      <c r="Z403" s="308"/>
    </row>
    <row r="404">
      <c r="A404" s="308"/>
      <c r="B404" s="308"/>
      <c r="C404" s="308"/>
      <c r="D404" s="308"/>
      <c r="E404" s="308"/>
      <c r="F404" s="308"/>
      <c r="G404" s="308"/>
      <c r="H404" s="308"/>
      <c r="I404" s="308"/>
      <c r="J404" s="308"/>
      <c r="K404" s="308"/>
      <c r="L404" s="308"/>
      <c r="M404" s="308"/>
      <c r="N404" s="308"/>
      <c r="O404" s="308"/>
      <c r="P404" s="308"/>
      <c r="Q404" s="308"/>
      <c r="R404" s="308"/>
      <c r="S404" s="308"/>
      <c r="T404" s="308"/>
      <c r="U404" s="308"/>
      <c r="V404" s="308"/>
      <c r="W404" s="308"/>
      <c r="X404" s="308"/>
      <c r="Y404" s="308"/>
      <c r="Z404" s="308"/>
    </row>
    <row r="405">
      <c r="A405" s="308"/>
      <c r="B405" s="308"/>
      <c r="C405" s="308"/>
      <c r="D405" s="308"/>
      <c r="E405" s="308"/>
      <c r="F405" s="308"/>
      <c r="G405" s="308"/>
      <c r="H405" s="308"/>
      <c r="I405" s="308"/>
      <c r="J405" s="308"/>
      <c r="K405" s="308"/>
      <c r="L405" s="308"/>
      <c r="M405" s="308"/>
      <c r="N405" s="308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  <c r="Z405" s="308"/>
    </row>
    <row r="406">
      <c r="A406" s="308"/>
      <c r="B406" s="308"/>
      <c r="C406" s="308"/>
      <c r="D406" s="308"/>
      <c r="E406" s="308"/>
      <c r="F406" s="308"/>
      <c r="G406" s="308"/>
      <c r="H406" s="308"/>
      <c r="I406" s="308"/>
      <c r="J406" s="308"/>
      <c r="K406" s="308"/>
      <c r="L406" s="308"/>
      <c r="M406" s="308"/>
      <c r="N406" s="308"/>
      <c r="O406" s="308"/>
      <c r="P406" s="308"/>
      <c r="Q406" s="308"/>
      <c r="R406" s="308"/>
      <c r="S406" s="308"/>
      <c r="T406" s="308"/>
      <c r="U406" s="308"/>
      <c r="V406" s="308"/>
      <c r="W406" s="308"/>
      <c r="X406" s="308"/>
      <c r="Y406" s="308"/>
      <c r="Z406" s="308"/>
    </row>
    <row r="407">
      <c r="A407" s="308"/>
      <c r="B407" s="308"/>
      <c r="C407" s="308"/>
      <c r="D407" s="308"/>
      <c r="E407" s="308"/>
      <c r="F407" s="308"/>
      <c r="G407" s="308"/>
      <c r="H407" s="308"/>
      <c r="I407" s="308"/>
      <c r="J407" s="308"/>
      <c r="K407" s="308"/>
      <c r="L407" s="308"/>
      <c r="M407" s="308"/>
      <c r="N407" s="308"/>
      <c r="O407" s="308"/>
      <c r="P407" s="308"/>
      <c r="Q407" s="308"/>
      <c r="R407" s="308"/>
      <c r="S407" s="308"/>
      <c r="T407" s="308"/>
      <c r="U407" s="308"/>
      <c r="V407" s="308"/>
      <c r="W407" s="308"/>
      <c r="X407" s="308"/>
      <c r="Y407" s="308"/>
      <c r="Z407" s="308"/>
    </row>
    <row r="408">
      <c r="A408" s="308"/>
      <c r="B408" s="308"/>
      <c r="C408" s="308"/>
      <c r="D408" s="308"/>
      <c r="E408" s="308"/>
      <c r="F408" s="308"/>
      <c r="G408" s="308"/>
      <c r="H408" s="308"/>
      <c r="I408" s="308"/>
      <c r="J408" s="308"/>
      <c r="K408" s="308"/>
      <c r="L408" s="308"/>
      <c r="M408" s="308"/>
      <c r="N408" s="308"/>
      <c r="O408" s="308"/>
      <c r="P408" s="308"/>
      <c r="Q408" s="308"/>
      <c r="R408" s="308"/>
      <c r="S408" s="308"/>
      <c r="T408" s="308"/>
      <c r="U408" s="308"/>
      <c r="V408" s="308"/>
      <c r="W408" s="308"/>
      <c r="X408" s="308"/>
      <c r="Y408" s="308"/>
      <c r="Z408" s="308"/>
    </row>
    <row r="409">
      <c r="A409" s="308"/>
      <c r="B409" s="308"/>
      <c r="C409" s="308"/>
      <c r="D409" s="308"/>
      <c r="E409" s="308"/>
      <c r="F409" s="308"/>
      <c r="G409" s="308"/>
      <c r="H409" s="308"/>
      <c r="I409" s="308"/>
      <c r="J409" s="308"/>
      <c r="K409" s="308"/>
      <c r="L409" s="308"/>
      <c r="M409" s="308"/>
      <c r="N409" s="308"/>
      <c r="O409" s="308"/>
      <c r="P409" s="308"/>
      <c r="Q409" s="308"/>
      <c r="R409" s="308"/>
      <c r="S409" s="308"/>
      <c r="T409" s="308"/>
      <c r="U409" s="308"/>
      <c r="V409" s="308"/>
      <c r="W409" s="308"/>
      <c r="X409" s="308"/>
      <c r="Y409" s="308"/>
      <c r="Z409" s="308"/>
    </row>
    <row r="410">
      <c r="A410" s="308"/>
      <c r="B410" s="308"/>
      <c r="C410" s="308"/>
      <c r="D410" s="308"/>
      <c r="E410" s="308"/>
      <c r="F410" s="308"/>
      <c r="G410" s="308"/>
      <c r="H410" s="308"/>
      <c r="I410" s="308"/>
      <c r="J410" s="308"/>
      <c r="K410" s="308"/>
      <c r="L410" s="308"/>
      <c r="M410" s="308"/>
      <c r="N410" s="308"/>
      <c r="O410" s="308"/>
      <c r="P410" s="308"/>
      <c r="Q410" s="308"/>
      <c r="R410" s="308"/>
      <c r="S410" s="308"/>
      <c r="T410" s="308"/>
      <c r="U410" s="308"/>
      <c r="V410" s="308"/>
      <c r="W410" s="308"/>
      <c r="X410" s="308"/>
      <c r="Y410" s="308"/>
      <c r="Z410" s="308"/>
    </row>
    <row r="411">
      <c r="A411" s="308"/>
      <c r="B411" s="308"/>
      <c r="C411" s="308"/>
      <c r="D411" s="308"/>
      <c r="E411" s="308"/>
      <c r="F411" s="308"/>
      <c r="G411" s="308"/>
      <c r="H411" s="308"/>
      <c r="I411" s="308"/>
      <c r="J411" s="308"/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  <c r="Z411" s="308"/>
    </row>
    <row r="412">
      <c r="A412" s="308"/>
      <c r="B412" s="308"/>
      <c r="C412" s="308"/>
      <c r="D412" s="308"/>
      <c r="E412" s="308"/>
      <c r="F412" s="308"/>
      <c r="G412" s="308"/>
      <c r="H412" s="308"/>
      <c r="I412" s="308"/>
      <c r="J412" s="308"/>
      <c r="K412" s="308"/>
      <c r="L412" s="308"/>
      <c r="M412" s="308"/>
      <c r="N412" s="308"/>
      <c r="O412" s="308"/>
      <c r="P412" s="308"/>
      <c r="Q412" s="308"/>
      <c r="R412" s="308"/>
      <c r="S412" s="308"/>
      <c r="T412" s="308"/>
      <c r="U412" s="308"/>
      <c r="V412" s="308"/>
      <c r="W412" s="308"/>
      <c r="X412" s="308"/>
      <c r="Y412" s="308"/>
      <c r="Z412" s="308"/>
    </row>
    <row r="413">
      <c r="A413" s="308"/>
      <c r="B413" s="308"/>
      <c r="C413" s="308"/>
      <c r="D413" s="308"/>
      <c r="E413" s="308"/>
      <c r="F413" s="308"/>
      <c r="G413" s="308"/>
      <c r="H413" s="308"/>
      <c r="I413" s="308"/>
      <c r="J413" s="308"/>
      <c r="K413" s="308"/>
      <c r="L413" s="308"/>
      <c r="M413" s="308"/>
      <c r="N413" s="308"/>
      <c r="O413" s="308"/>
      <c r="P413" s="308"/>
      <c r="Q413" s="308"/>
      <c r="R413" s="308"/>
      <c r="S413" s="308"/>
      <c r="T413" s="308"/>
      <c r="U413" s="308"/>
      <c r="V413" s="308"/>
      <c r="W413" s="308"/>
      <c r="X413" s="308"/>
      <c r="Y413" s="308"/>
      <c r="Z413" s="308"/>
    </row>
    <row r="414">
      <c r="A414" s="308"/>
      <c r="B414" s="308"/>
      <c r="C414" s="308"/>
      <c r="D414" s="308"/>
      <c r="E414" s="308"/>
      <c r="F414" s="308"/>
      <c r="G414" s="308"/>
      <c r="H414" s="308"/>
      <c r="I414" s="308"/>
      <c r="J414" s="308"/>
      <c r="K414" s="308"/>
      <c r="L414" s="308"/>
      <c r="M414" s="308"/>
      <c r="N414" s="308"/>
      <c r="O414" s="308"/>
      <c r="P414" s="308"/>
      <c r="Q414" s="308"/>
      <c r="R414" s="308"/>
      <c r="S414" s="308"/>
      <c r="T414" s="308"/>
      <c r="U414" s="308"/>
      <c r="V414" s="308"/>
      <c r="W414" s="308"/>
      <c r="X414" s="308"/>
      <c r="Y414" s="308"/>
      <c r="Z414" s="308"/>
    </row>
    <row r="415">
      <c r="A415" s="308"/>
      <c r="B415" s="308"/>
      <c r="C415" s="308"/>
      <c r="D415" s="308"/>
      <c r="E415" s="308"/>
      <c r="F415" s="308"/>
      <c r="G415" s="308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  <c r="R415" s="308"/>
      <c r="S415" s="308"/>
      <c r="T415" s="308"/>
      <c r="U415" s="308"/>
      <c r="V415" s="308"/>
      <c r="W415" s="308"/>
      <c r="X415" s="308"/>
      <c r="Y415" s="308"/>
      <c r="Z415" s="308"/>
    </row>
    <row r="416">
      <c r="A416" s="308"/>
      <c r="B416" s="308"/>
      <c r="C416" s="308"/>
      <c r="D416" s="308"/>
      <c r="E416" s="308"/>
      <c r="F416" s="308"/>
      <c r="G416" s="308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  <c r="Z416" s="308"/>
    </row>
    <row r="417">
      <c r="A417" s="308"/>
      <c r="B417" s="308"/>
      <c r="C417" s="308"/>
      <c r="D417" s="308"/>
      <c r="E417" s="308"/>
      <c r="F417" s="308"/>
      <c r="G417" s="308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  <c r="R417" s="308"/>
      <c r="S417" s="308"/>
      <c r="T417" s="308"/>
      <c r="U417" s="308"/>
      <c r="V417" s="308"/>
      <c r="W417" s="308"/>
      <c r="X417" s="308"/>
      <c r="Y417" s="308"/>
      <c r="Z417" s="308"/>
    </row>
    <row r="418">
      <c r="A418" s="308"/>
      <c r="B418" s="308"/>
      <c r="C418" s="308"/>
      <c r="D418" s="308"/>
      <c r="E418" s="308"/>
      <c r="F418" s="308"/>
      <c r="G418" s="308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  <c r="R418" s="308"/>
      <c r="S418" s="308"/>
      <c r="T418" s="308"/>
      <c r="U418" s="308"/>
      <c r="V418" s="308"/>
      <c r="W418" s="308"/>
      <c r="X418" s="308"/>
      <c r="Y418" s="308"/>
      <c r="Z418" s="308"/>
    </row>
    <row r="419">
      <c r="A419" s="308"/>
      <c r="B419" s="308"/>
      <c r="C419" s="308"/>
      <c r="D419" s="308"/>
      <c r="E419" s="308"/>
      <c r="F419" s="308"/>
      <c r="G419" s="308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  <c r="R419" s="308"/>
      <c r="S419" s="308"/>
      <c r="T419" s="308"/>
      <c r="U419" s="308"/>
      <c r="V419" s="308"/>
      <c r="W419" s="308"/>
      <c r="X419" s="308"/>
      <c r="Y419" s="308"/>
      <c r="Z419" s="308"/>
    </row>
    <row r="420">
      <c r="A420" s="308"/>
      <c r="B420" s="308"/>
      <c r="C420" s="308"/>
      <c r="D420" s="308"/>
      <c r="E420" s="308"/>
      <c r="F420" s="308"/>
      <c r="G420" s="308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  <c r="R420" s="308"/>
      <c r="S420" s="308"/>
      <c r="T420" s="308"/>
      <c r="U420" s="308"/>
      <c r="V420" s="308"/>
      <c r="W420" s="308"/>
      <c r="X420" s="308"/>
      <c r="Y420" s="308"/>
      <c r="Z420" s="308"/>
    </row>
    <row r="421">
      <c r="A421" s="308"/>
      <c r="B421" s="308"/>
      <c r="C421" s="308"/>
      <c r="D421" s="308"/>
      <c r="E421" s="308"/>
      <c r="F421" s="308"/>
      <c r="G421" s="308"/>
      <c r="H421" s="308"/>
      <c r="I421" s="308"/>
      <c r="J421" s="308"/>
      <c r="K421" s="308"/>
      <c r="L421" s="308"/>
      <c r="M421" s="308"/>
      <c r="N421" s="308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  <c r="Z421" s="308"/>
    </row>
    <row r="422">
      <c r="A422" s="308"/>
      <c r="B422" s="308"/>
      <c r="C422" s="308"/>
      <c r="D422" s="308"/>
      <c r="E422" s="308"/>
      <c r="F422" s="308"/>
      <c r="G422" s="308"/>
      <c r="H422" s="308"/>
      <c r="I422" s="308"/>
      <c r="J422" s="308"/>
      <c r="K422" s="308"/>
      <c r="L422" s="308"/>
      <c r="M422" s="308"/>
      <c r="N422" s="308"/>
      <c r="O422" s="308"/>
      <c r="P422" s="308"/>
      <c r="Q422" s="308"/>
      <c r="R422" s="308"/>
      <c r="S422" s="308"/>
      <c r="T422" s="308"/>
      <c r="U422" s="308"/>
      <c r="V422" s="308"/>
      <c r="W422" s="308"/>
      <c r="X422" s="308"/>
      <c r="Y422" s="308"/>
      <c r="Z422" s="308"/>
    </row>
    <row r="423">
      <c r="A423" s="308"/>
      <c r="B423" s="308"/>
      <c r="C423" s="308"/>
      <c r="D423" s="308"/>
      <c r="E423" s="308"/>
      <c r="F423" s="308"/>
      <c r="G423" s="308"/>
      <c r="H423" s="308"/>
      <c r="I423" s="308"/>
      <c r="J423" s="308"/>
      <c r="K423" s="308"/>
      <c r="L423" s="308"/>
      <c r="M423" s="308"/>
      <c r="N423" s="308"/>
      <c r="O423" s="308"/>
      <c r="P423" s="308"/>
      <c r="Q423" s="308"/>
      <c r="R423" s="308"/>
      <c r="S423" s="308"/>
      <c r="T423" s="308"/>
      <c r="U423" s="308"/>
      <c r="V423" s="308"/>
      <c r="W423" s="308"/>
      <c r="X423" s="308"/>
      <c r="Y423" s="308"/>
      <c r="Z423" s="308"/>
    </row>
    <row r="424">
      <c r="A424" s="308"/>
      <c r="B424" s="308"/>
      <c r="C424" s="308"/>
      <c r="D424" s="308"/>
      <c r="E424" s="308"/>
      <c r="F424" s="308"/>
      <c r="G424" s="308"/>
      <c r="H424" s="308"/>
      <c r="I424" s="308"/>
      <c r="J424" s="308"/>
      <c r="K424" s="308"/>
      <c r="L424" s="308"/>
      <c r="M424" s="308"/>
      <c r="N424" s="308"/>
      <c r="O424" s="308"/>
      <c r="P424" s="308"/>
      <c r="Q424" s="308"/>
      <c r="R424" s="308"/>
      <c r="S424" s="308"/>
      <c r="T424" s="308"/>
      <c r="U424" s="308"/>
      <c r="V424" s="308"/>
      <c r="W424" s="308"/>
      <c r="X424" s="308"/>
      <c r="Y424" s="308"/>
      <c r="Z424" s="308"/>
    </row>
    <row r="425">
      <c r="A425" s="308"/>
      <c r="B425" s="308"/>
      <c r="C425" s="308"/>
      <c r="D425" s="308"/>
      <c r="E425" s="308"/>
      <c r="F425" s="308"/>
      <c r="G425" s="308"/>
      <c r="H425" s="308"/>
      <c r="I425" s="308"/>
      <c r="J425" s="308"/>
      <c r="K425" s="308"/>
      <c r="L425" s="308"/>
      <c r="M425" s="308"/>
      <c r="N425" s="308"/>
      <c r="O425" s="308"/>
      <c r="P425" s="308"/>
      <c r="Q425" s="308"/>
      <c r="R425" s="308"/>
      <c r="S425" s="308"/>
      <c r="T425" s="308"/>
      <c r="U425" s="308"/>
      <c r="V425" s="308"/>
      <c r="W425" s="308"/>
      <c r="X425" s="308"/>
      <c r="Y425" s="308"/>
      <c r="Z425" s="308"/>
    </row>
    <row r="426">
      <c r="A426" s="308"/>
      <c r="B426" s="308"/>
      <c r="C426" s="308"/>
      <c r="D426" s="308"/>
      <c r="E426" s="308"/>
      <c r="F426" s="308"/>
      <c r="G426" s="308"/>
      <c r="H426" s="308"/>
      <c r="I426" s="308"/>
      <c r="J426" s="308"/>
      <c r="K426" s="308"/>
      <c r="L426" s="308"/>
      <c r="M426" s="308"/>
      <c r="N426" s="308"/>
      <c r="O426" s="308"/>
      <c r="P426" s="308"/>
      <c r="Q426" s="308"/>
      <c r="R426" s="308"/>
      <c r="S426" s="308"/>
      <c r="T426" s="308"/>
      <c r="U426" s="308"/>
      <c r="V426" s="308"/>
      <c r="W426" s="308"/>
      <c r="X426" s="308"/>
      <c r="Y426" s="308"/>
      <c r="Z426" s="308"/>
    </row>
    <row r="427">
      <c r="A427" s="308"/>
      <c r="B427" s="308"/>
      <c r="C427" s="308"/>
      <c r="D427" s="308"/>
      <c r="E427" s="308"/>
      <c r="F427" s="308"/>
      <c r="G427" s="308"/>
      <c r="H427" s="308"/>
      <c r="I427" s="308"/>
      <c r="J427" s="308"/>
      <c r="K427" s="308"/>
      <c r="L427" s="308"/>
      <c r="M427" s="308"/>
      <c r="N427" s="308"/>
      <c r="O427" s="308"/>
      <c r="P427" s="308"/>
      <c r="Q427" s="308"/>
      <c r="R427" s="308"/>
      <c r="S427" s="308"/>
      <c r="T427" s="308"/>
      <c r="U427" s="308"/>
      <c r="V427" s="308"/>
      <c r="W427" s="308"/>
      <c r="X427" s="308"/>
      <c r="Y427" s="308"/>
      <c r="Z427" s="308"/>
    </row>
    <row r="428">
      <c r="A428" s="308"/>
      <c r="B428" s="308"/>
      <c r="C428" s="308"/>
      <c r="D428" s="308"/>
      <c r="E428" s="308"/>
      <c r="F428" s="308"/>
      <c r="G428" s="308"/>
      <c r="H428" s="308"/>
      <c r="I428" s="308"/>
      <c r="J428" s="308"/>
      <c r="K428" s="308"/>
      <c r="L428" s="308"/>
      <c r="M428" s="308"/>
      <c r="N428" s="308"/>
      <c r="O428" s="308"/>
      <c r="P428" s="308"/>
      <c r="Q428" s="308"/>
      <c r="R428" s="308"/>
      <c r="S428" s="308"/>
      <c r="T428" s="308"/>
      <c r="U428" s="308"/>
      <c r="V428" s="308"/>
      <c r="W428" s="308"/>
      <c r="X428" s="308"/>
      <c r="Y428" s="308"/>
      <c r="Z428" s="308"/>
    </row>
    <row r="429">
      <c r="A429" s="308"/>
      <c r="B429" s="308"/>
      <c r="C429" s="308"/>
      <c r="D429" s="308"/>
      <c r="E429" s="308"/>
      <c r="F429" s="308"/>
      <c r="G429" s="308"/>
      <c r="H429" s="308"/>
      <c r="I429" s="308"/>
      <c r="J429" s="308"/>
      <c r="K429" s="308"/>
      <c r="L429" s="308"/>
      <c r="M429" s="308"/>
      <c r="N429" s="308"/>
      <c r="O429" s="308"/>
      <c r="P429" s="308"/>
      <c r="Q429" s="308"/>
      <c r="R429" s="308"/>
      <c r="S429" s="308"/>
      <c r="T429" s="308"/>
      <c r="U429" s="308"/>
      <c r="V429" s="308"/>
      <c r="W429" s="308"/>
      <c r="X429" s="308"/>
      <c r="Y429" s="308"/>
      <c r="Z429" s="308"/>
    </row>
    <row r="430">
      <c r="A430" s="308"/>
      <c r="B430" s="308"/>
      <c r="C430" s="308"/>
      <c r="D430" s="308"/>
      <c r="E430" s="308"/>
      <c r="F430" s="308"/>
      <c r="G430" s="308"/>
      <c r="H430" s="308"/>
      <c r="I430" s="308"/>
      <c r="J430" s="308"/>
      <c r="K430" s="308"/>
      <c r="L430" s="308"/>
      <c r="M430" s="308"/>
      <c r="N430" s="308"/>
      <c r="O430" s="308"/>
      <c r="P430" s="308"/>
      <c r="Q430" s="308"/>
      <c r="R430" s="308"/>
      <c r="S430" s="308"/>
      <c r="T430" s="308"/>
      <c r="U430" s="308"/>
      <c r="V430" s="308"/>
      <c r="W430" s="308"/>
      <c r="X430" s="308"/>
      <c r="Y430" s="308"/>
      <c r="Z430" s="308"/>
    </row>
    <row r="431">
      <c r="A431" s="308"/>
      <c r="B431" s="308"/>
      <c r="C431" s="308"/>
      <c r="D431" s="308"/>
      <c r="E431" s="308"/>
      <c r="F431" s="308"/>
      <c r="G431" s="308"/>
      <c r="H431" s="308"/>
      <c r="I431" s="308"/>
      <c r="J431" s="308"/>
      <c r="K431" s="308"/>
      <c r="L431" s="308"/>
      <c r="M431" s="308"/>
      <c r="N431" s="308"/>
      <c r="O431" s="308"/>
      <c r="P431" s="308"/>
      <c r="Q431" s="308"/>
      <c r="R431" s="308"/>
      <c r="S431" s="308"/>
      <c r="T431" s="308"/>
      <c r="U431" s="308"/>
      <c r="V431" s="308"/>
      <c r="W431" s="308"/>
      <c r="X431" s="308"/>
      <c r="Y431" s="308"/>
      <c r="Z431" s="308"/>
    </row>
    <row r="432">
      <c r="A432" s="308"/>
      <c r="B432" s="308"/>
      <c r="C432" s="308"/>
      <c r="D432" s="308"/>
      <c r="E432" s="308"/>
      <c r="F432" s="308"/>
      <c r="G432" s="308"/>
      <c r="H432" s="308"/>
      <c r="I432" s="308"/>
      <c r="J432" s="308"/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  <c r="Z432" s="308"/>
    </row>
    <row r="433">
      <c r="A433" s="308"/>
      <c r="B433" s="308"/>
      <c r="C433" s="308"/>
      <c r="D433" s="308"/>
      <c r="E433" s="308"/>
      <c r="F433" s="308"/>
      <c r="G433" s="308"/>
      <c r="H433" s="308"/>
      <c r="I433" s="308"/>
      <c r="J433" s="308"/>
      <c r="K433" s="308"/>
      <c r="L433" s="308"/>
      <c r="M433" s="308"/>
      <c r="N433" s="308"/>
      <c r="O433" s="308"/>
      <c r="P433" s="308"/>
      <c r="Q433" s="308"/>
      <c r="R433" s="308"/>
      <c r="S433" s="308"/>
      <c r="T433" s="308"/>
      <c r="U433" s="308"/>
      <c r="V433" s="308"/>
      <c r="W433" s="308"/>
      <c r="X433" s="308"/>
      <c r="Y433" s="308"/>
      <c r="Z433" s="308"/>
    </row>
    <row r="434">
      <c r="A434" s="308"/>
      <c r="B434" s="308"/>
      <c r="C434" s="308"/>
      <c r="D434" s="308"/>
      <c r="E434" s="308"/>
      <c r="F434" s="308"/>
      <c r="G434" s="308"/>
      <c r="H434" s="308"/>
      <c r="I434" s="308"/>
      <c r="J434" s="308"/>
      <c r="K434" s="308"/>
      <c r="L434" s="308"/>
      <c r="M434" s="308"/>
      <c r="N434" s="308"/>
      <c r="O434" s="308"/>
      <c r="P434" s="308"/>
      <c r="Q434" s="308"/>
      <c r="R434" s="308"/>
      <c r="S434" s="308"/>
      <c r="T434" s="308"/>
      <c r="U434" s="308"/>
      <c r="V434" s="308"/>
      <c r="W434" s="308"/>
      <c r="X434" s="308"/>
      <c r="Y434" s="308"/>
      <c r="Z434" s="308"/>
    </row>
    <row r="435">
      <c r="A435" s="308"/>
      <c r="B435" s="308"/>
      <c r="C435" s="308"/>
      <c r="D435" s="308"/>
      <c r="E435" s="308"/>
      <c r="F435" s="308"/>
      <c r="G435" s="308"/>
      <c r="H435" s="308"/>
      <c r="I435" s="308"/>
      <c r="J435" s="308"/>
      <c r="K435" s="308"/>
      <c r="L435" s="308"/>
      <c r="M435" s="308"/>
      <c r="N435" s="308"/>
      <c r="O435" s="308"/>
      <c r="P435" s="308"/>
      <c r="Q435" s="308"/>
      <c r="R435" s="308"/>
      <c r="S435" s="308"/>
      <c r="T435" s="308"/>
      <c r="U435" s="308"/>
      <c r="V435" s="308"/>
      <c r="W435" s="308"/>
      <c r="X435" s="308"/>
      <c r="Y435" s="308"/>
      <c r="Z435" s="308"/>
    </row>
    <row r="436">
      <c r="A436" s="308"/>
      <c r="B436" s="308"/>
      <c r="C436" s="308"/>
      <c r="D436" s="308"/>
      <c r="E436" s="308"/>
      <c r="F436" s="308"/>
      <c r="G436" s="308"/>
      <c r="H436" s="308"/>
      <c r="I436" s="308"/>
      <c r="J436" s="308"/>
      <c r="K436" s="308"/>
      <c r="L436" s="308"/>
      <c r="M436" s="308"/>
      <c r="N436" s="308"/>
      <c r="O436" s="308"/>
      <c r="P436" s="308"/>
      <c r="Q436" s="308"/>
      <c r="R436" s="308"/>
      <c r="S436" s="308"/>
      <c r="T436" s="308"/>
      <c r="U436" s="308"/>
      <c r="V436" s="308"/>
      <c r="W436" s="308"/>
      <c r="X436" s="308"/>
      <c r="Y436" s="308"/>
      <c r="Z436" s="308"/>
    </row>
    <row r="437">
      <c r="A437" s="308"/>
      <c r="B437" s="308"/>
      <c r="C437" s="308"/>
      <c r="D437" s="308"/>
      <c r="E437" s="308"/>
      <c r="F437" s="308"/>
      <c r="G437" s="308"/>
      <c r="H437" s="308"/>
      <c r="I437" s="308"/>
      <c r="J437" s="308"/>
      <c r="K437" s="308"/>
      <c r="L437" s="308"/>
      <c r="M437" s="308"/>
      <c r="N437" s="308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  <c r="Z437" s="308"/>
    </row>
    <row r="438">
      <c r="A438" s="308"/>
      <c r="B438" s="308"/>
      <c r="C438" s="308"/>
      <c r="D438" s="308"/>
      <c r="E438" s="308"/>
      <c r="F438" s="308"/>
      <c r="G438" s="308"/>
      <c r="H438" s="308"/>
      <c r="I438" s="308"/>
      <c r="J438" s="308"/>
      <c r="K438" s="308"/>
      <c r="L438" s="308"/>
      <c r="M438" s="308"/>
      <c r="N438" s="308"/>
      <c r="O438" s="308"/>
      <c r="P438" s="308"/>
      <c r="Q438" s="308"/>
      <c r="R438" s="308"/>
      <c r="S438" s="308"/>
      <c r="T438" s="308"/>
      <c r="U438" s="308"/>
      <c r="V438" s="308"/>
      <c r="W438" s="308"/>
      <c r="X438" s="308"/>
      <c r="Y438" s="308"/>
      <c r="Z438" s="308"/>
    </row>
    <row r="439">
      <c r="A439" s="308"/>
      <c r="B439" s="308"/>
      <c r="C439" s="308"/>
      <c r="D439" s="308"/>
      <c r="E439" s="308"/>
      <c r="F439" s="308"/>
      <c r="G439" s="308"/>
      <c r="H439" s="308"/>
      <c r="I439" s="308"/>
      <c r="J439" s="308"/>
      <c r="K439" s="308"/>
      <c r="L439" s="308"/>
      <c r="M439" s="308"/>
      <c r="N439" s="308"/>
      <c r="O439" s="308"/>
      <c r="P439" s="308"/>
      <c r="Q439" s="308"/>
      <c r="R439" s="308"/>
      <c r="S439" s="308"/>
      <c r="T439" s="308"/>
      <c r="U439" s="308"/>
      <c r="V439" s="308"/>
      <c r="W439" s="308"/>
      <c r="X439" s="308"/>
      <c r="Y439" s="308"/>
      <c r="Z439" s="308"/>
    </row>
    <row r="440">
      <c r="A440" s="308"/>
      <c r="B440" s="308"/>
      <c r="C440" s="308"/>
      <c r="D440" s="308"/>
      <c r="E440" s="308"/>
      <c r="F440" s="308"/>
      <c r="G440" s="308"/>
      <c r="H440" s="308"/>
      <c r="I440" s="308"/>
      <c r="J440" s="308"/>
      <c r="K440" s="308"/>
      <c r="L440" s="308"/>
      <c r="M440" s="308"/>
      <c r="N440" s="308"/>
      <c r="O440" s="308"/>
      <c r="P440" s="308"/>
      <c r="Q440" s="308"/>
      <c r="R440" s="308"/>
      <c r="S440" s="308"/>
      <c r="T440" s="308"/>
      <c r="U440" s="308"/>
      <c r="V440" s="308"/>
      <c r="W440" s="308"/>
      <c r="X440" s="308"/>
      <c r="Y440" s="308"/>
      <c r="Z440" s="308"/>
    </row>
    <row r="441">
      <c r="A441" s="308"/>
      <c r="B441" s="308"/>
      <c r="C441" s="308"/>
      <c r="D441" s="308"/>
      <c r="E441" s="308"/>
      <c r="F441" s="308"/>
      <c r="G441" s="308"/>
      <c r="H441" s="308"/>
      <c r="I441" s="308"/>
      <c r="J441" s="308"/>
      <c r="K441" s="308"/>
      <c r="L441" s="308"/>
      <c r="M441" s="308"/>
      <c r="N441" s="308"/>
      <c r="O441" s="308"/>
      <c r="P441" s="308"/>
      <c r="Q441" s="308"/>
      <c r="R441" s="308"/>
      <c r="S441" s="308"/>
      <c r="T441" s="308"/>
      <c r="U441" s="308"/>
      <c r="V441" s="308"/>
      <c r="W441" s="308"/>
      <c r="X441" s="308"/>
      <c r="Y441" s="308"/>
      <c r="Z441" s="308"/>
    </row>
    <row r="442">
      <c r="A442" s="308"/>
      <c r="B442" s="308"/>
      <c r="C442" s="308"/>
      <c r="D442" s="308"/>
      <c r="E442" s="308"/>
      <c r="F442" s="308"/>
      <c r="G442" s="308"/>
      <c r="H442" s="308"/>
      <c r="I442" s="308"/>
      <c r="J442" s="308"/>
      <c r="K442" s="308"/>
      <c r="L442" s="308"/>
      <c r="M442" s="308"/>
      <c r="N442" s="308"/>
      <c r="O442" s="308"/>
      <c r="P442" s="308"/>
      <c r="Q442" s="308"/>
      <c r="R442" s="308"/>
      <c r="S442" s="308"/>
      <c r="T442" s="308"/>
      <c r="U442" s="308"/>
      <c r="V442" s="308"/>
      <c r="W442" s="308"/>
      <c r="X442" s="308"/>
      <c r="Y442" s="308"/>
      <c r="Z442" s="308"/>
    </row>
    <row r="443">
      <c r="A443" s="308"/>
      <c r="B443" s="308"/>
      <c r="C443" s="308"/>
      <c r="D443" s="308"/>
      <c r="E443" s="308"/>
      <c r="F443" s="308"/>
      <c r="G443" s="308"/>
      <c r="H443" s="308"/>
      <c r="I443" s="308"/>
      <c r="J443" s="308"/>
      <c r="K443" s="308"/>
      <c r="L443" s="308"/>
      <c r="M443" s="308"/>
      <c r="N443" s="308"/>
      <c r="O443" s="308"/>
      <c r="P443" s="308"/>
      <c r="Q443" s="308"/>
      <c r="R443" s="308"/>
      <c r="S443" s="308"/>
      <c r="T443" s="308"/>
      <c r="U443" s="308"/>
      <c r="V443" s="308"/>
      <c r="W443" s="308"/>
      <c r="X443" s="308"/>
      <c r="Y443" s="308"/>
      <c r="Z443" s="308"/>
    </row>
    <row r="444">
      <c r="A444" s="308"/>
      <c r="B444" s="308"/>
      <c r="C444" s="308"/>
      <c r="D444" s="308"/>
      <c r="E444" s="308"/>
      <c r="F444" s="308"/>
      <c r="G444" s="308"/>
      <c r="H444" s="308"/>
      <c r="I444" s="308"/>
      <c r="J444" s="308"/>
      <c r="K444" s="308"/>
      <c r="L444" s="308"/>
      <c r="M444" s="308"/>
      <c r="N444" s="308"/>
      <c r="O444" s="308"/>
      <c r="P444" s="308"/>
      <c r="Q444" s="308"/>
      <c r="R444" s="308"/>
      <c r="S444" s="308"/>
      <c r="T444" s="308"/>
      <c r="U444" s="308"/>
      <c r="V444" s="308"/>
      <c r="W444" s="308"/>
      <c r="X444" s="308"/>
      <c r="Y444" s="308"/>
      <c r="Z444" s="308"/>
    </row>
    <row r="445">
      <c r="A445" s="308"/>
      <c r="B445" s="308"/>
      <c r="C445" s="308"/>
      <c r="D445" s="308"/>
      <c r="E445" s="308"/>
      <c r="F445" s="308"/>
      <c r="G445" s="308"/>
      <c r="H445" s="308"/>
      <c r="I445" s="308"/>
      <c r="J445" s="308"/>
      <c r="K445" s="308"/>
      <c r="L445" s="308"/>
      <c r="M445" s="308"/>
      <c r="N445" s="308"/>
      <c r="O445" s="308"/>
      <c r="P445" s="308"/>
      <c r="Q445" s="308"/>
      <c r="R445" s="308"/>
      <c r="S445" s="308"/>
      <c r="T445" s="308"/>
      <c r="U445" s="308"/>
      <c r="V445" s="308"/>
      <c r="W445" s="308"/>
      <c r="X445" s="308"/>
      <c r="Y445" s="308"/>
      <c r="Z445" s="308"/>
    </row>
    <row r="446">
      <c r="A446" s="308"/>
      <c r="B446" s="308"/>
      <c r="C446" s="308"/>
      <c r="D446" s="308"/>
      <c r="E446" s="308"/>
      <c r="F446" s="308"/>
      <c r="G446" s="308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  <c r="R446" s="308"/>
      <c r="S446" s="308"/>
      <c r="T446" s="308"/>
      <c r="U446" s="308"/>
      <c r="V446" s="308"/>
      <c r="W446" s="308"/>
      <c r="X446" s="308"/>
      <c r="Y446" s="308"/>
      <c r="Z446" s="308"/>
    </row>
    <row r="447">
      <c r="A447" s="308"/>
      <c r="B447" s="308"/>
      <c r="C447" s="308"/>
      <c r="D447" s="308"/>
      <c r="E447" s="308"/>
      <c r="F447" s="308"/>
      <c r="G447" s="308"/>
      <c r="H447" s="308"/>
      <c r="I447" s="308"/>
      <c r="J447" s="308"/>
      <c r="K447" s="308"/>
      <c r="L447" s="308"/>
      <c r="M447" s="308"/>
      <c r="N447" s="308"/>
      <c r="O447" s="308"/>
      <c r="P447" s="308"/>
      <c r="Q447" s="308"/>
      <c r="R447" s="308"/>
      <c r="S447" s="308"/>
      <c r="T447" s="308"/>
      <c r="U447" s="308"/>
      <c r="V447" s="308"/>
      <c r="W447" s="308"/>
      <c r="X447" s="308"/>
      <c r="Y447" s="308"/>
      <c r="Z447" s="308"/>
    </row>
    <row r="448">
      <c r="A448" s="308"/>
      <c r="B448" s="308"/>
      <c r="C448" s="308"/>
      <c r="D448" s="308"/>
      <c r="E448" s="308"/>
      <c r="F448" s="308"/>
      <c r="G448" s="308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  <c r="R448" s="308"/>
      <c r="S448" s="308"/>
      <c r="T448" s="308"/>
      <c r="U448" s="308"/>
      <c r="V448" s="308"/>
      <c r="W448" s="308"/>
      <c r="X448" s="308"/>
      <c r="Y448" s="308"/>
      <c r="Z448" s="308"/>
    </row>
    <row r="449">
      <c r="A449" s="308"/>
      <c r="B449" s="308"/>
      <c r="C449" s="308"/>
      <c r="D449" s="308"/>
      <c r="E449" s="308"/>
      <c r="F449" s="308"/>
      <c r="G449" s="308"/>
      <c r="H449" s="308"/>
      <c r="I449" s="308"/>
      <c r="J449" s="308"/>
      <c r="K449" s="308"/>
      <c r="L449" s="308"/>
      <c r="M449" s="308"/>
      <c r="N449" s="308"/>
      <c r="O449" s="308"/>
      <c r="P449" s="308"/>
      <c r="Q449" s="308"/>
      <c r="R449" s="308"/>
      <c r="S449" s="308"/>
      <c r="T449" s="308"/>
      <c r="U449" s="308"/>
      <c r="V449" s="308"/>
      <c r="W449" s="308"/>
      <c r="X449" s="308"/>
      <c r="Y449" s="308"/>
      <c r="Z449" s="308"/>
    </row>
    <row r="450">
      <c r="A450" s="308"/>
      <c r="B450" s="308"/>
      <c r="C450" s="308"/>
      <c r="D450" s="308"/>
      <c r="E450" s="308"/>
      <c r="F450" s="308"/>
      <c r="G450" s="308"/>
      <c r="H450" s="308"/>
      <c r="I450" s="308"/>
      <c r="J450" s="308"/>
      <c r="K450" s="308"/>
      <c r="L450" s="308"/>
      <c r="M450" s="308"/>
      <c r="N450" s="308"/>
      <c r="O450" s="308"/>
      <c r="P450" s="308"/>
      <c r="Q450" s="308"/>
      <c r="R450" s="308"/>
      <c r="S450" s="308"/>
      <c r="T450" s="308"/>
      <c r="U450" s="308"/>
      <c r="V450" s="308"/>
      <c r="W450" s="308"/>
      <c r="X450" s="308"/>
      <c r="Y450" s="308"/>
      <c r="Z450" s="308"/>
    </row>
    <row r="451">
      <c r="A451" s="308"/>
      <c r="B451" s="308"/>
      <c r="C451" s="308"/>
      <c r="D451" s="308"/>
      <c r="E451" s="308"/>
      <c r="F451" s="308"/>
      <c r="G451" s="308"/>
      <c r="H451" s="308"/>
      <c r="I451" s="308"/>
      <c r="J451" s="308"/>
      <c r="K451" s="308"/>
      <c r="L451" s="308"/>
      <c r="M451" s="308"/>
      <c r="N451" s="308"/>
      <c r="O451" s="308"/>
      <c r="P451" s="308"/>
      <c r="Q451" s="308"/>
      <c r="R451" s="308"/>
      <c r="S451" s="308"/>
      <c r="T451" s="308"/>
      <c r="U451" s="308"/>
      <c r="V451" s="308"/>
      <c r="W451" s="308"/>
      <c r="X451" s="308"/>
      <c r="Y451" s="308"/>
      <c r="Z451" s="308"/>
    </row>
    <row r="452">
      <c r="A452" s="308"/>
      <c r="B452" s="308"/>
      <c r="C452" s="308"/>
      <c r="D452" s="308"/>
      <c r="E452" s="308"/>
      <c r="F452" s="308"/>
      <c r="G452" s="308"/>
      <c r="H452" s="308"/>
      <c r="I452" s="308"/>
      <c r="J452" s="308"/>
      <c r="K452" s="308"/>
      <c r="L452" s="308"/>
      <c r="M452" s="308"/>
      <c r="N452" s="308"/>
      <c r="O452" s="308"/>
      <c r="P452" s="308"/>
      <c r="Q452" s="308"/>
      <c r="R452" s="308"/>
      <c r="S452" s="308"/>
      <c r="T452" s="308"/>
      <c r="U452" s="308"/>
      <c r="V452" s="308"/>
      <c r="W452" s="308"/>
      <c r="X452" s="308"/>
      <c r="Y452" s="308"/>
      <c r="Z452" s="308"/>
    </row>
    <row r="453">
      <c r="A453" s="308"/>
      <c r="B453" s="308"/>
      <c r="C453" s="308"/>
      <c r="D453" s="308"/>
      <c r="E453" s="308"/>
      <c r="F453" s="308"/>
      <c r="G453" s="308"/>
      <c r="H453" s="308"/>
      <c r="I453" s="308"/>
      <c r="J453" s="308"/>
      <c r="K453" s="308"/>
      <c r="L453" s="308"/>
      <c r="M453" s="308"/>
      <c r="N453" s="308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  <c r="Z453" s="308"/>
    </row>
    <row r="454">
      <c r="A454" s="308"/>
      <c r="B454" s="308"/>
      <c r="C454" s="308"/>
      <c r="D454" s="308"/>
      <c r="E454" s="308"/>
      <c r="F454" s="308"/>
      <c r="G454" s="308"/>
      <c r="H454" s="308"/>
      <c r="I454" s="308"/>
      <c r="J454" s="308"/>
      <c r="K454" s="308"/>
      <c r="L454" s="308"/>
      <c r="M454" s="308"/>
      <c r="N454" s="308"/>
      <c r="O454" s="308"/>
      <c r="P454" s="308"/>
      <c r="Q454" s="308"/>
      <c r="R454" s="308"/>
      <c r="S454" s="308"/>
      <c r="T454" s="308"/>
      <c r="U454" s="308"/>
      <c r="V454" s="308"/>
      <c r="W454" s="308"/>
      <c r="X454" s="308"/>
      <c r="Y454" s="308"/>
      <c r="Z454" s="308"/>
    </row>
    <row r="455">
      <c r="A455" s="308"/>
      <c r="B455" s="308"/>
      <c r="C455" s="308"/>
      <c r="D455" s="308"/>
      <c r="E455" s="308"/>
      <c r="F455" s="308"/>
      <c r="G455" s="308"/>
      <c r="H455" s="308"/>
      <c r="I455" s="308"/>
      <c r="J455" s="308"/>
      <c r="K455" s="308"/>
      <c r="L455" s="308"/>
      <c r="M455" s="308"/>
      <c r="N455" s="308"/>
      <c r="O455" s="308"/>
      <c r="P455" s="308"/>
      <c r="Q455" s="308"/>
      <c r="R455" s="308"/>
      <c r="S455" s="308"/>
      <c r="T455" s="308"/>
      <c r="U455" s="308"/>
      <c r="V455" s="308"/>
      <c r="W455" s="308"/>
      <c r="X455" s="308"/>
      <c r="Y455" s="308"/>
      <c r="Z455" s="308"/>
    </row>
    <row r="456">
      <c r="A456" s="308"/>
      <c r="B456" s="308"/>
      <c r="C456" s="308"/>
      <c r="D456" s="308"/>
      <c r="E456" s="308"/>
      <c r="F456" s="308"/>
      <c r="G456" s="308"/>
      <c r="H456" s="308"/>
      <c r="I456" s="308"/>
      <c r="J456" s="308"/>
      <c r="K456" s="308"/>
      <c r="L456" s="308"/>
      <c r="M456" s="308"/>
      <c r="N456" s="308"/>
      <c r="O456" s="308"/>
      <c r="P456" s="308"/>
      <c r="Q456" s="308"/>
      <c r="R456" s="308"/>
      <c r="S456" s="308"/>
      <c r="T456" s="308"/>
      <c r="U456" s="308"/>
      <c r="V456" s="308"/>
      <c r="W456" s="308"/>
      <c r="X456" s="308"/>
      <c r="Y456" s="308"/>
      <c r="Z456" s="308"/>
    </row>
    <row r="457">
      <c r="A457" s="308"/>
      <c r="B457" s="308"/>
      <c r="C457" s="308"/>
      <c r="D457" s="308"/>
      <c r="E457" s="308"/>
      <c r="F457" s="308"/>
      <c r="G457" s="308"/>
      <c r="H457" s="308"/>
      <c r="I457" s="308"/>
      <c r="J457" s="308"/>
      <c r="K457" s="308"/>
      <c r="L457" s="308"/>
      <c r="M457" s="308"/>
      <c r="N457" s="308"/>
      <c r="O457" s="308"/>
      <c r="P457" s="308"/>
      <c r="Q457" s="308"/>
      <c r="R457" s="308"/>
      <c r="S457" s="308"/>
      <c r="T457" s="308"/>
      <c r="U457" s="308"/>
      <c r="V457" s="308"/>
      <c r="W457" s="308"/>
      <c r="X457" s="308"/>
      <c r="Y457" s="308"/>
      <c r="Z457" s="308"/>
    </row>
    <row r="458">
      <c r="A458" s="308"/>
      <c r="B458" s="308"/>
      <c r="C458" s="308"/>
      <c r="D458" s="308"/>
      <c r="E458" s="308"/>
      <c r="F458" s="308"/>
      <c r="G458" s="308"/>
      <c r="H458" s="308"/>
      <c r="I458" s="308"/>
      <c r="J458" s="308"/>
      <c r="K458" s="308"/>
      <c r="L458" s="308"/>
      <c r="M458" s="308"/>
      <c r="N458" s="308"/>
      <c r="O458" s="308"/>
      <c r="P458" s="308"/>
      <c r="Q458" s="308"/>
      <c r="R458" s="308"/>
      <c r="S458" s="308"/>
      <c r="T458" s="308"/>
      <c r="U458" s="308"/>
      <c r="V458" s="308"/>
      <c r="W458" s="308"/>
      <c r="X458" s="308"/>
      <c r="Y458" s="308"/>
      <c r="Z458" s="308"/>
    </row>
    <row r="459">
      <c r="A459" s="308"/>
      <c r="B459" s="308"/>
      <c r="C459" s="308"/>
      <c r="D459" s="308"/>
      <c r="E459" s="308"/>
      <c r="F459" s="308"/>
      <c r="G459" s="308"/>
      <c r="H459" s="308"/>
      <c r="I459" s="308"/>
      <c r="J459" s="308"/>
      <c r="K459" s="308"/>
      <c r="L459" s="308"/>
      <c r="M459" s="308"/>
      <c r="N459" s="308"/>
      <c r="O459" s="308"/>
      <c r="P459" s="308"/>
      <c r="Q459" s="308"/>
      <c r="R459" s="308"/>
      <c r="S459" s="308"/>
      <c r="T459" s="308"/>
      <c r="U459" s="308"/>
      <c r="V459" s="308"/>
      <c r="W459" s="308"/>
      <c r="X459" s="308"/>
      <c r="Y459" s="308"/>
      <c r="Z459" s="308"/>
    </row>
    <row r="460">
      <c r="A460" s="308"/>
      <c r="B460" s="308"/>
      <c r="C460" s="308"/>
      <c r="D460" s="308"/>
      <c r="E460" s="308"/>
      <c r="F460" s="308"/>
      <c r="G460" s="308"/>
      <c r="H460" s="308"/>
      <c r="I460" s="308"/>
      <c r="J460" s="308"/>
      <c r="K460" s="308"/>
      <c r="L460" s="308"/>
      <c r="M460" s="308"/>
      <c r="N460" s="308"/>
      <c r="O460" s="308"/>
      <c r="P460" s="308"/>
      <c r="Q460" s="308"/>
      <c r="R460" s="308"/>
      <c r="S460" s="308"/>
      <c r="T460" s="308"/>
      <c r="U460" s="308"/>
      <c r="V460" s="308"/>
      <c r="W460" s="308"/>
      <c r="X460" s="308"/>
      <c r="Y460" s="308"/>
      <c r="Z460" s="308"/>
    </row>
    <row r="461">
      <c r="A461" s="308"/>
      <c r="B461" s="308"/>
      <c r="C461" s="308"/>
      <c r="D461" s="308"/>
      <c r="E461" s="308"/>
      <c r="F461" s="308"/>
      <c r="G461" s="308"/>
      <c r="H461" s="308"/>
      <c r="I461" s="308"/>
      <c r="J461" s="308"/>
      <c r="K461" s="308"/>
      <c r="L461" s="308"/>
      <c r="M461" s="308"/>
      <c r="N461" s="308"/>
      <c r="O461" s="308"/>
      <c r="P461" s="308"/>
      <c r="Q461" s="308"/>
      <c r="R461" s="308"/>
      <c r="S461" s="308"/>
      <c r="T461" s="308"/>
      <c r="U461" s="308"/>
      <c r="V461" s="308"/>
      <c r="W461" s="308"/>
      <c r="X461" s="308"/>
      <c r="Y461" s="308"/>
      <c r="Z461" s="308"/>
    </row>
    <row r="462">
      <c r="A462" s="308"/>
      <c r="B462" s="308"/>
      <c r="C462" s="308"/>
      <c r="D462" s="308"/>
      <c r="E462" s="308"/>
      <c r="F462" s="308"/>
      <c r="G462" s="308"/>
      <c r="H462" s="308"/>
      <c r="I462" s="308"/>
      <c r="J462" s="308"/>
      <c r="K462" s="308"/>
      <c r="L462" s="308"/>
      <c r="M462" s="308"/>
      <c r="N462" s="308"/>
      <c r="O462" s="308"/>
      <c r="P462" s="308"/>
      <c r="Q462" s="308"/>
      <c r="R462" s="308"/>
      <c r="S462" s="308"/>
      <c r="T462" s="308"/>
      <c r="U462" s="308"/>
      <c r="V462" s="308"/>
      <c r="W462" s="308"/>
      <c r="X462" s="308"/>
      <c r="Y462" s="308"/>
      <c r="Z462" s="308"/>
    </row>
    <row r="463">
      <c r="A463" s="308"/>
      <c r="B463" s="308"/>
      <c r="C463" s="308"/>
      <c r="D463" s="308"/>
      <c r="E463" s="308"/>
      <c r="F463" s="308"/>
      <c r="G463" s="308"/>
      <c r="H463" s="308"/>
      <c r="I463" s="308"/>
      <c r="J463" s="308"/>
      <c r="K463" s="308"/>
      <c r="L463" s="308"/>
      <c r="M463" s="308"/>
      <c r="N463" s="308"/>
      <c r="O463" s="308"/>
      <c r="P463" s="308"/>
      <c r="Q463" s="308"/>
      <c r="R463" s="308"/>
      <c r="S463" s="308"/>
      <c r="T463" s="308"/>
      <c r="U463" s="308"/>
      <c r="V463" s="308"/>
      <c r="W463" s="308"/>
      <c r="X463" s="308"/>
      <c r="Y463" s="308"/>
      <c r="Z463" s="308"/>
    </row>
    <row r="464">
      <c r="A464" s="308"/>
      <c r="B464" s="308"/>
      <c r="C464" s="308"/>
      <c r="D464" s="308"/>
      <c r="E464" s="308"/>
      <c r="F464" s="308"/>
      <c r="G464" s="308"/>
      <c r="H464" s="308"/>
      <c r="I464" s="308"/>
      <c r="J464" s="308"/>
      <c r="K464" s="308"/>
      <c r="L464" s="308"/>
      <c r="M464" s="308"/>
      <c r="N464" s="308"/>
      <c r="O464" s="308"/>
      <c r="P464" s="308"/>
      <c r="Q464" s="308"/>
      <c r="R464" s="308"/>
      <c r="S464" s="308"/>
      <c r="T464" s="308"/>
      <c r="U464" s="308"/>
      <c r="V464" s="308"/>
      <c r="W464" s="308"/>
      <c r="X464" s="308"/>
      <c r="Y464" s="308"/>
      <c r="Z464" s="308"/>
    </row>
    <row r="465">
      <c r="A465" s="308"/>
      <c r="B465" s="308"/>
      <c r="C465" s="308"/>
      <c r="D465" s="308"/>
      <c r="E465" s="308"/>
      <c r="F465" s="308"/>
      <c r="G465" s="308"/>
      <c r="H465" s="308"/>
      <c r="I465" s="308"/>
      <c r="J465" s="308"/>
      <c r="K465" s="308"/>
      <c r="L465" s="308"/>
      <c r="M465" s="308"/>
      <c r="N465" s="308"/>
      <c r="O465" s="308"/>
      <c r="P465" s="308"/>
      <c r="Q465" s="308"/>
      <c r="R465" s="308"/>
      <c r="S465" s="308"/>
      <c r="T465" s="308"/>
      <c r="U465" s="308"/>
      <c r="V465" s="308"/>
      <c r="W465" s="308"/>
      <c r="X465" s="308"/>
      <c r="Y465" s="308"/>
      <c r="Z465" s="308"/>
    </row>
    <row r="466">
      <c r="A466" s="308"/>
      <c r="B466" s="308"/>
      <c r="C466" s="308"/>
      <c r="D466" s="308"/>
      <c r="E466" s="308"/>
      <c r="F466" s="308"/>
      <c r="G466" s="308"/>
      <c r="H466" s="308"/>
      <c r="I466" s="308"/>
      <c r="J466" s="308"/>
      <c r="K466" s="308"/>
      <c r="L466" s="308"/>
      <c r="M466" s="308"/>
      <c r="N466" s="308"/>
      <c r="O466" s="308"/>
      <c r="P466" s="308"/>
      <c r="Q466" s="308"/>
      <c r="R466" s="308"/>
      <c r="S466" s="308"/>
      <c r="T466" s="308"/>
      <c r="U466" s="308"/>
      <c r="V466" s="308"/>
      <c r="W466" s="308"/>
      <c r="X466" s="308"/>
      <c r="Y466" s="308"/>
      <c r="Z466" s="308"/>
    </row>
    <row r="467">
      <c r="A467" s="308"/>
      <c r="B467" s="308"/>
      <c r="C467" s="308"/>
      <c r="D467" s="308"/>
      <c r="E467" s="308"/>
      <c r="F467" s="308"/>
      <c r="G467" s="308"/>
      <c r="H467" s="308"/>
      <c r="I467" s="308"/>
      <c r="J467" s="308"/>
      <c r="K467" s="308"/>
      <c r="L467" s="308"/>
      <c r="M467" s="308"/>
      <c r="N467" s="308"/>
      <c r="O467" s="308"/>
      <c r="P467" s="308"/>
      <c r="Q467" s="308"/>
      <c r="R467" s="308"/>
      <c r="S467" s="308"/>
      <c r="T467" s="308"/>
      <c r="U467" s="308"/>
      <c r="V467" s="308"/>
      <c r="W467" s="308"/>
      <c r="X467" s="308"/>
      <c r="Y467" s="308"/>
      <c r="Z467" s="308"/>
    </row>
    <row r="468">
      <c r="A468" s="308"/>
      <c r="B468" s="308"/>
      <c r="C468" s="308"/>
      <c r="D468" s="308"/>
      <c r="E468" s="308"/>
      <c r="F468" s="308"/>
      <c r="G468" s="308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  <c r="R468" s="308"/>
      <c r="S468" s="308"/>
      <c r="T468" s="308"/>
      <c r="U468" s="308"/>
      <c r="V468" s="308"/>
      <c r="W468" s="308"/>
      <c r="X468" s="308"/>
      <c r="Y468" s="308"/>
      <c r="Z468" s="308"/>
    </row>
    <row r="469">
      <c r="A469" s="308"/>
      <c r="B469" s="308"/>
      <c r="C469" s="308"/>
      <c r="D469" s="308"/>
      <c r="E469" s="308"/>
      <c r="F469" s="308"/>
      <c r="G469" s="308"/>
      <c r="H469" s="308"/>
      <c r="I469" s="308"/>
      <c r="J469" s="308"/>
      <c r="K469" s="308"/>
      <c r="L469" s="308"/>
      <c r="M469" s="308"/>
      <c r="N469" s="308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  <c r="Z469" s="308"/>
    </row>
    <row r="470">
      <c r="A470" s="308"/>
      <c r="B470" s="308"/>
      <c r="C470" s="308"/>
      <c r="D470" s="308"/>
      <c r="E470" s="308"/>
      <c r="F470" s="308"/>
      <c r="G470" s="308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  <c r="R470" s="308"/>
      <c r="S470" s="308"/>
      <c r="T470" s="308"/>
      <c r="U470" s="308"/>
      <c r="V470" s="308"/>
      <c r="W470" s="308"/>
      <c r="X470" s="308"/>
      <c r="Y470" s="308"/>
      <c r="Z470" s="308"/>
    </row>
    <row r="471">
      <c r="A471" s="308"/>
      <c r="B471" s="308"/>
      <c r="C471" s="308"/>
      <c r="D471" s="308"/>
      <c r="E471" s="308"/>
      <c r="F471" s="308"/>
      <c r="G471" s="308"/>
      <c r="H471" s="308"/>
      <c r="I471" s="308"/>
      <c r="J471" s="308"/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  <c r="Z471" s="308"/>
    </row>
    <row r="472">
      <c r="A472" s="308"/>
      <c r="B472" s="308"/>
      <c r="C472" s="308"/>
      <c r="D472" s="308"/>
      <c r="E472" s="308"/>
      <c r="F472" s="308"/>
      <c r="G472" s="308"/>
      <c r="H472" s="308"/>
      <c r="I472" s="308"/>
      <c r="J472" s="308"/>
      <c r="K472" s="308"/>
      <c r="L472" s="308"/>
      <c r="M472" s="308"/>
      <c r="N472" s="308"/>
      <c r="O472" s="308"/>
      <c r="P472" s="308"/>
      <c r="Q472" s="308"/>
      <c r="R472" s="308"/>
      <c r="S472" s="308"/>
      <c r="T472" s="308"/>
      <c r="U472" s="308"/>
      <c r="V472" s="308"/>
      <c r="W472" s="308"/>
      <c r="X472" s="308"/>
      <c r="Y472" s="308"/>
      <c r="Z472" s="308"/>
    </row>
    <row r="473">
      <c r="A473" s="308"/>
      <c r="B473" s="308"/>
      <c r="C473" s="308"/>
      <c r="D473" s="308"/>
      <c r="E473" s="308"/>
      <c r="F473" s="308"/>
      <c r="G473" s="308"/>
      <c r="H473" s="308"/>
      <c r="I473" s="308"/>
      <c r="J473" s="308"/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  <c r="Z473" s="308"/>
    </row>
    <row r="474">
      <c r="A474" s="308"/>
      <c r="B474" s="308"/>
      <c r="C474" s="308"/>
      <c r="D474" s="308"/>
      <c r="E474" s="308"/>
      <c r="F474" s="308"/>
      <c r="G474" s="308"/>
      <c r="H474" s="308"/>
      <c r="I474" s="308"/>
      <c r="J474" s="308"/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  <c r="Z474" s="308"/>
    </row>
    <row r="475">
      <c r="A475" s="308"/>
      <c r="B475" s="308"/>
      <c r="C475" s="308"/>
      <c r="D475" s="308"/>
      <c r="E475" s="308"/>
      <c r="F475" s="308"/>
      <c r="G475" s="308"/>
      <c r="H475" s="308"/>
      <c r="I475" s="308"/>
      <c r="J475" s="308"/>
      <c r="K475" s="308"/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  <c r="Z475" s="308"/>
    </row>
    <row r="476">
      <c r="A476" s="308"/>
      <c r="B476" s="308"/>
      <c r="C476" s="308"/>
      <c r="D476" s="308"/>
      <c r="E476" s="308"/>
      <c r="F476" s="308"/>
      <c r="G476" s="308"/>
      <c r="H476" s="308"/>
      <c r="I476" s="308"/>
      <c r="J476" s="308"/>
      <c r="K476" s="308"/>
      <c r="L476" s="308"/>
      <c r="M476" s="308"/>
      <c r="N476" s="308"/>
      <c r="O476" s="308"/>
      <c r="P476" s="308"/>
      <c r="Q476" s="308"/>
      <c r="R476" s="308"/>
      <c r="S476" s="308"/>
      <c r="T476" s="308"/>
      <c r="U476" s="308"/>
      <c r="V476" s="308"/>
      <c r="W476" s="308"/>
      <c r="X476" s="308"/>
      <c r="Y476" s="308"/>
      <c r="Z476" s="308"/>
    </row>
    <row r="477">
      <c r="A477" s="308"/>
      <c r="B477" s="308"/>
      <c r="C477" s="308"/>
      <c r="D477" s="308"/>
      <c r="E477" s="308"/>
      <c r="F477" s="308"/>
      <c r="G477" s="308"/>
      <c r="H477" s="308"/>
      <c r="I477" s="308"/>
      <c r="J477" s="308"/>
      <c r="K477" s="308"/>
      <c r="L477" s="308"/>
      <c r="M477" s="308"/>
      <c r="N477" s="308"/>
      <c r="O477" s="308"/>
      <c r="P477" s="308"/>
      <c r="Q477" s="308"/>
      <c r="R477" s="308"/>
      <c r="S477" s="308"/>
      <c r="T477" s="308"/>
      <c r="U477" s="308"/>
      <c r="V477" s="308"/>
      <c r="W477" s="308"/>
      <c r="X477" s="308"/>
      <c r="Y477" s="308"/>
      <c r="Z477" s="308"/>
    </row>
    <row r="478">
      <c r="A478" s="308"/>
      <c r="B478" s="308"/>
      <c r="C478" s="308"/>
      <c r="D478" s="308"/>
      <c r="E478" s="308"/>
      <c r="F478" s="308"/>
      <c r="G478" s="308"/>
      <c r="H478" s="308"/>
      <c r="I478" s="308"/>
      <c r="J478" s="308"/>
      <c r="K478" s="308"/>
      <c r="L478" s="308"/>
      <c r="M478" s="308"/>
      <c r="N478" s="308"/>
      <c r="O478" s="308"/>
      <c r="P478" s="308"/>
      <c r="Q478" s="308"/>
      <c r="R478" s="308"/>
      <c r="S478" s="308"/>
      <c r="T478" s="308"/>
      <c r="U478" s="308"/>
      <c r="V478" s="308"/>
      <c r="W478" s="308"/>
      <c r="X478" s="308"/>
      <c r="Y478" s="308"/>
      <c r="Z478" s="308"/>
    </row>
    <row r="479">
      <c r="A479" s="308"/>
      <c r="B479" s="308"/>
      <c r="C479" s="308"/>
      <c r="D479" s="308"/>
      <c r="E479" s="308"/>
      <c r="F479" s="308"/>
      <c r="G479" s="308"/>
      <c r="H479" s="308"/>
      <c r="I479" s="308"/>
      <c r="J479" s="308"/>
      <c r="K479" s="308"/>
      <c r="L479" s="308"/>
      <c r="M479" s="308"/>
      <c r="N479" s="308"/>
      <c r="O479" s="308"/>
      <c r="P479" s="308"/>
      <c r="Q479" s="308"/>
      <c r="R479" s="308"/>
      <c r="S479" s="308"/>
      <c r="T479" s="308"/>
      <c r="U479" s="308"/>
      <c r="V479" s="308"/>
      <c r="W479" s="308"/>
      <c r="X479" s="308"/>
      <c r="Y479" s="308"/>
      <c r="Z479" s="308"/>
    </row>
    <row r="480">
      <c r="A480" s="308"/>
      <c r="B480" s="308"/>
      <c r="C480" s="308"/>
      <c r="D480" s="308"/>
      <c r="E480" s="308"/>
      <c r="F480" s="308"/>
      <c r="G480" s="308"/>
      <c r="H480" s="308"/>
      <c r="I480" s="308"/>
      <c r="J480" s="308"/>
      <c r="K480" s="308"/>
      <c r="L480" s="308"/>
      <c r="M480" s="308"/>
      <c r="N480" s="308"/>
      <c r="O480" s="308"/>
      <c r="P480" s="308"/>
      <c r="Q480" s="308"/>
      <c r="R480" s="308"/>
      <c r="S480" s="308"/>
      <c r="T480" s="308"/>
      <c r="U480" s="308"/>
      <c r="V480" s="308"/>
      <c r="W480" s="308"/>
      <c r="X480" s="308"/>
      <c r="Y480" s="308"/>
      <c r="Z480" s="308"/>
    </row>
    <row r="481">
      <c r="A481" s="308"/>
      <c r="B481" s="308"/>
      <c r="C481" s="308"/>
      <c r="D481" s="308"/>
      <c r="E481" s="308"/>
      <c r="F481" s="308"/>
      <c r="G481" s="308"/>
      <c r="H481" s="308"/>
      <c r="I481" s="308"/>
      <c r="J481" s="308"/>
      <c r="K481" s="308"/>
      <c r="L481" s="308"/>
      <c r="M481" s="308"/>
      <c r="N481" s="308"/>
      <c r="O481" s="308"/>
      <c r="P481" s="308"/>
      <c r="Q481" s="308"/>
      <c r="R481" s="308"/>
      <c r="S481" s="308"/>
      <c r="T481" s="308"/>
      <c r="U481" s="308"/>
      <c r="V481" s="308"/>
      <c r="W481" s="308"/>
      <c r="X481" s="308"/>
      <c r="Y481" s="308"/>
      <c r="Z481" s="308"/>
    </row>
    <row r="482">
      <c r="A482" s="308"/>
      <c r="B482" s="308"/>
      <c r="C482" s="308"/>
      <c r="D482" s="308"/>
      <c r="E482" s="308"/>
      <c r="F482" s="308"/>
      <c r="G482" s="308"/>
      <c r="H482" s="308"/>
      <c r="I482" s="308"/>
      <c r="J482" s="308"/>
      <c r="K482" s="308"/>
      <c r="L482" s="308"/>
      <c r="M482" s="308"/>
      <c r="N482" s="308"/>
      <c r="O482" s="308"/>
      <c r="P482" s="308"/>
      <c r="Q482" s="308"/>
      <c r="R482" s="308"/>
      <c r="S482" s="308"/>
      <c r="T482" s="308"/>
      <c r="U482" s="308"/>
      <c r="V482" s="308"/>
      <c r="W482" s="308"/>
      <c r="X482" s="308"/>
      <c r="Y482" s="308"/>
      <c r="Z482" s="308"/>
    </row>
    <row r="483">
      <c r="A483" s="308"/>
      <c r="B483" s="308"/>
      <c r="C483" s="308"/>
      <c r="D483" s="308"/>
      <c r="E483" s="308"/>
      <c r="F483" s="308"/>
      <c r="G483" s="308"/>
      <c r="H483" s="308"/>
      <c r="I483" s="308"/>
      <c r="J483" s="308"/>
      <c r="K483" s="308"/>
      <c r="L483" s="308"/>
      <c r="M483" s="308"/>
      <c r="N483" s="308"/>
      <c r="O483" s="308"/>
      <c r="P483" s="308"/>
      <c r="Q483" s="308"/>
      <c r="R483" s="308"/>
      <c r="S483" s="308"/>
      <c r="T483" s="308"/>
      <c r="U483" s="308"/>
      <c r="V483" s="308"/>
      <c r="W483" s="308"/>
      <c r="X483" s="308"/>
      <c r="Y483" s="308"/>
      <c r="Z483" s="308"/>
    </row>
    <row r="484">
      <c r="A484" s="308"/>
      <c r="B484" s="308"/>
      <c r="C484" s="308"/>
      <c r="D484" s="308"/>
      <c r="E484" s="308"/>
      <c r="F484" s="308"/>
      <c r="G484" s="308"/>
      <c r="H484" s="308"/>
      <c r="I484" s="308"/>
      <c r="J484" s="308"/>
      <c r="K484" s="308"/>
      <c r="L484" s="308"/>
      <c r="M484" s="308"/>
      <c r="N484" s="308"/>
      <c r="O484" s="308"/>
      <c r="P484" s="308"/>
      <c r="Q484" s="308"/>
      <c r="R484" s="308"/>
      <c r="S484" s="308"/>
      <c r="T484" s="308"/>
      <c r="U484" s="308"/>
      <c r="V484" s="308"/>
      <c r="W484" s="308"/>
      <c r="X484" s="308"/>
      <c r="Y484" s="308"/>
      <c r="Z484" s="308"/>
    </row>
    <row r="485">
      <c r="A485" s="308"/>
      <c r="B485" s="308"/>
      <c r="C485" s="308"/>
      <c r="D485" s="308"/>
      <c r="E485" s="308"/>
      <c r="F485" s="308"/>
      <c r="G485" s="308"/>
      <c r="H485" s="308"/>
      <c r="I485" s="308"/>
      <c r="J485" s="308"/>
      <c r="K485" s="308"/>
      <c r="L485" s="308"/>
      <c r="M485" s="308"/>
      <c r="N485" s="308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  <c r="Z485" s="308"/>
    </row>
    <row r="486">
      <c r="A486" s="308"/>
      <c r="B486" s="308"/>
      <c r="C486" s="308"/>
      <c r="D486" s="308"/>
      <c r="E486" s="308"/>
      <c r="F486" s="308"/>
      <c r="G486" s="308"/>
      <c r="H486" s="308"/>
      <c r="I486" s="308"/>
      <c r="J486" s="308"/>
      <c r="K486" s="308"/>
      <c r="L486" s="308"/>
      <c r="M486" s="308"/>
      <c r="N486" s="308"/>
      <c r="O486" s="308"/>
      <c r="P486" s="308"/>
      <c r="Q486" s="308"/>
      <c r="R486" s="308"/>
      <c r="S486" s="308"/>
      <c r="T486" s="308"/>
      <c r="U486" s="308"/>
      <c r="V486" s="308"/>
      <c r="W486" s="308"/>
      <c r="X486" s="308"/>
      <c r="Y486" s="308"/>
      <c r="Z486" s="308"/>
    </row>
    <row r="487">
      <c r="A487" s="308"/>
      <c r="B487" s="308"/>
      <c r="C487" s="308"/>
      <c r="D487" s="308"/>
      <c r="E487" s="308"/>
      <c r="F487" s="308"/>
      <c r="G487" s="308"/>
      <c r="H487" s="308"/>
      <c r="I487" s="308"/>
      <c r="J487" s="308"/>
      <c r="K487" s="308"/>
      <c r="L487" s="308"/>
      <c r="M487" s="308"/>
      <c r="N487" s="308"/>
      <c r="O487" s="308"/>
      <c r="P487" s="308"/>
      <c r="Q487" s="308"/>
      <c r="R487" s="308"/>
      <c r="S487" s="308"/>
      <c r="T487" s="308"/>
      <c r="U487" s="308"/>
      <c r="V487" s="308"/>
      <c r="W487" s="308"/>
      <c r="X487" s="308"/>
      <c r="Y487" s="308"/>
      <c r="Z487" s="308"/>
    </row>
    <row r="488">
      <c r="A488" s="308"/>
      <c r="B488" s="308"/>
      <c r="C488" s="308"/>
      <c r="D488" s="308"/>
      <c r="E488" s="308"/>
      <c r="F488" s="308"/>
      <c r="G488" s="308"/>
      <c r="H488" s="308"/>
      <c r="I488" s="308"/>
      <c r="J488" s="308"/>
      <c r="K488" s="308"/>
      <c r="L488" s="308"/>
      <c r="M488" s="308"/>
      <c r="N488" s="308"/>
      <c r="O488" s="308"/>
      <c r="P488" s="308"/>
      <c r="Q488" s="308"/>
      <c r="R488" s="308"/>
      <c r="S488" s="308"/>
      <c r="T488" s="308"/>
      <c r="U488" s="308"/>
      <c r="V488" s="308"/>
      <c r="W488" s="308"/>
      <c r="X488" s="308"/>
      <c r="Y488" s="308"/>
      <c r="Z488" s="308"/>
    </row>
    <row r="489">
      <c r="A489" s="308"/>
      <c r="B489" s="308"/>
      <c r="C489" s="308"/>
      <c r="D489" s="308"/>
      <c r="E489" s="308"/>
      <c r="F489" s="308"/>
      <c r="G489" s="308"/>
      <c r="H489" s="308"/>
      <c r="I489" s="308"/>
      <c r="J489" s="308"/>
      <c r="K489" s="308"/>
      <c r="L489" s="308"/>
      <c r="M489" s="308"/>
      <c r="N489" s="308"/>
      <c r="O489" s="308"/>
      <c r="P489" s="308"/>
      <c r="Q489" s="308"/>
      <c r="R489" s="308"/>
      <c r="S489" s="308"/>
      <c r="T489" s="308"/>
      <c r="U489" s="308"/>
      <c r="V489" s="308"/>
      <c r="W489" s="308"/>
      <c r="X489" s="308"/>
      <c r="Y489" s="308"/>
      <c r="Z489" s="308"/>
    </row>
    <row r="490">
      <c r="A490" s="308"/>
      <c r="B490" s="308"/>
      <c r="C490" s="308"/>
      <c r="D490" s="308"/>
      <c r="E490" s="308"/>
      <c r="F490" s="308"/>
      <c r="G490" s="308"/>
      <c r="H490" s="308"/>
      <c r="I490" s="308"/>
      <c r="J490" s="308"/>
      <c r="K490" s="308"/>
      <c r="L490" s="308"/>
      <c r="M490" s="308"/>
      <c r="N490" s="308"/>
      <c r="O490" s="308"/>
      <c r="P490" s="308"/>
      <c r="Q490" s="308"/>
      <c r="R490" s="308"/>
      <c r="S490" s="308"/>
      <c r="T490" s="308"/>
      <c r="U490" s="308"/>
      <c r="V490" s="308"/>
      <c r="W490" s="308"/>
      <c r="X490" s="308"/>
      <c r="Y490" s="308"/>
      <c r="Z490" s="308"/>
    </row>
    <row r="491">
      <c r="A491" s="308"/>
      <c r="B491" s="308"/>
      <c r="C491" s="308"/>
      <c r="D491" s="308"/>
      <c r="E491" s="308"/>
      <c r="F491" s="308"/>
      <c r="G491" s="308"/>
      <c r="H491" s="308"/>
      <c r="I491" s="308"/>
      <c r="J491" s="308"/>
      <c r="K491" s="308"/>
      <c r="L491" s="308"/>
      <c r="M491" s="308"/>
      <c r="N491" s="308"/>
      <c r="O491" s="308"/>
      <c r="P491" s="308"/>
      <c r="Q491" s="308"/>
      <c r="R491" s="308"/>
      <c r="S491" s="308"/>
      <c r="T491" s="308"/>
      <c r="U491" s="308"/>
      <c r="V491" s="308"/>
      <c r="W491" s="308"/>
      <c r="X491" s="308"/>
      <c r="Y491" s="308"/>
      <c r="Z491" s="308"/>
    </row>
    <row r="492">
      <c r="A492" s="308"/>
      <c r="B492" s="308"/>
      <c r="C492" s="308"/>
      <c r="D492" s="308"/>
      <c r="E492" s="308"/>
      <c r="F492" s="308"/>
      <c r="G492" s="308"/>
      <c r="H492" s="308"/>
      <c r="I492" s="308"/>
      <c r="J492" s="308"/>
      <c r="K492" s="308"/>
      <c r="L492" s="308"/>
      <c r="M492" s="308"/>
      <c r="N492" s="308"/>
      <c r="O492" s="308"/>
      <c r="P492" s="308"/>
      <c r="Q492" s="308"/>
      <c r="R492" s="308"/>
      <c r="S492" s="308"/>
      <c r="T492" s="308"/>
      <c r="U492" s="308"/>
      <c r="V492" s="308"/>
      <c r="W492" s="308"/>
      <c r="X492" s="308"/>
      <c r="Y492" s="308"/>
      <c r="Z492" s="308"/>
    </row>
    <row r="493">
      <c r="A493" s="308"/>
      <c r="B493" s="308"/>
      <c r="C493" s="308"/>
      <c r="D493" s="308"/>
      <c r="E493" s="308"/>
      <c r="F493" s="308"/>
      <c r="G493" s="308"/>
      <c r="H493" s="308"/>
      <c r="I493" s="308"/>
      <c r="J493" s="308"/>
      <c r="K493" s="308"/>
      <c r="L493" s="308"/>
      <c r="M493" s="308"/>
      <c r="N493" s="308"/>
      <c r="O493" s="308"/>
      <c r="P493" s="308"/>
      <c r="Q493" s="308"/>
      <c r="R493" s="308"/>
      <c r="S493" s="308"/>
      <c r="T493" s="308"/>
      <c r="U493" s="308"/>
      <c r="V493" s="308"/>
      <c r="W493" s="308"/>
      <c r="X493" s="308"/>
      <c r="Y493" s="308"/>
      <c r="Z493" s="308"/>
    </row>
    <row r="494">
      <c r="A494" s="308"/>
      <c r="B494" s="308"/>
      <c r="C494" s="308"/>
      <c r="D494" s="308"/>
      <c r="E494" s="308"/>
      <c r="F494" s="308"/>
      <c r="G494" s="308"/>
      <c r="H494" s="308"/>
      <c r="I494" s="308"/>
      <c r="J494" s="308"/>
      <c r="K494" s="308"/>
      <c r="L494" s="308"/>
      <c r="M494" s="308"/>
      <c r="N494" s="308"/>
      <c r="O494" s="308"/>
      <c r="P494" s="308"/>
      <c r="Q494" s="308"/>
      <c r="R494" s="308"/>
      <c r="S494" s="308"/>
      <c r="T494" s="308"/>
      <c r="U494" s="308"/>
      <c r="V494" s="308"/>
      <c r="W494" s="308"/>
      <c r="X494" s="308"/>
      <c r="Y494" s="308"/>
      <c r="Z494" s="308"/>
    </row>
    <row r="495">
      <c r="A495" s="308"/>
      <c r="B495" s="308"/>
      <c r="C495" s="308"/>
      <c r="D495" s="308"/>
      <c r="E495" s="308"/>
      <c r="F495" s="308"/>
      <c r="G495" s="308"/>
      <c r="H495" s="308"/>
      <c r="I495" s="308"/>
      <c r="J495" s="308"/>
      <c r="K495" s="308"/>
      <c r="L495" s="308"/>
      <c r="M495" s="308"/>
      <c r="N495" s="308"/>
      <c r="O495" s="308"/>
      <c r="P495" s="308"/>
      <c r="Q495" s="308"/>
      <c r="R495" s="308"/>
      <c r="S495" s="308"/>
      <c r="T495" s="308"/>
      <c r="U495" s="308"/>
      <c r="V495" s="308"/>
      <c r="W495" s="308"/>
      <c r="X495" s="308"/>
      <c r="Y495" s="308"/>
      <c r="Z495" s="308"/>
    </row>
    <row r="496">
      <c r="A496" s="308"/>
      <c r="B496" s="308"/>
      <c r="C496" s="308"/>
      <c r="D496" s="308"/>
      <c r="E496" s="308"/>
      <c r="F496" s="308"/>
      <c r="G496" s="308"/>
      <c r="H496" s="308"/>
      <c r="I496" s="308"/>
      <c r="J496" s="308"/>
      <c r="K496" s="308"/>
      <c r="L496" s="308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</row>
    <row r="497">
      <c r="A497" s="308"/>
      <c r="B497" s="308"/>
      <c r="C497" s="308"/>
      <c r="D497" s="308"/>
      <c r="E497" s="308"/>
      <c r="F497" s="308"/>
      <c r="G497" s="308"/>
      <c r="H497" s="308"/>
      <c r="I497" s="308"/>
      <c r="J497" s="308"/>
      <c r="K497" s="308"/>
      <c r="L497" s="308"/>
      <c r="M497" s="308"/>
      <c r="N497" s="308"/>
      <c r="O497" s="308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  <c r="Z497" s="308"/>
    </row>
    <row r="498">
      <c r="A498" s="308"/>
      <c r="B498" s="308"/>
      <c r="C498" s="308"/>
      <c r="D498" s="308"/>
      <c r="E498" s="308"/>
      <c r="F498" s="308"/>
      <c r="G498" s="308"/>
      <c r="H498" s="308"/>
      <c r="I498" s="308"/>
      <c r="J498" s="308"/>
      <c r="K498" s="308"/>
      <c r="L498" s="308"/>
      <c r="M498" s="308"/>
      <c r="N498" s="308"/>
      <c r="O498" s="308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  <c r="Z498" s="308"/>
    </row>
    <row r="499">
      <c r="A499" s="308"/>
      <c r="B499" s="308"/>
      <c r="C499" s="308"/>
      <c r="D499" s="308"/>
      <c r="E499" s="308"/>
      <c r="F499" s="308"/>
      <c r="G499" s="308"/>
      <c r="H499" s="308"/>
      <c r="I499" s="308"/>
      <c r="J499" s="308"/>
      <c r="K499" s="308"/>
      <c r="L499" s="308"/>
      <c r="M499" s="308"/>
      <c r="N499" s="308"/>
      <c r="O499" s="308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  <c r="Z499" s="308"/>
    </row>
    <row r="500">
      <c r="A500" s="308"/>
      <c r="B500" s="308"/>
      <c r="C500" s="308"/>
      <c r="D500" s="308"/>
      <c r="E500" s="308"/>
      <c r="F500" s="308"/>
      <c r="G500" s="308"/>
      <c r="H500" s="308"/>
      <c r="I500" s="308"/>
      <c r="J500" s="308"/>
      <c r="K500" s="308"/>
      <c r="L500" s="308"/>
      <c r="M500" s="308"/>
      <c r="N500" s="308"/>
      <c r="O500" s="308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  <c r="Z500" s="308"/>
    </row>
    <row r="501">
      <c r="A501" s="308"/>
      <c r="B501" s="308"/>
      <c r="C501" s="308"/>
      <c r="D501" s="308"/>
      <c r="E501" s="308"/>
      <c r="F501" s="308"/>
      <c r="G501" s="308"/>
      <c r="H501" s="308"/>
      <c r="I501" s="308"/>
      <c r="J501" s="308"/>
      <c r="K501" s="308"/>
      <c r="L501" s="308"/>
      <c r="M501" s="308"/>
      <c r="N501" s="308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</row>
    <row r="502">
      <c r="A502" s="308"/>
      <c r="B502" s="308"/>
      <c r="C502" s="308"/>
      <c r="D502" s="308"/>
      <c r="E502" s="308"/>
      <c r="F502" s="308"/>
      <c r="G502" s="308"/>
      <c r="H502" s="308"/>
      <c r="I502" s="308"/>
      <c r="J502" s="308"/>
      <c r="K502" s="308"/>
      <c r="L502" s="308"/>
      <c r="M502" s="308"/>
      <c r="N502" s="308"/>
      <c r="O502" s="308"/>
      <c r="P502" s="308"/>
      <c r="Q502" s="308"/>
      <c r="R502" s="308"/>
      <c r="S502" s="308"/>
      <c r="T502" s="308"/>
      <c r="U502" s="308"/>
      <c r="V502" s="308"/>
      <c r="W502" s="308"/>
      <c r="X502" s="308"/>
      <c r="Y502" s="308"/>
      <c r="Z502" s="308"/>
    </row>
    <row r="503">
      <c r="A503" s="308"/>
      <c r="B503" s="308"/>
      <c r="C503" s="308"/>
      <c r="D503" s="308"/>
      <c r="E503" s="308"/>
      <c r="F503" s="308"/>
      <c r="G503" s="308"/>
      <c r="H503" s="308"/>
      <c r="I503" s="308"/>
      <c r="J503" s="308"/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  <c r="W503" s="308"/>
      <c r="X503" s="308"/>
      <c r="Y503" s="308"/>
      <c r="Z503" s="308"/>
    </row>
    <row r="504">
      <c r="A504" s="308"/>
      <c r="B504" s="308"/>
      <c r="C504" s="308"/>
      <c r="D504" s="308"/>
      <c r="E504" s="308"/>
      <c r="F504" s="308"/>
      <c r="G504" s="308"/>
      <c r="H504" s="308"/>
      <c r="I504" s="308"/>
      <c r="J504" s="308"/>
      <c r="K504" s="308"/>
      <c r="L504" s="308"/>
      <c r="M504" s="308"/>
      <c r="N504" s="308"/>
      <c r="O504" s="308"/>
      <c r="P504" s="308"/>
      <c r="Q504" s="308"/>
      <c r="R504" s="308"/>
      <c r="S504" s="308"/>
      <c r="T504" s="308"/>
      <c r="U504" s="308"/>
      <c r="V504" s="308"/>
      <c r="W504" s="308"/>
      <c r="X504" s="308"/>
      <c r="Y504" s="308"/>
      <c r="Z504" s="308"/>
    </row>
    <row r="505">
      <c r="A505" s="308"/>
      <c r="B505" s="308"/>
      <c r="C505" s="308"/>
      <c r="D505" s="308"/>
      <c r="E505" s="308"/>
      <c r="F505" s="308"/>
      <c r="G505" s="308"/>
      <c r="H505" s="308"/>
      <c r="I505" s="308"/>
      <c r="J505" s="308"/>
      <c r="K505" s="308"/>
      <c r="L505" s="308"/>
      <c r="M505" s="308"/>
      <c r="N505" s="308"/>
      <c r="O505" s="308"/>
      <c r="P505" s="308"/>
      <c r="Q505" s="308"/>
      <c r="R505" s="308"/>
      <c r="S505" s="308"/>
      <c r="T505" s="308"/>
      <c r="U505" s="308"/>
      <c r="V505" s="308"/>
      <c r="W505" s="308"/>
      <c r="X505" s="308"/>
      <c r="Y505" s="308"/>
      <c r="Z505" s="308"/>
    </row>
    <row r="506">
      <c r="A506" s="308"/>
      <c r="B506" s="308"/>
      <c r="C506" s="308"/>
      <c r="D506" s="308"/>
      <c r="E506" s="308"/>
      <c r="F506" s="308"/>
      <c r="G506" s="308"/>
      <c r="H506" s="308"/>
      <c r="I506" s="308"/>
      <c r="J506" s="308"/>
      <c r="K506" s="308"/>
      <c r="L506" s="308"/>
      <c r="M506" s="308"/>
      <c r="N506" s="308"/>
      <c r="O506" s="308"/>
      <c r="P506" s="308"/>
      <c r="Q506" s="308"/>
      <c r="R506" s="308"/>
      <c r="S506" s="308"/>
      <c r="T506" s="308"/>
      <c r="U506" s="308"/>
      <c r="V506" s="308"/>
      <c r="W506" s="308"/>
      <c r="X506" s="308"/>
      <c r="Y506" s="308"/>
      <c r="Z506" s="308"/>
    </row>
    <row r="507">
      <c r="A507" s="308"/>
      <c r="B507" s="308"/>
      <c r="C507" s="308"/>
      <c r="D507" s="308"/>
      <c r="E507" s="308"/>
      <c r="F507" s="308"/>
      <c r="G507" s="308"/>
      <c r="H507" s="308"/>
      <c r="I507" s="308"/>
      <c r="J507" s="308"/>
      <c r="K507" s="308"/>
      <c r="L507" s="308"/>
      <c r="M507" s="308"/>
      <c r="N507" s="308"/>
      <c r="O507" s="308"/>
      <c r="P507" s="308"/>
      <c r="Q507" s="308"/>
      <c r="R507" s="308"/>
      <c r="S507" s="308"/>
      <c r="T507" s="308"/>
      <c r="U507" s="308"/>
      <c r="V507" s="308"/>
      <c r="W507" s="308"/>
      <c r="X507" s="308"/>
      <c r="Y507" s="308"/>
      <c r="Z507" s="308"/>
    </row>
    <row r="508">
      <c r="A508" s="308"/>
      <c r="B508" s="308"/>
      <c r="C508" s="308"/>
      <c r="D508" s="308"/>
      <c r="E508" s="308"/>
      <c r="F508" s="308"/>
      <c r="G508" s="308"/>
      <c r="H508" s="308"/>
      <c r="I508" s="308"/>
      <c r="J508" s="308"/>
      <c r="K508" s="308"/>
      <c r="L508" s="308"/>
      <c r="M508" s="308"/>
      <c r="N508" s="308"/>
      <c r="O508" s="308"/>
      <c r="P508" s="308"/>
      <c r="Q508" s="308"/>
      <c r="R508" s="308"/>
      <c r="S508" s="308"/>
      <c r="T508" s="308"/>
      <c r="U508" s="308"/>
      <c r="V508" s="308"/>
      <c r="W508" s="308"/>
      <c r="X508" s="308"/>
      <c r="Y508" s="308"/>
      <c r="Z508" s="308"/>
    </row>
    <row r="509">
      <c r="A509" s="308"/>
      <c r="B509" s="308"/>
      <c r="C509" s="308"/>
      <c r="D509" s="308"/>
      <c r="E509" s="308"/>
      <c r="F509" s="308"/>
      <c r="G509" s="308"/>
      <c r="H509" s="308"/>
      <c r="I509" s="308"/>
      <c r="J509" s="308"/>
      <c r="K509" s="308"/>
      <c r="L509" s="308"/>
      <c r="M509" s="308"/>
      <c r="N509" s="308"/>
      <c r="O509" s="308"/>
      <c r="P509" s="308"/>
      <c r="Q509" s="308"/>
      <c r="R509" s="308"/>
      <c r="S509" s="308"/>
      <c r="T509" s="308"/>
      <c r="U509" s="308"/>
      <c r="V509" s="308"/>
      <c r="W509" s="308"/>
      <c r="X509" s="308"/>
      <c r="Y509" s="308"/>
      <c r="Z509" s="308"/>
    </row>
    <row r="510">
      <c r="A510" s="308"/>
      <c r="B510" s="308"/>
      <c r="C510" s="308"/>
      <c r="D510" s="308"/>
      <c r="E510" s="308"/>
      <c r="F510" s="308"/>
      <c r="G510" s="308"/>
      <c r="H510" s="308"/>
      <c r="I510" s="308"/>
      <c r="J510" s="308"/>
      <c r="K510" s="308"/>
      <c r="L510" s="308"/>
      <c r="M510" s="308"/>
      <c r="N510" s="308"/>
      <c r="O510" s="308"/>
      <c r="P510" s="308"/>
      <c r="Q510" s="308"/>
      <c r="R510" s="308"/>
      <c r="S510" s="308"/>
      <c r="T510" s="308"/>
      <c r="U510" s="308"/>
      <c r="V510" s="308"/>
      <c r="W510" s="308"/>
      <c r="X510" s="308"/>
      <c r="Y510" s="308"/>
      <c r="Z510" s="308"/>
    </row>
    <row r="511">
      <c r="A511" s="308"/>
      <c r="B511" s="308"/>
      <c r="C511" s="308"/>
      <c r="D511" s="308"/>
      <c r="E511" s="308"/>
      <c r="F511" s="308"/>
      <c r="G511" s="308"/>
      <c r="H511" s="308"/>
      <c r="I511" s="308"/>
      <c r="J511" s="308"/>
      <c r="K511" s="308"/>
      <c r="L511" s="308"/>
      <c r="M511" s="308"/>
      <c r="N511" s="308"/>
      <c r="O511" s="308"/>
      <c r="P511" s="308"/>
      <c r="Q511" s="308"/>
      <c r="R511" s="308"/>
      <c r="S511" s="308"/>
      <c r="T511" s="308"/>
      <c r="U511" s="308"/>
      <c r="V511" s="308"/>
      <c r="W511" s="308"/>
      <c r="X511" s="308"/>
      <c r="Y511" s="308"/>
      <c r="Z511" s="308"/>
    </row>
    <row r="512">
      <c r="A512" s="308"/>
      <c r="B512" s="308"/>
      <c r="C512" s="308"/>
      <c r="D512" s="308"/>
      <c r="E512" s="308"/>
      <c r="F512" s="308"/>
      <c r="G512" s="308"/>
      <c r="H512" s="308"/>
      <c r="I512" s="308"/>
      <c r="J512" s="308"/>
      <c r="K512" s="308"/>
      <c r="L512" s="308"/>
      <c r="M512" s="308"/>
      <c r="N512" s="308"/>
      <c r="O512" s="308"/>
      <c r="P512" s="308"/>
      <c r="Q512" s="308"/>
      <c r="R512" s="308"/>
      <c r="S512" s="308"/>
      <c r="T512" s="308"/>
      <c r="U512" s="308"/>
      <c r="V512" s="308"/>
      <c r="W512" s="308"/>
      <c r="X512" s="308"/>
      <c r="Y512" s="308"/>
      <c r="Z512" s="308"/>
    </row>
    <row r="513">
      <c r="A513" s="308"/>
      <c r="B513" s="308"/>
      <c r="C513" s="308"/>
      <c r="D513" s="308"/>
      <c r="E513" s="308"/>
      <c r="F513" s="308"/>
      <c r="G513" s="308"/>
      <c r="H513" s="308"/>
      <c r="I513" s="308"/>
      <c r="J513" s="308"/>
      <c r="K513" s="308"/>
      <c r="L513" s="308"/>
      <c r="M513" s="308"/>
      <c r="N513" s="308"/>
      <c r="O513" s="308"/>
      <c r="P513" s="308"/>
      <c r="Q513" s="308"/>
      <c r="R513" s="308"/>
      <c r="S513" s="308"/>
      <c r="T513" s="308"/>
      <c r="U513" s="308"/>
      <c r="V513" s="308"/>
      <c r="W513" s="308"/>
      <c r="X513" s="308"/>
      <c r="Y513" s="308"/>
      <c r="Z513" s="308"/>
    </row>
    <row r="514">
      <c r="A514" s="308"/>
      <c r="B514" s="308"/>
      <c r="C514" s="308"/>
      <c r="D514" s="308"/>
      <c r="E514" s="308"/>
      <c r="F514" s="308"/>
      <c r="G514" s="308"/>
      <c r="H514" s="308"/>
      <c r="I514" s="308"/>
      <c r="J514" s="308"/>
      <c r="K514" s="308"/>
      <c r="L514" s="308"/>
      <c r="M514" s="308"/>
      <c r="N514" s="308"/>
      <c r="O514" s="308"/>
      <c r="P514" s="308"/>
      <c r="Q514" s="308"/>
      <c r="R514" s="308"/>
      <c r="S514" s="308"/>
      <c r="T514" s="308"/>
      <c r="U514" s="308"/>
      <c r="V514" s="308"/>
      <c r="W514" s="308"/>
      <c r="X514" s="308"/>
      <c r="Y514" s="308"/>
      <c r="Z514" s="308"/>
    </row>
    <row r="515">
      <c r="A515" s="308"/>
      <c r="B515" s="308"/>
      <c r="C515" s="308"/>
      <c r="D515" s="308"/>
      <c r="E515" s="308"/>
      <c r="F515" s="308"/>
      <c r="G515" s="308"/>
      <c r="H515" s="308"/>
      <c r="I515" s="308"/>
      <c r="J515" s="308"/>
      <c r="K515" s="308"/>
      <c r="L515" s="308"/>
      <c r="M515" s="308"/>
      <c r="N515" s="308"/>
      <c r="O515" s="308"/>
      <c r="P515" s="308"/>
      <c r="Q515" s="308"/>
      <c r="R515" s="308"/>
      <c r="S515" s="308"/>
      <c r="T515" s="308"/>
      <c r="U515" s="308"/>
      <c r="V515" s="308"/>
      <c r="W515" s="308"/>
      <c r="X515" s="308"/>
      <c r="Y515" s="308"/>
      <c r="Z515" s="308"/>
    </row>
    <row r="516">
      <c r="A516" s="308"/>
      <c r="B516" s="308"/>
      <c r="C516" s="308"/>
      <c r="D516" s="308"/>
      <c r="E516" s="308"/>
      <c r="F516" s="308"/>
      <c r="G516" s="308"/>
      <c r="H516" s="308"/>
      <c r="I516" s="308"/>
      <c r="J516" s="308"/>
      <c r="K516" s="308"/>
      <c r="L516" s="308"/>
      <c r="M516" s="308"/>
      <c r="N516" s="308"/>
      <c r="O516" s="308"/>
      <c r="P516" s="308"/>
      <c r="Q516" s="308"/>
      <c r="R516" s="308"/>
      <c r="S516" s="308"/>
      <c r="T516" s="308"/>
      <c r="U516" s="308"/>
      <c r="V516" s="308"/>
      <c r="W516" s="308"/>
      <c r="X516" s="308"/>
      <c r="Y516" s="308"/>
      <c r="Z516" s="308"/>
    </row>
    <row r="517">
      <c r="A517" s="308"/>
      <c r="B517" s="308"/>
      <c r="C517" s="308"/>
      <c r="D517" s="308"/>
      <c r="E517" s="308"/>
      <c r="F517" s="308"/>
      <c r="G517" s="308"/>
      <c r="H517" s="308"/>
      <c r="I517" s="308"/>
      <c r="J517" s="308"/>
      <c r="K517" s="308"/>
      <c r="L517" s="308"/>
      <c r="M517" s="308"/>
      <c r="N517" s="308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  <c r="Z517" s="308"/>
    </row>
    <row r="518">
      <c r="A518" s="308"/>
      <c r="B518" s="308"/>
      <c r="C518" s="308"/>
      <c r="D518" s="308"/>
      <c r="E518" s="308"/>
      <c r="F518" s="308"/>
      <c r="G518" s="308"/>
      <c r="H518" s="308"/>
      <c r="I518" s="308"/>
      <c r="J518" s="308"/>
      <c r="K518" s="308"/>
      <c r="L518" s="308"/>
      <c r="M518" s="308"/>
      <c r="N518" s="308"/>
      <c r="O518" s="308"/>
      <c r="P518" s="308"/>
      <c r="Q518" s="308"/>
      <c r="R518" s="308"/>
      <c r="S518" s="308"/>
      <c r="T518" s="308"/>
      <c r="U518" s="308"/>
      <c r="V518" s="308"/>
      <c r="W518" s="308"/>
      <c r="X518" s="308"/>
      <c r="Y518" s="308"/>
      <c r="Z518" s="308"/>
    </row>
    <row r="519">
      <c r="A519" s="308"/>
      <c r="B519" s="308"/>
      <c r="C519" s="308"/>
      <c r="D519" s="308"/>
      <c r="E519" s="308"/>
      <c r="F519" s="308"/>
      <c r="G519" s="308"/>
      <c r="H519" s="308"/>
      <c r="I519" s="308"/>
      <c r="J519" s="308"/>
      <c r="K519" s="308"/>
      <c r="L519" s="308"/>
      <c r="M519" s="308"/>
      <c r="N519" s="308"/>
      <c r="O519" s="308"/>
      <c r="P519" s="308"/>
      <c r="Q519" s="308"/>
      <c r="R519" s="308"/>
      <c r="S519" s="308"/>
      <c r="T519" s="308"/>
      <c r="U519" s="308"/>
      <c r="V519" s="308"/>
      <c r="W519" s="308"/>
      <c r="X519" s="308"/>
      <c r="Y519" s="308"/>
      <c r="Z519" s="308"/>
    </row>
    <row r="520">
      <c r="A520" s="308"/>
      <c r="B520" s="308"/>
      <c r="C520" s="308"/>
      <c r="D520" s="308"/>
      <c r="E520" s="308"/>
      <c r="F520" s="308"/>
      <c r="G520" s="308"/>
      <c r="H520" s="308"/>
      <c r="I520" s="308"/>
      <c r="J520" s="308"/>
      <c r="K520" s="308"/>
      <c r="L520" s="308"/>
      <c r="M520" s="308"/>
      <c r="N520" s="308"/>
      <c r="O520" s="308"/>
      <c r="P520" s="308"/>
      <c r="Q520" s="308"/>
      <c r="R520" s="308"/>
      <c r="S520" s="308"/>
      <c r="T520" s="308"/>
      <c r="U520" s="308"/>
      <c r="V520" s="308"/>
      <c r="W520" s="308"/>
      <c r="X520" s="308"/>
      <c r="Y520" s="308"/>
      <c r="Z520" s="308"/>
    </row>
    <row r="521">
      <c r="A521" s="308"/>
      <c r="B521" s="308"/>
      <c r="C521" s="308"/>
      <c r="D521" s="308"/>
      <c r="E521" s="308"/>
      <c r="F521" s="308"/>
      <c r="G521" s="308"/>
      <c r="H521" s="308"/>
      <c r="I521" s="308"/>
      <c r="J521" s="308"/>
      <c r="K521" s="308"/>
      <c r="L521" s="308"/>
      <c r="M521" s="308"/>
      <c r="N521" s="308"/>
      <c r="O521" s="308"/>
      <c r="P521" s="308"/>
      <c r="Q521" s="308"/>
      <c r="R521" s="308"/>
      <c r="S521" s="308"/>
      <c r="T521" s="308"/>
      <c r="U521" s="308"/>
      <c r="V521" s="308"/>
      <c r="W521" s="308"/>
      <c r="X521" s="308"/>
      <c r="Y521" s="308"/>
      <c r="Z521" s="308"/>
    </row>
    <row r="522">
      <c r="A522" s="308"/>
      <c r="B522" s="308"/>
      <c r="C522" s="308"/>
      <c r="D522" s="308"/>
      <c r="E522" s="308"/>
      <c r="F522" s="308"/>
      <c r="G522" s="308"/>
      <c r="H522" s="308"/>
      <c r="I522" s="308"/>
      <c r="J522" s="308"/>
      <c r="K522" s="308"/>
      <c r="L522" s="308"/>
      <c r="M522" s="308"/>
      <c r="N522" s="308"/>
      <c r="O522" s="308"/>
      <c r="P522" s="308"/>
      <c r="Q522" s="308"/>
      <c r="R522" s="308"/>
      <c r="S522" s="308"/>
      <c r="T522" s="308"/>
      <c r="U522" s="308"/>
      <c r="V522" s="308"/>
      <c r="W522" s="308"/>
      <c r="X522" s="308"/>
      <c r="Y522" s="308"/>
      <c r="Z522" s="308"/>
    </row>
    <row r="523">
      <c r="A523" s="308"/>
      <c r="B523" s="308"/>
      <c r="C523" s="308"/>
      <c r="D523" s="308"/>
      <c r="E523" s="308"/>
      <c r="F523" s="308"/>
      <c r="G523" s="308"/>
      <c r="H523" s="308"/>
      <c r="I523" s="308"/>
      <c r="J523" s="308"/>
      <c r="K523" s="308"/>
      <c r="L523" s="308"/>
      <c r="M523" s="308"/>
      <c r="N523" s="308"/>
      <c r="O523" s="308"/>
      <c r="P523" s="308"/>
      <c r="Q523" s="308"/>
      <c r="R523" s="308"/>
      <c r="S523" s="308"/>
      <c r="T523" s="308"/>
      <c r="U523" s="308"/>
      <c r="V523" s="308"/>
      <c r="W523" s="308"/>
      <c r="X523" s="308"/>
      <c r="Y523" s="308"/>
      <c r="Z523" s="308"/>
    </row>
    <row r="524">
      <c r="A524" s="308"/>
      <c r="B524" s="308"/>
      <c r="C524" s="308"/>
      <c r="D524" s="308"/>
      <c r="E524" s="308"/>
      <c r="F524" s="308"/>
      <c r="G524" s="308"/>
      <c r="H524" s="308"/>
      <c r="I524" s="308"/>
      <c r="J524" s="308"/>
      <c r="K524" s="308"/>
      <c r="L524" s="308"/>
      <c r="M524" s="308"/>
      <c r="N524" s="308"/>
      <c r="O524" s="308"/>
      <c r="P524" s="308"/>
      <c r="Q524" s="308"/>
      <c r="R524" s="308"/>
      <c r="S524" s="308"/>
      <c r="T524" s="308"/>
      <c r="U524" s="308"/>
      <c r="V524" s="308"/>
      <c r="W524" s="308"/>
      <c r="X524" s="308"/>
      <c r="Y524" s="308"/>
      <c r="Z524" s="308"/>
    </row>
    <row r="525">
      <c r="A525" s="308"/>
      <c r="B525" s="308"/>
      <c r="C525" s="308"/>
      <c r="D525" s="308"/>
      <c r="E525" s="308"/>
      <c r="F525" s="308"/>
      <c r="G525" s="308"/>
      <c r="H525" s="308"/>
      <c r="I525" s="308"/>
      <c r="J525" s="308"/>
      <c r="K525" s="308"/>
      <c r="L525" s="308"/>
      <c r="M525" s="308"/>
      <c r="N525" s="308"/>
      <c r="O525" s="308"/>
      <c r="P525" s="308"/>
      <c r="Q525" s="308"/>
      <c r="R525" s="308"/>
      <c r="S525" s="308"/>
      <c r="T525" s="308"/>
      <c r="U525" s="308"/>
      <c r="V525" s="308"/>
      <c r="W525" s="308"/>
      <c r="X525" s="308"/>
      <c r="Y525" s="308"/>
      <c r="Z525" s="308"/>
    </row>
    <row r="526">
      <c r="A526" s="308"/>
      <c r="B526" s="308"/>
      <c r="C526" s="308"/>
      <c r="D526" s="308"/>
      <c r="E526" s="308"/>
      <c r="F526" s="308"/>
      <c r="G526" s="308"/>
      <c r="H526" s="308"/>
      <c r="I526" s="308"/>
      <c r="J526" s="308"/>
      <c r="K526" s="308"/>
      <c r="L526" s="308"/>
      <c r="M526" s="308"/>
      <c r="N526" s="308"/>
      <c r="O526" s="308"/>
      <c r="P526" s="308"/>
      <c r="Q526" s="308"/>
      <c r="R526" s="308"/>
      <c r="S526" s="308"/>
      <c r="T526" s="308"/>
      <c r="U526" s="308"/>
      <c r="V526" s="308"/>
      <c r="W526" s="308"/>
      <c r="X526" s="308"/>
      <c r="Y526" s="308"/>
      <c r="Z526" s="308"/>
    </row>
    <row r="527">
      <c r="A527" s="308"/>
      <c r="B527" s="308"/>
      <c r="C527" s="308"/>
      <c r="D527" s="308"/>
      <c r="E527" s="308"/>
      <c r="F527" s="308"/>
      <c r="G527" s="308"/>
      <c r="H527" s="308"/>
      <c r="I527" s="308"/>
      <c r="J527" s="308"/>
      <c r="K527" s="308"/>
      <c r="L527" s="308"/>
      <c r="M527" s="308"/>
      <c r="N527" s="308"/>
      <c r="O527" s="308"/>
      <c r="P527" s="308"/>
      <c r="Q527" s="308"/>
      <c r="R527" s="308"/>
      <c r="S527" s="308"/>
      <c r="T527" s="308"/>
      <c r="U527" s="308"/>
      <c r="V527" s="308"/>
      <c r="W527" s="308"/>
      <c r="X527" s="308"/>
      <c r="Y527" s="308"/>
      <c r="Z527" s="308"/>
    </row>
    <row r="528">
      <c r="A528" s="308"/>
      <c r="B528" s="308"/>
      <c r="C528" s="308"/>
      <c r="D528" s="308"/>
      <c r="E528" s="308"/>
      <c r="F528" s="308"/>
      <c r="G528" s="308"/>
      <c r="H528" s="308"/>
      <c r="I528" s="308"/>
      <c r="J528" s="308"/>
      <c r="K528" s="308"/>
      <c r="L528" s="308"/>
      <c r="M528" s="308"/>
      <c r="N528" s="308"/>
      <c r="O528" s="308"/>
      <c r="P528" s="308"/>
      <c r="Q528" s="308"/>
      <c r="R528" s="308"/>
      <c r="S528" s="308"/>
      <c r="T528" s="308"/>
      <c r="U528" s="308"/>
      <c r="V528" s="308"/>
      <c r="W528" s="308"/>
      <c r="X528" s="308"/>
      <c r="Y528" s="308"/>
      <c r="Z528" s="308"/>
    </row>
    <row r="529">
      <c r="A529" s="308"/>
      <c r="B529" s="308"/>
      <c r="C529" s="308"/>
      <c r="D529" s="308"/>
      <c r="E529" s="308"/>
      <c r="F529" s="308"/>
      <c r="G529" s="308"/>
      <c r="H529" s="308"/>
      <c r="I529" s="308"/>
      <c r="J529" s="308"/>
      <c r="K529" s="308"/>
      <c r="L529" s="308"/>
      <c r="M529" s="308"/>
      <c r="N529" s="308"/>
      <c r="O529" s="308"/>
      <c r="P529" s="308"/>
      <c r="Q529" s="308"/>
      <c r="R529" s="308"/>
      <c r="S529" s="308"/>
      <c r="T529" s="308"/>
      <c r="U529" s="308"/>
      <c r="V529" s="308"/>
      <c r="W529" s="308"/>
      <c r="X529" s="308"/>
      <c r="Y529" s="308"/>
      <c r="Z529" s="308"/>
    </row>
    <row r="530">
      <c r="A530" s="308"/>
      <c r="B530" s="308"/>
      <c r="C530" s="308"/>
      <c r="D530" s="308"/>
      <c r="E530" s="308"/>
      <c r="F530" s="308"/>
      <c r="G530" s="308"/>
      <c r="H530" s="308"/>
      <c r="I530" s="308"/>
      <c r="J530" s="308"/>
      <c r="K530" s="308"/>
      <c r="L530" s="308"/>
      <c r="M530" s="308"/>
      <c r="N530" s="308"/>
      <c r="O530" s="308"/>
      <c r="P530" s="308"/>
      <c r="Q530" s="308"/>
      <c r="R530" s="308"/>
      <c r="S530" s="308"/>
      <c r="T530" s="308"/>
      <c r="U530" s="308"/>
      <c r="V530" s="308"/>
      <c r="W530" s="308"/>
      <c r="X530" s="308"/>
      <c r="Y530" s="308"/>
      <c r="Z530" s="308"/>
    </row>
    <row r="531">
      <c r="A531" s="308"/>
      <c r="B531" s="308"/>
      <c r="C531" s="308"/>
      <c r="D531" s="308"/>
      <c r="E531" s="308"/>
      <c r="F531" s="308"/>
      <c r="G531" s="308"/>
      <c r="H531" s="308"/>
      <c r="I531" s="308"/>
      <c r="J531" s="308"/>
      <c r="K531" s="308"/>
      <c r="L531" s="308"/>
      <c r="M531" s="308"/>
      <c r="N531" s="308"/>
      <c r="O531" s="308"/>
      <c r="P531" s="308"/>
      <c r="Q531" s="308"/>
      <c r="R531" s="308"/>
      <c r="S531" s="308"/>
      <c r="T531" s="308"/>
      <c r="U531" s="308"/>
      <c r="V531" s="308"/>
      <c r="W531" s="308"/>
      <c r="X531" s="308"/>
      <c r="Y531" s="308"/>
      <c r="Z531" s="308"/>
    </row>
    <row r="532">
      <c r="A532" s="308"/>
      <c r="B532" s="308"/>
      <c r="C532" s="308"/>
      <c r="D532" s="308"/>
      <c r="E532" s="308"/>
      <c r="F532" s="308"/>
      <c r="G532" s="308"/>
      <c r="H532" s="308"/>
      <c r="I532" s="308"/>
      <c r="J532" s="308"/>
      <c r="K532" s="308"/>
      <c r="L532" s="308"/>
      <c r="M532" s="308"/>
      <c r="N532" s="308"/>
      <c r="O532" s="308"/>
      <c r="P532" s="308"/>
      <c r="Q532" s="308"/>
      <c r="R532" s="308"/>
      <c r="S532" s="308"/>
      <c r="T532" s="308"/>
      <c r="U532" s="308"/>
      <c r="V532" s="308"/>
      <c r="W532" s="308"/>
      <c r="X532" s="308"/>
      <c r="Y532" s="308"/>
      <c r="Z532" s="308"/>
    </row>
    <row r="533">
      <c r="A533" s="308"/>
      <c r="B533" s="308"/>
      <c r="C533" s="308"/>
      <c r="D533" s="308"/>
      <c r="E533" s="308"/>
      <c r="F533" s="308"/>
      <c r="G533" s="308"/>
      <c r="H533" s="308"/>
      <c r="I533" s="308"/>
      <c r="J533" s="308"/>
      <c r="K533" s="308"/>
      <c r="L533" s="308"/>
      <c r="M533" s="308"/>
      <c r="N533" s="308"/>
      <c r="O533" s="308"/>
      <c r="P533" s="308"/>
      <c r="Q533" s="308"/>
      <c r="R533" s="308"/>
      <c r="S533" s="308"/>
      <c r="T533" s="308"/>
      <c r="U533" s="308"/>
      <c r="V533" s="308"/>
      <c r="W533" s="308"/>
      <c r="X533" s="308"/>
      <c r="Y533" s="308"/>
      <c r="Z533" s="308"/>
    </row>
    <row r="534">
      <c r="A534" s="308"/>
      <c r="B534" s="308"/>
      <c r="C534" s="308"/>
      <c r="D534" s="308"/>
      <c r="E534" s="308"/>
      <c r="F534" s="308"/>
      <c r="G534" s="308"/>
      <c r="H534" s="308"/>
      <c r="I534" s="308"/>
      <c r="J534" s="308"/>
      <c r="K534" s="308"/>
      <c r="L534" s="308"/>
      <c r="M534" s="308"/>
      <c r="N534" s="308"/>
      <c r="O534" s="308"/>
      <c r="P534" s="308"/>
      <c r="Q534" s="308"/>
      <c r="R534" s="308"/>
      <c r="S534" s="308"/>
      <c r="T534" s="308"/>
      <c r="U534" s="308"/>
      <c r="V534" s="308"/>
      <c r="W534" s="308"/>
      <c r="X534" s="308"/>
      <c r="Y534" s="308"/>
      <c r="Z534" s="308"/>
    </row>
    <row r="535">
      <c r="A535" s="308"/>
      <c r="B535" s="308"/>
      <c r="C535" s="308"/>
      <c r="D535" s="308"/>
      <c r="E535" s="308"/>
      <c r="F535" s="308"/>
      <c r="G535" s="308"/>
      <c r="H535" s="308"/>
      <c r="I535" s="308"/>
      <c r="J535" s="308"/>
      <c r="K535" s="308"/>
      <c r="L535" s="308"/>
      <c r="M535" s="308"/>
      <c r="N535" s="308"/>
      <c r="O535" s="308"/>
      <c r="P535" s="308"/>
      <c r="Q535" s="308"/>
      <c r="R535" s="308"/>
      <c r="S535" s="308"/>
      <c r="T535" s="308"/>
      <c r="U535" s="308"/>
      <c r="V535" s="308"/>
      <c r="W535" s="308"/>
      <c r="X535" s="308"/>
      <c r="Y535" s="308"/>
      <c r="Z535" s="308"/>
    </row>
    <row r="536">
      <c r="A536" s="308"/>
      <c r="B536" s="308"/>
      <c r="C536" s="308"/>
      <c r="D536" s="308"/>
      <c r="E536" s="308"/>
      <c r="F536" s="308"/>
      <c r="G536" s="308"/>
      <c r="H536" s="308"/>
      <c r="I536" s="308"/>
      <c r="J536" s="308"/>
      <c r="K536" s="308"/>
      <c r="L536" s="308"/>
      <c r="M536" s="308"/>
      <c r="N536" s="308"/>
      <c r="O536" s="308"/>
      <c r="P536" s="308"/>
      <c r="Q536" s="308"/>
      <c r="R536" s="308"/>
      <c r="S536" s="308"/>
      <c r="T536" s="308"/>
      <c r="U536" s="308"/>
      <c r="V536" s="308"/>
      <c r="W536" s="308"/>
      <c r="X536" s="308"/>
      <c r="Y536" s="308"/>
      <c r="Z536" s="308"/>
    </row>
    <row r="537">
      <c r="A537" s="308"/>
      <c r="B537" s="308"/>
      <c r="C537" s="308"/>
      <c r="D537" s="308"/>
      <c r="E537" s="308"/>
      <c r="F537" s="308"/>
      <c r="G537" s="308"/>
      <c r="H537" s="308"/>
      <c r="I537" s="308"/>
      <c r="J537" s="308"/>
      <c r="K537" s="308"/>
      <c r="L537" s="308"/>
      <c r="M537" s="308"/>
      <c r="N537" s="308"/>
      <c r="O537" s="308"/>
      <c r="P537" s="308"/>
      <c r="Q537" s="308"/>
      <c r="R537" s="308"/>
      <c r="S537" s="308"/>
      <c r="T537" s="308"/>
      <c r="U537" s="308"/>
      <c r="V537" s="308"/>
      <c r="W537" s="308"/>
      <c r="X537" s="308"/>
      <c r="Y537" s="308"/>
      <c r="Z537" s="308"/>
    </row>
    <row r="538">
      <c r="A538" s="308"/>
      <c r="B538" s="308"/>
      <c r="C538" s="308"/>
      <c r="D538" s="308"/>
      <c r="E538" s="308"/>
      <c r="F538" s="308"/>
      <c r="G538" s="308"/>
      <c r="H538" s="308"/>
      <c r="I538" s="308"/>
      <c r="J538" s="308"/>
      <c r="K538" s="308"/>
      <c r="L538" s="308"/>
      <c r="M538" s="308"/>
      <c r="N538" s="308"/>
      <c r="O538" s="308"/>
      <c r="P538" s="308"/>
      <c r="Q538" s="308"/>
      <c r="R538" s="308"/>
      <c r="S538" s="308"/>
      <c r="T538" s="308"/>
      <c r="U538" s="308"/>
      <c r="V538" s="308"/>
      <c r="W538" s="308"/>
      <c r="X538" s="308"/>
      <c r="Y538" s="308"/>
      <c r="Z538" s="308"/>
    </row>
    <row r="539">
      <c r="A539" s="308"/>
      <c r="B539" s="308"/>
      <c r="C539" s="308"/>
      <c r="D539" s="308"/>
      <c r="E539" s="308"/>
      <c r="F539" s="308"/>
      <c r="G539" s="308"/>
      <c r="H539" s="308"/>
      <c r="I539" s="308"/>
      <c r="J539" s="308"/>
      <c r="K539" s="308"/>
      <c r="L539" s="308"/>
      <c r="M539" s="308"/>
      <c r="N539" s="308"/>
      <c r="O539" s="308"/>
      <c r="P539" s="308"/>
      <c r="Q539" s="308"/>
      <c r="R539" s="308"/>
      <c r="S539" s="308"/>
      <c r="T539" s="308"/>
      <c r="U539" s="308"/>
      <c r="V539" s="308"/>
      <c r="W539" s="308"/>
      <c r="X539" s="308"/>
      <c r="Y539" s="308"/>
      <c r="Z539" s="308"/>
    </row>
    <row r="540">
      <c r="A540" s="308"/>
      <c r="B540" s="308"/>
      <c r="C540" s="308"/>
      <c r="D540" s="308"/>
      <c r="E540" s="308"/>
      <c r="F540" s="308"/>
      <c r="G540" s="308"/>
      <c r="H540" s="308"/>
      <c r="I540" s="308"/>
      <c r="J540" s="308"/>
      <c r="K540" s="308"/>
      <c r="L540" s="308"/>
      <c r="M540" s="308"/>
      <c r="N540" s="308"/>
      <c r="O540" s="308"/>
      <c r="P540" s="308"/>
      <c r="Q540" s="308"/>
      <c r="R540" s="308"/>
      <c r="S540" s="308"/>
      <c r="T540" s="308"/>
      <c r="U540" s="308"/>
      <c r="V540" s="308"/>
      <c r="W540" s="308"/>
      <c r="X540" s="308"/>
      <c r="Y540" s="308"/>
      <c r="Z540" s="308"/>
    </row>
    <row r="541">
      <c r="A541" s="308"/>
      <c r="B541" s="308"/>
      <c r="C541" s="308"/>
      <c r="D541" s="308"/>
      <c r="E541" s="308"/>
      <c r="F541" s="308"/>
      <c r="G541" s="308"/>
      <c r="H541" s="308"/>
      <c r="I541" s="308"/>
      <c r="J541" s="308"/>
      <c r="K541" s="308"/>
      <c r="L541" s="308"/>
      <c r="M541" s="308"/>
      <c r="N541" s="308"/>
      <c r="O541" s="308"/>
      <c r="P541" s="308"/>
      <c r="Q541" s="308"/>
      <c r="R541" s="308"/>
      <c r="S541" s="308"/>
      <c r="T541" s="308"/>
      <c r="U541" s="308"/>
      <c r="V541" s="308"/>
      <c r="W541" s="308"/>
      <c r="X541" s="308"/>
      <c r="Y541" s="308"/>
      <c r="Z541" s="308"/>
    </row>
    <row r="542">
      <c r="A542" s="308"/>
      <c r="B542" s="308"/>
      <c r="C542" s="308"/>
      <c r="D542" s="308"/>
      <c r="E542" s="308"/>
      <c r="F542" s="308"/>
      <c r="G542" s="308"/>
      <c r="H542" s="308"/>
      <c r="I542" s="308"/>
      <c r="J542" s="308"/>
      <c r="K542" s="308"/>
      <c r="L542" s="308"/>
      <c r="M542" s="308"/>
      <c r="N542" s="308"/>
      <c r="O542" s="308"/>
      <c r="P542" s="308"/>
      <c r="Q542" s="308"/>
      <c r="R542" s="308"/>
      <c r="S542" s="308"/>
      <c r="T542" s="308"/>
      <c r="U542" s="308"/>
      <c r="V542" s="308"/>
      <c r="W542" s="308"/>
      <c r="X542" s="308"/>
      <c r="Y542" s="308"/>
      <c r="Z542" s="308"/>
    </row>
    <row r="543">
      <c r="A543" s="308"/>
      <c r="B543" s="308"/>
      <c r="C543" s="308"/>
      <c r="D543" s="308"/>
      <c r="E543" s="308"/>
      <c r="F543" s="308"/>
      <c r="G543" s="308"/>
      <c r="H543" s="308"/>
      <c r="I543" s="308"/>
      <c r="J543" s="308"/>
      <c r="K543" s="308"/>
      <c r="L543" s="308"/>
      <c r="M543" s="308"/>
      <c r="N543" s="308"/>
      <c r="O543" s="308"/>
      <c r="P543" s="308"/>
      <c r="Q543" s="308"/>
      <c r="R543" s="308"/>
      <c r="S543" s="308"/>
      <c r="T543" s="308"/>
      <c r="U543" s="308"/>
      <c r="V543" s="308"/>
      <c r="W543" s="308"/>
      <c r="X543" s="308"/>
      <c r="Y543" s="308"/>
      <c r="Z543" s="308"/>
    </row>
    <row r="544">
      <c r="A544" s="308"/>
      <c r="B544" s="308"/>
      <c r="C544" s="308"/>
      <c r="D544" s="308"/>
      <c r="E544" s="308"/>
      <c r="F544" s="308"/>
      <c r="G544" s="308"/>
      <c r="H544" s="308"/>
      <c r="I544" s="308"/>
      <c r="J544" s="308"/>
      <c r="K544" s="308"/>
      <c r="L544" s="308"/>
      <c r="M544" s="308"/>
      <c r="N544" s="308"/>
      <c r="O544" s="308"/>
      <c r="P544" s="308"/>
      <c r="Q544" s="308"/>
      <c r="R544" s="308"/>
      <c r="S544" s="308"/>
      <c r="T544" s="308"/>
      <c r="U544" s="308"/>
      <c r="V544" s="308"/>
      <c r="W544" s="308"/>
      <c r="X544" s="308"/>
      <c r="Y544" s="308"/>
      <c r="Z544" s="308"/>
    </row>
    <row r="545">
      <c r="A545" s="308"/>
      <c r="B545" s="308"/>
      <c r="C545" s="308"/>
      <c r="D545" s="308"/>
      <c r="E545" s="308"/>
      <c r="F545" s="308"/>
      <c r="G545" s="308"/>
      <c r="H545" s="308"/>
      <c r="I545" s="308"/>
      <c r="J545" s="308"/>
      <c r="K545" s="308"/>
      <c r="L545" s="308"/>
      <c r="M545" s="308"/>
      <c r="N545" s="308"/>
      <c r="O545" s="308"/>
      <c r="P545" s="308"/>
      <c r="Q545" s="308"/>
      <c r="R545" s="308"/>
      <c r="S545" s="308"/>
      <c r="T545" s="308"/>
      <c r="U545" s="308"/>
      <c r="V545" s="308"/>
      <c r="W545" s="308"/>
      <c r="X545" s="308"/>
      <c r="Y545" s="308"/>
      <c r="Z545" s="308"/>
    </row>
    <row r="546">
      <c r="A546" s="308"/>
      <c r="B546" s="308"/>
      <c r="C546" s="308"/>
      <c r="D546" s="308"/>
      <c r="E546" s="308"/>
      <c r="F546" s="308"/>
      <c r="G546" s="308"/>
      <c r="H546" s="308"/>
      <c r="I546" s="308"/>
      <c r="J546" s="308"/>
      <c r="K546" s="308"/>
      <c r="L546" s="308"/>
      <c r="M546" s="308"/>
      <c r="N546" s="308"/>
      <c r="O546" s="308"/>
      <c r="P546" s="308"/>
      <c r="Q546" s="308"/>
      <c r="R546" s="308"/>
      <c r="S546" s="308"/>
      <c r="T546" s="308"/>
      <c r="U546" s="308"/>
      <c r="V546" s="308"/>
      <c r="W546" s="308"/>
      <c r="X546" s="308"/>
      <c r="Y546" s="308"/>
      <c r="Z546" s="308"/>
    </row>
    <row r="547">
      <c r="A547" s="308"/>
      <c r="B547" s="308"/>
      <c r="C547" s="308"/>
      <c r="D547" s="308"/>
      <c r="E547" s="308"/>
      <c r="F547" s="308"/>
      <c r="G547" s="308"/>
      <c r="H547" s="308"/>
      <c r="I547" s="308"/>
      <c r="J547" s="308"/>
      <c r="K547" s="308"/>
      <c r="L547" s="308"/>
      <c r="M547" s="308"/>
      <c r="N547" s="308"/>
      <c r="O547" s="308"/>
      <c r="P547" s="308"/>
      <c r="Q547" s="308"/>
      <c r="R547" s="308"/>
      <c r="S547" s="308"/>
      <c r="T547" s="308"/>
      <c r="U547" s="308"/>
      <c r="V547" s="308"/>
      <c r="W547" s="308"/>
      <c r="X547" s="308"/>
      <c r="Y547" s="308"/>
      <c r="Z547" s="308"/>
    </row>
    <row r="548">
      <c r="A548" s="308"/>
      <c r="B548" s="308"/>
      <c r="C548" s="308"/>
      <c r="D548" s="308"/>
      <c r="E548" s="308"/>
      <c r="F548" s="308"/>
      <c r="G548" s="308"/>
      <c r="H548" s="308"/>
      <c r="I548" s="308"/>
      <c r="J548" s="308"/>
      <c r="K548" s="308"/>
      <c r="L548" s="308"/>
      <c r="M548" s="308"/>
      <c r="N548" s="308"/>
      <c r="O548" s="308"/>
      <c r="P548" s="308"/>
      <c r="Q548" s="308"/>
      <c r="R548" s="308"/>
      <c r="S548" s="308"/>
      <c r="T548" s="308"/>
      <c r="U548" s="308"/>
      <c r="V548" s="308"/>
      <c r="W548" s="308"/>
      <c r="X548" s="308"/>
      <c r="Y548" s="308"/>
      <c r="Z548" s="308"/>
    </row>
    <row r="549">
      <c r="A549" s="308"/>
      <c r="B549" s="308"/>
      <c r="C549" s="308"/>
      <c r="D549" s="308"/>
      <c r="E549" s="308"/>
      <c r="F549" s="308"/>
      <c r="G549" s="308"/>
      <c r="H549" s="308"/>
      <c r="I549" s="308"/>
      <c r="J549" s="308"/>
      <c r="K549" s="308"/>
      <c r="L549" s="308"/>
      <c r="M549" s="308"/>
      <c r="N549" s="308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  <c r="Z549" s="308"/>
    </row>
    <row r="550">
      <c r="A550" s="308"/>
      <c r="B550" s="308"/>
      <c r="C550" s="308"/>
      <c r="D550" s="308"/>
      <c r="E550" s="308"/>
      <c r="F550" s="308"/>
      <c r="G550" s="308"/>
      <c r="H550" s="308"/>
      <c r="I550" s="308"/>
      <c r="J550" s="308"/>
      <c r="K550" s="308"/>
      <c r="L550" s="308"/>
      <c r="M550" s="308"/>
      <c r="N550" s="308"/>
      <c r="O550" s="308"/>
      <c r="P550" s="308"/>
      <c r="Q550" s="308"/>
      <c r="R550" s="308"/>
      <c r="S550" s="308"/>
      <c r="T550" s="308"/>
      <c r="U550" s="308"/>
      <c r="V550" s="308"/>
      <c r="W550" s="308"/>
      <c r="X550" s="308"/>
      <c r="Y550" s="308"/>
      <c r="Z550" s="308"/>
    </row>
    <row r="551">
      <c r="A551" s="308"/>
      <c r="B551" s="308"/>
      <c r="C551" s="308"/>
      <c r="D551" s="308"/>
      <c r="E551" s="308"/>
      <c r="F551" s="308"/>
      <c r="G551" s="308"/>
      <c r="H551" s="308"/>
      <c r="I551" s="308"/>
      <c r="J551" s="308"/>
      <c r="K551" s="308"/>
      <c r="L551" s="308"/>
      <c r="M551" s="308"/>
      <c r="N551" s="308"/>
      <c r="O551" s="308"/>
      <c r="P551" s="308"/>
      <c r="Q551" s="308"/>
      <c r="R551" s="308"/>
      <c r="S551" s="308"/>
      <c r="T551" s="308"/>
      <c r="U551" s="308"/>
      <c r="V551" s="308"/>
      <c r="W551" s="308"/>
      <c r="X551" s="308"/>
      <c r="Y551" s="308"/>
      <c r="Z551" s="308"/>
    </row>
    <row r="552">
      <c r="A552" s="308"/>
      <c r="B552" s="308"/>
      <c r="C552" s="308"/>
      <c r="D552" s="308"/>
      <c r="E552" s="308"/>
      <c r="F552" s="308"/>
      <c r="G552" s="308"/>
      <c r="H552" s="308"/>
      <c r="I552" s="308"/>
      <c r="J552" s="308"/>
      <c r="K552" s="308"/>
      <c r="L552" s="308"/>
      <c r="M552" s="308"/>
      <c r="N552" s="308"/>
      <c r="O552" s="308"/>
      <c r="P552" s="308"/>
      <c r="Q552" s="308"/>
      <c r="R552" s="308"/>
      <c r="S552" s="308"/>
      <c r="T552" s="308"/>
      <c r="U552" s="308"/>
      <c r="V552" s="308"/>
      <c r="W552" s="308"/>
      <c r="X552" s="308"/>
      <c r="Y552" s="308"/>
      <c r="Z552" s="308"/>
    </row>
    <row r="553">
      <c r="A553" s="308"/>
      <c r="B553" s="308"/>
      <c r="C553" s="308"/>
      <c r="D553" s="308"/>
      <c r="E553" s="308"/>
      <c r="F553" s="308"/>
      <c r="G553" s="308"/>
      <c r="H553" s="308"/>
      <c r="I553" s="308"/>
      <c r="J553" s="308"/>
      <c r="K553" s="308"/>
      <c r="L553" s="308"/>
      <c r="M553" s="308"/>
      <c r="N553" s="308"/>
      <c r="O553" s="308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  <c r="Z553" s="308"/>
    </row>
    <row r="554">
      <c r="A554" s="308"/>
      <c r="B554" s="308"/>
      <c r="C554" s="308"/>
      <c r="D554" s="308"/>
      <c r="E554" s="308"/>
      <c r="F554" s="308"/>
      <c r="G554" s="308"/>
      <c r="H554" s="308"/>
      <c r="I554" s="308"/>
      <c r="J554" s="308"/>
      <c r="K554" s="308"/>
      <c r="L554" s="308"/>
      <c r="M554" s="308"/>
      <c r="N554" s="308"/>
      <c r="O554" s="308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  <c r="Z554" s="308"/>
    </row>
    <row r="555">
      <c r="A555" s="308"/>
      <c r="B555" s="308"/>
      <c r="C555" s="308"/>
      <c r="D555" s="308"/>
      <c r="E555" s="308"/>
      <c r="F555" s="308"/>
      <c r="G555" s="308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  <c r="Z555" s="308"/>
    </row>
    <row r="556">
      <c r="A556" s="308"/>
      <c r="B556" s="308"/>
      <c r="C556" s="308"/>
      <c r="D556" s="308"/>
      <c r="E556" s="308"/>
      <c r="F556" s="308"/>
      <c r="G556" s="308"/>
      <c r="H556" s="308"/>
      <c r="I556" s="308"/>
      <c r="J556" s="308"/>
      <c r="K556" s="308"/>
      <c r="L556" s="308"/>
      <c r="M556" s="308"/>
      <c r="N556" s="308"/>
      <c r="O556" s="308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  <c r="Z556" s="308"/>
    </row>
    <row r="557">
      <c r="A557" s="308"/>
      <c r="B557" s="308"/>
      <c r="C557" s="308"/>
      <c r="D557" s="308"/>
      <c r="E557" s="308"/>
      <c r="F557" s="308"/>
      <c r="G557" s="308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  <c r="Z557" s="308"/>
    </row>
    <row r="558">
      <c r="A558" s="308"/>
      <c r="B558" s="308"/>
      <c r="C558" s="308"/>
      <c r="D558" s="308"/>
      <c r="E558" s="308"/>
      <c r="F558" s="308"/>
      <c r="G558" s="308"/>
      <c r="H558" s="308"/>
      <c r="I558" s="308"/>
      <c r="J558" s="308"/>
      <c r="K558" s="308"/>
      <c r="L558" s="308"/>
      <c r="M558" s="308"/>
      <c r="N558" s="308"/>
      <c r="O558" s="308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  <c r="Z558" s="308"/>
    </row>
    <row r="559">
      <c r="A559" s="308"/>
      <c r="B559" s="308"/>
      <c r="C559" s="308"/>
      <c r="D559" s="308"/>
      <c r="E559" s="308"/>
      <c r="F559" s="308"/>
      <c r="G559" s="308"/>
      <c r="H559" s="308"/>
      <c r="I559" s="308"/>
      <c r="J559" s="308"/>
      <c r="K559" s="308"/>
      <c r="L559" s="308"/>
      <c r="M559" s="308"/>
      <c r="N559" s="308"/>
      <c r="O559" s="308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  <c r="Z559" s="308"/>
    </row>
    <row r="560">
      <c r="A560" s="308"/>
      <c r="B560" s="308"/>
      <c r="C560" s="308"/>
      <c r="D560" s="308"/>
      <c r="E560" s="308"/>
      <c r="F560" s="308"/>
      <c r="G560" s="308"/>
      <c r="H560" s="308"/>
      <c r="I560" s="308"/>
      <c r="J560" s="308"/>
      <c r="K560" s="308"/>
      <c r="L560" s="308"/>
      <c r="M560" s="308"/>
      <c r="N560" s="308"/>
      <c r="O560" s="308"/>
      <c r="P560" s="308"/>
      <c r="Q560" s="308"/>
      <c r="R560" s="308"/>
      <c r="S560" s="308"/>
      <c r="T560" s="308"/>
      <c r="U560" s="308"/>
      <c r="V560" s="308"/>
      <c r="W560" s="308"/>
      <c r="X560" s="308"/>
      <c r="Y560" s="308"/>
      <c r="Z560" s="308"/>
    </row>
    <row r="561">
      <c r="A561" s="308"/>
      <c r="B561" s="308"/>
      <c r="C561" s="308"/>
      <c r="D561" s="308"/>
      <c r="E561" s="308"/>
      <c r="F561" s="308"/>
      <c r="G561" s="308"/>
      <c r="H561" s="308"/>
      <c r="I561" s="308"/>
      <c r="J561" s="308"/>
      <c r="K561" s="308"/>
      <c r="L561" s="308"/>
      <c r="M561" s="308"/>
      <c r="N561" s="308"/>
      <c r="O561" s="308"/>
      <c r="P561" s="308"/>
      <c r="Q561" s="308"/>
      <c r="R561" s="308"/>
      <c r="S561" s="308"/>
      <c r="T561" s="308"/>
      <c r="U561" s="308"/>
      <c r="V561" s="308"/>
      <c r="W561" s="308"/>
      <c r="X561" s="308"/>
      <c r="Y561" s="308"/>
      <c r="Z561" s="308"/>
    </row>
    <row r="562">
      <c r="A562" s="308"/>
      <c r="B562" s="308"/>
      <c r="C562" s="308"/>
      <c r="D562" s="308"/>
      <c r="E562" s="308"/>
      <c r="F562" s="308"/>
      <c r="G562" s="308"/>
      <c r="H562" s="308"/>
      <c r="I562" s="308"/>
      <c r="J562" s="308"/>
      <c r="K562" s="308"/>
      <c r="L562" s="308"/>
      <c r="M562" s="308"/>
      <c r="N562" s="308"/>
      <c r="O562" s="308"/>
      <c r="P562" s="308"/>
      <c r="Q562" s="308"/>
      <c r="R562" s="308"/>
      <c r="S562" s="308"/>
      <c r="T562" s="308"/>
      <c r="U562" s="308"/>
      <c r="V562" s="308"/>
      <c r="W562" s="308"/>
      <c r="X562" s="308"/>
      <c r="Y562" s="308"/>
      <c r="Z562" s="308"/>
    </row>
    <row r="563">
      <c r="A563" s="308"/>
      <c r="B563" s="308"/>
      <c r="C563" s="308"/>
      <c r="D563" s="308"/>
      <c r="E563" s="308"/>
      <c r="F563" s="308"/>
      <c r="G563" s="308"/>
      <c r="H563" s="308"/>
      <c r="I563" s="308"/>
      <c r="J563" s="308"/>
      <c r="K563" s="308"/>
      <c r="L563" s="308"/>
      <c r="M563" s="308"/>
      <c r="N563" s="308"/>
      <c r="O563" s="308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  <c r="Z563" s="308"/>
    </row>
    <row r="564">
      <c r="A564" s="308"/>
      <c r="B564" s="308"/>
      <c r="C564" s="308"/>
      <c r="D564" s="308"/>
      <c r="E564" s="308"/>
      <c r="F564" s="308"/>
      <c r="G564" s="308"/>
      <c r="H564" s="308"/>
      <c r="I564" s="308"/>
      <c r="J564" s="308"/>
      <c r="K564" s="308"/>
      <c r="L564" s="308"/>
      <c r="M564" s="308"/>
      <c r="N564" s="308"/>
      <c r="O564" s="308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  <c r="Z564" s="308"/>
    </row>
    <row r="565">
      <c r="A565" s="308"/>
      <c r="B565" s="308"/>
      <c r="C565" s="308"/>
      <c r="D565" s="308"/>
      <c r="E565" s="308"/>
      <c r="F565" s="308"/>
      <c r="G565" s="308"/>
      <c r="H565" s="308"/>
      <c r="I565" s="308"/>
      <c r="J565" s="308"/>
      <c r="K565" s="308"/>
      <c r="L565" s="308"/>
      <c r="M565" s="308"/>
      <c r="N565" s="308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</row>
    <row r="566">
      <c r="A566" s="308"/>
      <c r="B566" s="308"/>
      <c r="C566" s="308"/>
      <c r="D566" s="308"/>
      <c r="E566" s="308"/>
      <c r="F566" s="308"/>
      <c r="G566" s="308"/>
      <c r="H566" s="308"/>
      <c r="I566" s="308"/>
      <c r="J566" s="308"/>
      <c r="K566" s="308"/>
      <c r="L566" s="308"/>
      <c r="M566" s="308"/>
      <c r="N566" s="308"/>
      <c r="O566" s="308"/>
      <c r="P566" s="308"/>
      <c r="Q566" s="308"/>
      <c r="R566" s="308"/>
      <c r="S566" s="308"/>
      <c r="T566" s="308"/>
      <c r="U566" s="308"/>
      <c r="V566" s="308"/>
      <c r="W566" s="308"/>
      <c r="X566" s="308"/>
      <c r="Y566" s="308"/>
      <c r="Z566" s="308"/>
    </row>
    <row r="567">
      <c r="A567" s="308"/>
      <c r="B567" s="308"/>
      <c r="C567" s="308"/>
      <c r="D567" s="308"/>
      <c r="E567" s="308"/>
      <c r="F567" s="308"/>
      <c r="G567" s="308"/>
      <c r="H567" s="308"/>
      <c r="I567" s="308"/>
      <c r="J567" s="308"/>
      <c r="K567" s="308"/>
      <c r="L567" s="308"/>
      <c r="M567" s="308"/>
      <c r="N567" s="308"/>
      <c r="O567" s="308"/>
      <c r="P567" s="308"/>
      <c r="Q567" s="308"/>
      <c r="R567" s="308"/>
      <c r="S567" s="308"/>
      <c r="T567" s="308"/>
      <c r="U567" s="308"/>
      <c r="V567" s="308"/>
      <c r="W567" s="308"/>
      <c r="X567" s="308"/>
      <c r="Y567" s="308"/>
      <c r="Z567" s="308"/>
    </row>
    <row r="568">
      <c r="A568" s="308"/>
      <c r="B568" s="308"/>
      <c r="C568" s="308"/>
      <c r="D568" s="308"/>
      <c r="E568" s="308"/>
      <c r="F568" s="308"/>
      <c r="G568" s="308"/>
      <c r="H568" s="308"/>
      <c r="I568" s="308"/>
      <c r="J568" s="308"/>
      <c r="K568" s="308"/>
      <c r="L568" s="308"/>
      <c r="M568" s="308"/>
      <c r="N568" s="308"/>
      <c r="O568" s="308"/>
      <c r="P568" s="308"/>
      <c r="Q568" s="308"/>
      <c r="R568" s="308"/>
      <c r="S568" s="308"/>
      <c r="T568" s="308"/>
      <c r="U568" s="308"/>
      <c r="V568" s="308"/>
      <c r="W568" s="308"/>
      <c r="X568" s="308"/>
      <c r="Y568" s="308"/>
      <c r="Z568" s="308"/>
    </row>
    <row r="569">
      <c r="A569" s="308"/>
      <c r="B569" s="308"/>
      <c r="C569" s="308"/>
      <c r="D569" s="308"/>
      <c r="E569" s="308"/>
      <c r="F569" s="308"/>
      <c r="G569" s="308"/>
      <c r="H569" s="308"/>
      <c r="I569" s="308"/>
      <c r="J569" s="308"/>
      <c r="K569" s="308"/>
      <c r="L569" s="308"/>
      <c r="M569" s="308"/>
      <c r="N569" s="308"/>
      <c r="O569" s="308"/>
      <c r="P569" s="308"/>
      <c r="Q569" s="308"/>
      <c r="R569" s="308"/>
      <c r="S569" s="308"/>
      <c r="T569" s="308"/>
      <c r="U569" s="308"/>
      <c r="V569" s="308"/>
      <c r="W569" s="308"/>
      <c r="X569" s="308"/>
      <c r="Y569" s="308"/>
      <c r="Z569" s="308"/>
    </row>
    <row r="570">
      <c r="A570" s="308"/>
      <c r="B570" s="308"/>
      <c r="C570" s="308"/>
      <c r="D570" s="308"/>
      <c r="E570" s="308"/>
      <c r="F570" s="308"/>
      <c r="G570" s="308"/>
      <c r="H570" s="308"/>
      <c r="I570" s="308"/>
      <c r="J570" s="308"/>
      <c r="K570" s="308"/>
      <c r="L570" s="308"/>
      <c r="M570" s="308"/>
      <c r="N570" s="308"/>
      <c r="O570" s="308"/>
      <c r="P570" s="308"/>
      <c r="Q570" s="308"/>
      <c r="R570" s="308"/>
      <c r="S570" s="308"/>
      <c r="T570" s="308"/>
      <c r="U570" s="308"/>
      <c r="V570" s="308"/>
      <c r="W570" s="308"/>
      <c r="X570" s="308"/>
      <c r="Y570" s="308"/>
      <c r="Z570" s="308"/>
    </row>
    <row r="571">
      <c r="A571" s="308"/>
      <c r="B571" s="308"/>
      <c r="C571" s="308"/>
      <c r="D571" s="308"/>
      <c r="E571" s="308"/>
      <c r="F571" s="308"/>
      <c r="G571" s="308"/>
      <c r="H571" s="308"/>
      <c r="I571" s="308"/>
      <c r="J571" s="308"/>
      <c r="K571" s="308"/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  <c r="Z571" s="308"/>
    </row>
    <row r="572">
      <c r="A572" s="308"/>
      <c r="B572" s="308"/>
      <c r="C572" s="308"/>
      <c r="D572" s="308"/>
      <c r="E572" s="308"/>
      <c r="F572" s="308"/>
      <c r="G572" s="308"/>
      <c r="H572" s="308"/>
      <c r="I572" s="308"/>
      <c r="J572" s="308"/>
      <c r="K572" s="308"/>
      <c r="L572" s="308"/>
      <c r="M572" s="308"/>
      <c r="N572" s="308"/>
      <c r="O572" s="308"/>
      <c r="P572" s="308"/>
      <c r="Q572" s="308"/>
      <c r="R572" s="308"/>
      <c r="S572" s="308"/>
      <c r="T572" s="308"/>
      <c r="U572" s="308"/>
      <c r="V572" s="308"/>
      <c r="W572" s="308"/>
      <c r="X572" s="308"/>
      <c r="Y572" s="308"/>
      <c r="Z572" s="308"/>
    </row>
    <row r="573">
      <c r="A573" s="308"/>
      <c r="B573" s="308"/>
      <c r="C573" s="308"/>
      <c r="D573" s="308"/>
      <c r="E573" s="308"/>
      <c r="F573" s="308"/>
      <c r="G573" s="308"/>
      <c r="H573" s="308"/>
      <c r="I573" s="308"/>
      <c r="J573" s="308"/>
      <c r="K573" s="308"/>
      <c r="L573" s="308"/>
      <c r="M573" s="308"/>
      <c r="N573" s="308"/>
      <c r="O573" s="308"/>
      <c r="P573" s="308"/>
      <c r="Q573" s="308"/>
      <c r="R573" s="308"/>
      <c r="S573" s="308"/>
      <c r="T573" s="308"/>
      <c r="U573" s="308"/>
      <c r="V573" s="308"/>
      <c r="W573" s="308"/>
      <c r="X573" s="308"/>
      <c r="Y573" s="308"/>
      <c r="Z573" s="308"/>
    </row>
    <row r="574">
      <c r="A574" s="308"/>
      <c r="B574" s="308"/>
      <c r="C574" s="308"/>
      <c r="D574" s="308"/>
      <c r="E574" s="308"/>
      <c r="F574" s="308"/>
      <c r="G574" s="308"/>
      <c r="H574" s="308"/>
      <c r="I574" s="308"/>
      <c r="J574" s="308"/>
      <c r="K574" s="308"/>
      <c r="L574" s="308"/>
      <c r="M574" s="308"/>
      <c r="N574" s="308"/>
      <c r="O574" s="308"/>
      <c r="P574" s="308"/>
      <c r="Q574" s="308"/>
      <c r="R574" s="308"/>
      <c r="S574" s="308"/>
      <c r="T574" s="308"/>
      <c r="U574" s="308"/>
      <c r="V574" s="308"/>
      <c r="W574" s="308"/>
      <c r="X574" s="308"/>
      <c r="Y574" s="308"/>
      <c r="Z574" s="308"/>
    </row>
    <row r="575">
      <c r="A575" s="308"/>
      <c r="B575" s="308"/>
      <c r="C575" s="308"/>
      <c r="D575" s="308"/>
      <c r="E575" s="308"/>
      <c r="F575" s="308"/>
      <c r="G575" s="308"/>
      <c r="H575" s="308"/>
      <c r="I575" s="308"/>
      <c r="J575" s="308"/>
      <c r="K575" s="308"/>
      <c r="L575" s="308"/>
      <c r="M575" s="308"/>
      <c r="N575" s="308"/>
      <c r="O575" s="308"/>
      <c r="P575" s="308"/>
      <c r="Q575" s="308"/>
      <c r="R575" s="308"/>
      <c r="S575" s="308"/>
      <c r="T575" s="308"/>
      <c r="U575" s="308"/>
      <c r="V575" s="308"/>
      <c r="W575" s="308"/>
      <c r="X575" s="308"/>
      <c r="Y575" s="308"/>
      <c r="Z575" s="308"/>
    </row>
    <row r="576">
      <c r="A576" s="308"/>
      <c r="B576" s="308"/>
      <c r="C576" s="308"/>
      <c r="D576" s="308"/>
      <c r="E576" s="308"/>
      <c r="F576" s="308"/>
      <c r="G576" s="308"/>
      <c r="H576" s="308"/>
      <c r="I576" s="308"/>
      <c r="J576" s="308"/>
      <c r="K576" s="308"/>
      <c r="L576" s="308"/>
      <c r="M576" s="308"/>
      <c r="N576" s="308"/>
      <c r="O576" s="308"/>
      <c r="P576" s="308"/>
      <c r="Q576" s="308"/>
      <c r="R576" s="308"/>
      <c r="S576" s="308"/>
      <c r="T576" s="308"/>
      <c r="U576" s="308"/>
      <c r="V576" s="308"/>
      <c r="W576" s="308"/>
      <c r="X576" s="308"/>
      <c r="Y576" s="308"/>
      <c r="Z576" s="308"/>
    </row>
    <row r="577">
      <c r="A577" s="308"/>
      <c r="B577" s="308"/>
      <c r="C577" s="308"/>
      <c r="D577" s="308"/>
      <c r="E577" s="308"/>
      <c r="F577" s="308"/>
      <c r="G577" s="308"/>
      <c r="H577" s="308"/>
      <c r="I577" s="308"/>
      <c r="J577" s="308"/>
      <c r="K577" s="308"/>
      <c r="L577" s="308"/>
      <c r="M577" s="308"/>
      <c r="N577" s="308"/>
      <c r="O577" s="308"/>
      <c r="P577" s="308"/>
      <c r="Q577" s="308"/>
      <c r="R577" s="308"/>
      <c r="S577" s="308"/>
      <c r="T577" s="308"/>
      <c r="U577" s="308"/>
      <c r="V577" s="308"/>
      <c r="W577" s="308"/>
      <c r="X577" s="308"/>
      <c r="Y577" s="308"/>
      <c r="Z577" s="308"/>
    </row>
    <row r="578">
      <c r="A578" s="308"/>
      <c r="B578" s="308"/>
      <c r="C578" s="308"/>
      <c r="D578" s="308"/>
      <c r="E578" s="308"/>
      <c r="F578" s="308"/>
      <c r="G578" s="308"/>
      <c r="H578" s="308"/>
      <c r="I578" s="308"/>
      <c r="J578" s="308"/>
      <c r="K578" s="308"/>
      <c r="L578" s="308"/>
      <c r="M578" s="308"/>
      <c r="N578" s="308"/>
      <c r="O578" s="308"/>
      <c r="P578" s="308"/>
      <c r="Q578" s="308"/>
      <c r="R578" s="308"/>
      <c r="S578" s="308"/>
      <c r="T578" s="308"/>
      <c r="U578" s="308"/>
      <c r="V578" s="308"/>
      <c r="W578" s="308"/>
      <c r="X578" s="308"/>
      <c r="Y578" s="308"/>
      <c r="Z578" s="308"/>
    </row>
    <row r="579">
      <c r="A579" s="308"/>
      <c r="B579" s="308"/>
      <c r="C579" s="308"/>
      <c r="D579" s="308"/>
      <c r="E579" s="308"/>
      <c r="F579" s="308"/>
      <c r="G579" s="308"/>
      <c r="H579" s="308"/>
      <c r="I579" s="308"/>
      <c r="J579" s="308"/>
      <c r="K579" s="308"/>
      <c r="L579" s="308"/>
      <c r="M579" s="308"/>
      <c r="N579" s="308"/>
      <c r="O579" s="308"/>
      <c r="P579" s="308"/>
      <c r="Q579" s="308"/>
      <c r="R579" s="308"/>
      <c r="S579" s="308"/>
      <c r="T579" s="308"/>
      <c r="U579" s="308"/>
      <c r="V579" s="308"/>
      <c r="W579" s="308"/>
      <c r="X579" s="308"/>
      <c r="Y579" s="308"/>
      <c r="Z579" s="308"/>
    </row>
    <row r="580">
      <c r="A580" s="308"/>
      <c r="B580" s="308"/>
      <c r="C580" s="308"/>
      <c r="D580" s="308"/>
      <c r="E580" s="308"/>
      <c r="F580" s="308"/>
      <c r="G580" s="308"/>
      <c r="H580" s="308"/>
      <c r="I580" s="308"/>
      <c r="J580" s="308"/>
      <c r="K580" s="308"/>
      <c r="L580" s="308"/>
      <c r="M580" s="308"/>
      <c r="N580" s="308"/>
      <c r="O580" s="308"/>
      <c r="P580" s="308"/>
      <c r="Q580" s="308"/>
      <c r="R580" s="308"/>
      <c r="S580" s="308"/>
      <c r="T580" s="308"/>
      <c r="U580" s="308"/>
      <c r="V580" s="308"/>
      <c r="W580" s="308"/>
      <c r="X580" s="308"/>
      <c r="Y580" s="308"/>
      <c r="Z580" s="308"/>
    </row>
    <row r="581">
      <c r="A581" s="308"/>
      <c r="B581" s="308"/>
      <c r="C581" s="308"/>
      <c r="D581" s="308"/>
      <c r="E581" s="308"/>
      <c r="F581" s="308"/>
      <c r="G581" s="308"/>
      <c r="H581" s="308"/>
      <c r="I581" s="308"/>
      <c r="J581" s="308"/>
      <c r="K581" s="308"/>
      <c r="L581" s="308"/>
      <c r="M581" s="308"/>
      <c r="N581" s="308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  <c r="Z581" s="308"/>
    </row>
    <row r="582">
      <c r="A582" s="308"/>
      <c r="B582" s="308"/>
      <c r="C582" s="308"/>
      <c r="D582" s="308"/>
      <c r="E582" s="308"/>
      <c r="F582" s="308"/>
      <c r="G582" s="308"/>
      <c r="H582" s="308"/>
      <c r="I582" s="308"/>
      <c r="J582" s="308"/>
      <c r="K582" s="308"/>
      <c r="L582" s="308"/>
      <c r="M582" s="308"/>
      <c r="N582" s="308"/>
      <c r="O582" s="308"/>
      <c r="P582" s="308"/>
      <c r="Q582" s="308"/>
      <c r="R582" s="308"/>
      <c r="S582" s="308"/>
      <c r="T582" s="308"/>
      <c r="U582" s="308"/>
      <c r="V582" s="308"/>
      <c r="W582" s="308"/>
      <c r="X582" s="308"/>
      <c r="Y582" s="308"/>
      <c r="Z582" s="308"/>
    </row>
    <row r="583">
      <c r="A583" s="308"/>
      <c r="B583" s="308"/>
      <c r="C583" s="308"/>
      <c r="D583" s="308"/>
      <c r="E583" s="308"/>
      <c r="F583" s="308"/>
      <c r="G583" s="308"/>
      <c r="H583" s="308"/>
      <c r="I583" s="308"/>
      <c r="J583" s="308"/>
      <c r="K583" s="308"/>
      <c r="L583" s="308"/>
      <c r="M583" s="308"/>
      <c r="N583" s="308"/>
      <c r="O583" s="308"/>
      <c r="P583" s="308"/>
      <c r="Q583" s="308"/>
      <c r="R583" s="308"/>
      <c r="S583" s="308"/>
      <c r="T583" s="308"/>
      <c r="U583" s="308"/>
      <c r="V583" s="308"/>
      <c r="W583" s="308"/>
      <c r="X583" s="308"/>
      <c r="Y583" s="308"/>
      <c r="Z583" s="308"/>
    </row>
    <row r="584">
      <c r="A584" s="308"/>
      <c r="B584" s="308"/>
      <c r="C584" s="308"/>
      <c r="D584" s="308"/>
      <c r="E584" s="308"/>
      <c r="F584" s="308"/>
      <c r="G584" s="308"/>
      <c r="H584" s="308"/>
      <c r="I584" s="308"/>
      <c r="J584" s="308"/>
      <c r="K584" s="308"/>
      <c r="L584" s="308"/>
      <c r="M584" s="308"/>
      <c r="N584" s="308"/>
      <c r="O584" s="308"/>
      <c r="P584" s="308"/>
      <c r="Q584" s="308"/>
      <c r="R584" s="308"/>
      <c r="S584" s="308"/>
      <c r="T584" s="308"/>
      <c r="U584" s="308"/>
      <c r="V584" s="308"/>
      <c r="W584" s="308"/>
      <c r="X584" s="308"/>
      <c r="Y584" s="308"/>
      <c r="Z584" s="308"/>
    </row>
    <row r="585">
      <c r="A585" s="308"/>
      <c r="B585" s="308"/>
      <c r="C585" s="308"/>
      <c r="D585" s="308"/>
      <c r="E585" s="308"/>
      <c r="F585" s="308"/>
      <c r="G585" s="308"/>
      <c r="H585" s="308"/>
      <c r="I585" s="308"/>
      <c r="J585" s="308"/>
      <c r="K585" s="308"/>
      <c r="L585" s="308"/>
      <c r="M585" s="308"/>
      <c r="N585" s="308"/>
      <c r="O585" s="308"/>
      <c r="P585" s="308"/>
      <c r="Q585" s="308"/>
      <c r="R585" s="308"/>
      <c r="S585" s="308"/>
      <c r="T585" s="308"/>
      <c r="U585" s="308"/>
      <c r="V585" s="308"/>
      <c r="W585" s="308"/>
      <c r="X585" s="308"/>
      <c r="Y585" s="308"/>
      <c r="Z585" s="308"/>
    </row>
    <row r="586">
      <c r="A586" s="308"/>
      <c r="B586" s="308"/>
      <c r="C586" s="308"/>
      <c r="D586" s="308"/>
      <c r="E586" s="308"/>
      <c r="F586" s="308"/>
      <c r="G586" s="308"/>
      <c r="H586" s="308"/>
      <c r="I586" s="308"/>
      <c r="J586" s="308"/>
      <c r="K586" s="308"/>
      <c r="L586" s="308"/>
      <c r="M586" s="308"/>
      <c r="N586" s="308"/>
      <c r="O586" s="308"/>
      <c r="P586" s="308"/>
      <c r="Q586" s="308"/>
      <c r="R586" s="308"/>
      <c r="S586" s="308"/>
      <c r="T586" s="308"/>
      <c r="U586" s="308"/>
      <c r="V586" s="308"/>
      <c r="W586" s="308"/>
      <c r="X586" s="308"/>
      <c r="Y586" s="308"/>
      <c r="Z586" s="308"/>
    </row>
    <row r="587">
      <c r="A587" s="308"/>
      <c r="B587" s="308"/>
      <c r="C587" s="308"/>
      <c r="D587" s="308"/>
      <c r="E587" s="308"/>
      <c r="F587" s="308"/>
      <c r="G587" s="308"/>
      <c r="H587" s="308"/>
      <c r="I587" s="308"/>
      <c r="J587" s="308"/>
      <c r="K587" s="308"/>
      <c r="L587" s="308"/>
      <c r="M587" s="308"/>
      <c r="N587" s="308"/>
      <c r="O587" s="308"/>
      <c r="P587" s="308"/>
      <c r="Q587" s="308"/>
      <c r="R587" s="308"/>
      <c r="S587" s="308"/>
      <c r="T587" s="308"/>
      <c r="U587" s="308"/>
      <c r="V587" s="308"/>
      <c r="W587" s="308"/>
      <c r="X587" s="308"/>
      <c r="Y587" s="308"/>
      <c r="Z587" s="308"/>
    </row>
    <row r="588">
      <c r="A588" s="308"/>
      <c r="B588" s="308"/>
      <c r="C588" s="308"/>
      <c r="D588" s="308"/>
      <c r="E588" s="308"/>
      <c r="F588" s="308"/>
      <c r="G588" s="308"/>
      <c r="H588" s="308"/>
      <c r="I588" s="308"/>
      <c r="J588" s="308"/>
      <c r="K588" s="308"/>
      <c r="L588" s="308"/>
      <c r="M588" s="308"/>
      <c r="N588" s="308"/>
      <c r="O588" s="308"/>
      <c r="P588" s="308"/>
      <c r="Q588" s="308"/>
      <c r="R588" s="308"/>
      <c r="S588" s="308"/>
      <c r="T588" s="308"/>
      <c r="U588" s="308"/>
      <c r="V588" s="308"/>
      <c r="W588" s="308"/>
      <c r="X588" s="308"/>
      <c r="Y588" s="308"/>
      <c r="Z588" s="308"/>
    </row>
    <row r="589">
      <c r="A589" s="308"/>
      <c r="B589" s="308"/>
      <c r="C589" s="308"/>
      <c r="D589" s="308"/>
      <c r="E589" s="308"/>
      <c r="F589" s="308"/>
      <c r="G589" s="308"/>
      <c r="H589" s="308"/>
      <c r="I589" s="308"/>
      <c r="J589" s="308"/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  <c r="Z589" s="308"/>
    </row>
    <row r="590">
      <c r="A590" s="308"/>
      <c r="B590" s="308"/>
      <c r="C590" s="308"/>
      <c r="D590" s="308"/>
      <c r="E590" s="308"/>
      <c r="F590" s="308"/>
      <c r="G590" s="308"/>
      <c r="H590" s="308"/>
      <c r="I590" s="308"/>
      <c r="J590" s="308"/>
      <c r="K590" s="308"/>
      <c r="L590" s="308"/>
      <c r="M590" s="308"/>
      <c r="N590" s="308"/>
      <c r="O590" s="308"/>
      <c r="P590" s="308"/>
      <c r="Q590" s="308"/>
      <c r="R590" s="308"/>
      <c r="S590" s="308"/>
      <c r="T590" s="308"/>
      <c r="U590" s="308"/>
      <c r="V590" s="308"/>
      <c r="W590" s="308"/>
      <c r="X590" s="308"/>
      <c r="Y590" s="308"/>
      <c r="Z590" s="308"/>
    </row>
    <row r="591">
      <c r="A591" s="308"/>
      <c r="B591" s="308"/>
      <c r="C591" s="308"/>
      <c r="D591" s="308"/>
      <c r="E591" s="308"/>
      <c r="F591" s="308"/>
      <c r="G591" s="308"/>
      <c r="H591" s="308"/>
      <c r="I591" s="308"/>
      <c r="J591" s="308"/>
      <c r="K591" s="308"/>
      <c r="L591" s="308"/>
      <c r="M591" s="308"/>
      <c r="N591" s="308"/>
      <c r="O591" s="308"/>
      <c r="P591" s="308"/>
      <c r="Q591" s="308"/>
      <c r="R591" s="308"/>
      <c r="S591" s="308"/>
      <c r="T591" s="308"/>
      <c r="U591" s="308"/>
      <c r="V591" s="308"/>
      <c r="W591" s="308"/>
      <c r="X591" s="308"/>
      <c r="Y591" s="308"/>
      <c r="Z591" s="308"/>
    </row>
    <row r="592">
      <c r="A592" s="308"/>
      <c r="B592" s="308"/>
      <c r="C592" s="308"/>
      <c r="D592" s="308"/>
      <c r="E592" s="308"/>
      <c r="F592" s="308"/>
      <c r="G592" s="308"/>
      <c r="H592" s="308"/>
      <c r="I592" s="308"/>
      <c r="J592" s="308"/>
      <c r="K592" s="308"/>
      <c r="L592" s="308"/>
      <c r="M592" s="308"/>
      <c r="N592" s="308"/>
      <c r="O592" s="308"/>
      <c r="P592" s="308"/>
      <c r="Q592" s="308"/>
      <c r="R592" s="308"/>
      <c r="S592" s="308"/>
      <c r="T592" s="308"/>
      <c r="U592" s="308"/>
      <c r="V592" s="308"/>
      <c r="W592" s="308"/>
      <c r="X592" s="308"/>
      <c r="Y592" s="308"/>
      <c r="Z592" s="308"/>
    </row>
    <row r="593">
      <c r="A593" s="308"/>
      <c r="B593" s="308"/>
      <c r="C593" s="308"/>
      <c r="D593" s="308"/>
      <c r="E593" s="308"/>
      <c r="F593" s="308"/>
      <c r="G593" s="308"/>
      <c r="H593" s="308"/>
      <c r="I593" s="308"/>
      <c r="J593" s="308"/>
      <c r="K593" s="308"/>
      <c r="L593" s="308"/>
      <c r="M593" s="308"/>
      <c r="N593" s="308"/>
      <c r="O593" s="308"/>
      <c r="P593" s="308"/>
      <c r="Q593" s="308"/>
      <c r="R593" s="308"/>
      <c r="S593" s="308"/>
      <c r="T593" s="308"/>
      <c r="U593" s="308"/>
      <c r="V593" s="308"/>
      <c r="W593" s="308"/>
      <c r="X593" s="308"/>
      <c r="Y593" s="308"/>
      <c r="Z593" s="308"/>
    </row>
    <row r="594">
      <c r="A594" s="308"/>
      <c r="B594" s="308"/>
      <c r="C594" s="308"/>
      <c r="D594" s="308"/>
      <c r="E594" s="308"/>
      <c r="F594" s="308"/>
      <c r="G594" s="308"/>
      <c r="H594" s="308"/>
      <c r="I594" s="308"/>
      <c r="J594" s="308"/>
      <c r="K594" s="308"/>
      <c r="L594" s="308"/>
      <c r="M594" s="308"/>
      <c r="N594" s="308"/>
      <c r="O594" s="308"/>
      <c r="P594" s="308"/>
      <c r="Q594" s="308"/>
      <c r="R594" s="308"/>
      <c r="S594" s="308"/>
      <c r="T594" s="308"/>
      <c r="U594" s="308"/>
      <c r="V594" s="308"/>
      <c r="W594" s="308"/>
      <c r="X594" s="308"/>
      <c r="Y594" s="308"/>
      <c r="Z594" s="308"/>
    </row>
    <row r="595">
      <c r="A595" s="308"/>
      <c r="B595" s="308"/>
      <c r="C595" s="308"/>
      <c r="D595" s="308"/>
      <c r="E595" s="308"/>
      <c r="F595" s="308"/>
      <c r="G595" s="308"/>
      <c r="H595" s="308"/>
      <c r="I595" s="308"/>
      <c r="J595" s="308"/>
      <c r="K595" s="308"/>
      <c r="L595" s="308"/>
      <c r="M595" s="308"/>
      <c r="N595" s="308"/>
      <c r="O595" s="308"/>
      <c r="P595" s="308"/>
      <c r="Q595" s="308"/>
      <c r="R595" s="308"/>
      <c r="S595" s="308"/>
      <c r="T595" s="308"/>
      <c r="U595" s="308"/>
      <c r="V595" s="308"/>
      <c r="W595" s="308"/>
      <c r="X595" s="308"/>
      <c r="Y595" s="308"/>
      <c r="Z595" s="308"/>
    </row>
    <row r="596">
      <c r="A596" s="308"/>
      <c r="B596" s="308"/>
      <c r="C596" s="308"/>
      <c r="D596" s="308"/>
      <c r="E596" s="308"/>
      <c r="F596" s="308"/>
      <c r="G596" s="308"/>
      <c r="H596" s="308"/>
      <c r="I596" s="308"/>
      <c r="J596" s="308"/>
      <c r="K596" s="308"/>
      <c r="L596" s="308"/>
      <c r="M596" s="308"/>
      <c r="N596" s="308"/>
      <c r="O596" s="308"/>
      <c r="P596" s="308"/>
      <c r="Q596" s="308"/>
      <c r="R596" s="308"/>
      <c r="S596" s="308"/>
      <c r="T596" s="308"/>
      <c r="U596" s="308"/>
      <c r="V596" s="308"/>
      <c r="W596" s="308"/>
      <c r="X596" s="308"/>
      <c r="Y596" s="308"/>
      <c r="Z596" s="308"/>
    </row>
    <row r="597">
      <c r="A597" s="308"/>
      <c r="B597" s="308"/>
      <c r="C597" s="308"/>
      <c r="D597" s="308"/>
      <c r="E597" s="308"/>
      <c r="F597" s="308"/>
      <c r="G597" s="308"/>
      <c r="H597" s="308"/>
      <c r="I597" s="308"/>
      <c r="J597" s="308"/>
      <c r="K597" s="308"/>
      <c r="L597" s="308"/>
      <c r="M597" s="308"/>
      <c r="N597" s="308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  <c r="Z597" s="308"/>
    </row>
    <row r="598">
      <c r="A598" s="308"/>
      <c r="B598" s="308"/>
      <c r="C598" s="308"/>
      <c r="D598" s="308"/>
      <c r="E598" s="308"/>
      <c r="F598" s="308"/>
      <c r="G598" s="308"/>
      <c r="H598" s="308"/>
      <c r="I598" s="308"/>
      <c r="J598" s="308"/>
      <c r="K598" s="308"/>
      <c r="L598" s="308"/>
      <c r="M598" s="308"/>
      <c r="N598" s="308"/>
      <c r="O598" s="308"/>
      <c r="P598" s="308"/>
      <c r="Q598" s="308"/>
      <c r="R598" s="308"/>
      <c r="S598" s="308"/>
      <c r="T598" s="308"/>
      <c r="U598" s="308"/>
      <c r="V598" s="308"/>
      <c r="W598" s="308"/>
      <c r="X598" s="308"/>
      <c r="Y598" s="308"/>
      <c r="Z598" s="308"/>
    </row>
    <row r="599">
      <c r="A599" s="308"/>
      <c r="B599" s="308"/>
      <c r="C599" s="308"/>
      <c r="D599" s="308"/>
      <c r="E599" s="308"/>
      <c r="F599" s="308"/>
      <c r="G599" s="308"/>
      <c r="H599" s="308"/>
      <c r="I599" s="308"/>
      <c r="J599" s="308"/>
      <c r="K599" s="308"/>
      <c r="L599" s="308"/>
      <c r="M599" s="308"/>
      <c r="N599" s="308"/>
      <c r="O599" s="308"/>
      <c r="P599" s="308"/>
      <c r="Q599" s="308"/>
      <c r="R599" s="308"/>
      <c r="S599" s="308"/>
      <c r="T599" s="308"/>
      <c r="U599" s="308"/>
      <c r="V599" s="308"/>
      <c r="W599" s="308"/>
      <c r="X599" s="308"/>
      <c r="Y599" s="308"/>
      <c r="Z599" s="308"/>
    </row>
    <row r="600">
      <c r="A600" s="308"/>
      <c r="B600" s="308"/>
      <c r="C600" s="308"/>
      <c r="D600" s="308"/>
      <c r="E600" s="308"/>
      <c r="F600" s="308"/>
      <c r="G600" s="308"/>
      <c r="H600" s="308"/>
      <c r="I600" s="308"/>
      <c r="J600" s="308"/>
      <c r="K600" s="308"/>
      <c r="L600" s="308"/>
      <c r="M600" s="308"/>
      <c r="N600" s="308"/>
      <c r="O600" s="308"/>
      <c r="P600" s="308"/>
      <c r="Q600" s="308"/>
      <c r="R600" s="308"/>
      <c r="S600" s="308"/>
      <c r="T600" s="308"/>
      <c r="U600" s="308"/>
      <c r="V600" s="308"/>
      <c r="W600" s="308"/>
      <c r="X600" s="308"/>
      <c r="Y600" s="308"/>
      <c r="Z600" s="308"/>
    </row>
    <row r="601">
      <c r="A601" s="308"/>
      <c r="B601" s="308"/>
      <c r="C601" s="308"/>
      <c r="D601" s="308"/>
      <c r="E601" s="308"/>
      <c r="F601" s="308"/>
      <c r="G601" s="308"/>
      <c r="H601" s="308"/>
      <c r="I601" s="308"/>
      <c r="J601" s="308"/>
      <c r="K601" s="308"/>
      <c r="L601" s="308"/>
      <c r="M601" s="308"/>
      <c r="N601" s="308"/>
      <c r="O601" s="308"/>
      <c r="P601" s="308"/>
      <c r="Q601" s="308"/>
      <c r="R601" s="308"/>
      <c r="S601" s="308"/>
      <c r="T601" s="308"/>
      <c r="U601" s="308"/>
      <c r="V601" s="308"/>
      <c r="W601" s="308"/>
      <c r="X601" s="308"/>
      <c r="Y601" s="308"/>
      <c r="Z601" s="308"/>
    </row>
    <row r="602">
      <c r="A602" s="308"/>
      <c r="B602" s="308"/>
      <c r="C602" s="308"/>
      <c r="D602" s="308"/>
      <c r="E602" s="308"/>
      <c r="F602" s="308"/>
      <c r="G602" s="308"/>
      <c r="H602" s="308"/>
      <c r="I602" s="308"/>
      <c r="J602" s="308"/>
      <c r="K602" s="308"/>
      <c r="L602" s="308"/>
      <c r="M602" s="308"/>
      <c r="N602" s="308"/>
      <c r="O602" s="308"/>
      <c r="P602" s="308"/>
      <c r="Q602" s="308"/>
      <c r="R602" s="308"/>
      <c r="S602" s="308"/>
      <c r="T602" s="308"/>
      <c r="U602" s="308"/>
      <c r="V602" s="308"/>
      <c r="W602" s="308"/>
      <c r="X602" s="308"/>
      <c r="Y602" s="308"/>
      <c r="Z602" s="308"/>
    </row>
    <row r="603">
      <c r="A603" s="308"/>
      <c r="B603" s="308"/>
      <c r="C603" s="308"/>
      <c r="D603" s="308"/>
      <c r="E603" s="308"/>
      <c r="F603" s="308"/>
      <c r="G603" s="308"/>
      <c r="H603" s="308"/>
      <c r="I603" s="308"/>
      <c r="J603" s="308"/>
      <c r="K603" s="308"/>
      <c r="L603" s="308"/>
      <c r="M603" s="308"/>
      <c r="N603" s="308"/>
      <c r="O603" s="308"/>
      <c r="P603" s="308"/>
      <c r="Q603" s="308"/>
      <c r="R603" s="308"/>
      <c r="S603" s="308"/>
      <c r="T603" s="308"/>
      <c r="U603" s="308"/>
      <c r="V603" s="308"/>
      <c r="W603" s="308"/>
      <c r="X603" s="308"/>
      <c r="Y603" s="308"/>
      <c r="Z603" s="308"/>
    </row>
    <row r="604">
      <c r="A604" s="308"/>
      <c r="B604" s="308"/>
      <c r="C604" s="308"/>
      <c r="D604" s="308"/>
      <c r="E604" s="308"/>
      <c r="F604" s="308"/>
      <c r="G604" s="308"/>
      <c r="H604" s="308"/>
      <c r="I604" s="308"/>
      <c r="J604" s="308"/>
      <c r="K604" s="308"/>
      <c r="L604" s="308"/>
      <c r="M604" s="308"/>
      <c r="N604" s="308"/>
      <c r="O604" s="308"/>
      <c r="P604" s="308"/>
      <c r="Q604" s="308"/>
      <c r="R604" s="308"/>
      <c r="S604" s="308"/>
      <c r="T604" s="308"/>
      <c r="U604" s="308"/>
      <c r="V604" s="308"/>
      <c r="W604" s="308"/>
      <c r="X604" s="308"/>
      <c r="Y604" s="308"/>
      <c r="Z604" s="308"/>
    </row>
    <row r="605">
      <c r="A605" s="308"/>
      <c r="B605" s="308"/>
      <c r="C605" s="308"/>
      <c r="D605" s="308"/>
      <c r="E605" s="308"/>
      <c r="F605" s="308"/>
      <c r="G605" s="308"/>
      <c r="H605" s="308"/>
      <c r="I605" s="308"/>
      <c r="J605" s="308"/>
      <c r="K605" s="308"/>
      <c r="L605" s="308"/>
      <c r="M605" s="308"/>
      <c r="N605" s="308"/>
      <c r="O605" s="308"/>
      <c r="P605" s="308"/>
      <c r="Q605" s="308"/>
      <c r="R605" s="308"/>
      <c r="S605" s="308"/>
      <c r="T605" s="308"/>
      <c r="U605" s="308"/>
      <c r="V605" s="308"/>
      <c r="W605" s="308"/>
      <c r="X605" s="308"/>
      <c r="Y605" s="308"/>
      <c r="Z605" s="308"/>
    </row>
    <row r="606">
      <c r="A606" s="308"/>
      <c r="B606" s="308"/>
      <c r="C606" s="308"/>
      <c r="D606" s="308"/>
      <c r="E606" s="308"/>
      <c r="F606" s="308"/>
      <c r="G606" s="308"/>
      <c r="H606" s="308"/>
      <c r="I606" s="308"/>
      <c r="J606" s="308"/>
      <c r="K606" s="308"/>
      <c r="L606" s="308"/>
      <c r="M606" s="308"/>
      <c r="N606" s="308"/>
      <c r="O606" s="308"/>
      <c r="P606" s="308"/>
      <c r="Q606" s="308"/>
      <c r="R606" s="308"/>
      <c r="S606" s="308"/>
      <c r="T606" s="308"/>
      <c r="U606" s="308"/>
      <c r="V606" s="308"/>
      <c r="W606" s="308"/>
      <c r="X606" s="308"/>
      <c r="Y606" s="308"/>
      <c r="Z606" s="308"/>
    </row>
    <row r="607">
      <c r="A607" s="308"/>
      <c r="B607" s="308"/>
      <c r="C607" s="308"/>
      <c r="D607" s="308"/>
      <c r="E607" s="308"/>
      <c r="F607" s="308"/>
      <c r="G607" s="308"/>
      <c r="H607" s="308"/>
      <c r="I607" s="308"/>
      <c r="J607" s="308"/>
      <c r="K607" s="308"/>
      <c r="L607" s="308"/>
      <c r="M607" s="308"/>
      <c r="N607" s="308"/>
      <c r="O607" s="308"/>
      <c r="P607" s="308"/>
      <c r="Q607" s="308"/>
      <c r="R607" s="308"/>
      <c r="S607" s="308"/>
      <c r="T607" s="308"/>
      <c r="U607" s="308"/>
      <c r="V607" s="308"/>
      <c r="W607" s="308"/>
      <c r="X607" s="308"/>
      <c r="Y607" s="308"/>
      <c r="Z607" s="308"/>
    </row>
    <row r="608">
      <c r="A608" s="308"/>
      <c r="B608" s="308"/>
      <c r="C608" s="308"/>
      <c r="D608" s="308"/>
      <c r="E608" s="308"/>
      <c r="F608" s="308"/>
      <c r="G608" s="308"/>
      <c r="H608" s="308"/>
      <c r="I608" s="308"/>
      <c r="J608" s="308"/>
      <c r="K608" s="308"/>
      <c r="L608" s="308"/>
      <c r="M608" s="308"/>
      <c r="N608" s="308"/>
      <c r="O608" s="308"/>
      <c r="P608" s="308"/>
      <c r="Q608" s="308"/>
      <c r="R608" s="308"/>
      <c r="S608" s="308"/>
      <c r="T608" s="308"/>
      <c r="U608" s="308"/>
      <c r="V608" s="308"/>
      <c r="W608" s="308"/>
      <c r="X608" s="308"/>
      <c r="Y608" s="308"/>
      <c r="Z608" s="308"/>
    </row>
    <row r="609">
      <c r="A609" s="308"/>
      <c r="B609" s="308"/>
      <c r="C609" s="308"/>
      <c r="D609" s="308"/>
      <c r="E609" s="308"/>
      <c r="F609" s="308"/>
      <c r="G609" s="308"/>
      <c r="H609" s="308"/>
      <c r="I609" s="308"/>
      <c r="J609" s="308"/>
      <c r="K609" s="308"/>
      <c r="L609" s="308"/>
      <c r="M609" s="308"/>
      <c r="N609" s="308"/>
      <c r="O609" s="308"/>
      <c r="P609" s="308"/>
      <c r="Q609" s="308"/>
      <c r="R609" s="308"/>
      <c r="S609" s="308"/>
      <c r="T609" s="308"/>
      <c r="U609" s="308"/>
      <c r="V609" s="308"/>
      <c r="W609" s="308"/>
      <c r="X609" s="308"/>
      <c r="Y609" s="308"/>
      <c r="Z609" s="308"/>
    </row>
    <row r="610">
      <c r="A610" s="308"/>
      <c r="B610" s="308"/>
      <c r="C610" s="308"/>
      <c r="D610" s="308"/>
      <c r="E610" s="308"/>
      <c r="F610" s="308"/>
      <c r="G610" s="308"/>
      <c r="H610" s="308"/>
      <c r="I610" s="308"/>
      <c r="J610" s="308"/>
      <c r="K610" s="308"/>
      <c r="L610" s="308"/>
      <c r="M610" s="308"/>
      <c r="N610" s="308"/>
      <c r="O610" s="308"/>
      <c r="P610" s="308"/>
      <c r="Q610" s="308"/>
      <c r="R610" s="308"/>
      <c r="S610" s="308"/>
      <c r="T610" s="308"/>
      <c r="U610" s="308"/>
      <c r="V610" s="308"/>
      <c r="W610" s="308"/>
      <c r="X610" s="308"/>
      <c r="Y610" s="308"/>
      <c r="Z610" s="308"/>
    </row>
    <row r="611">
      <c r="A611" s="308"/>
      <c r="B611" s="308"/>
      <c r="C611" s="308"/>
      <c r="D611" s="308"/>
      <c r="E611" s="308"/>
      <c r="F611" s="308"/>
      <c r="G611" s="308"/>
      <c r="H611" s="308"/>
      <c r="I611" s="308"/>
      <c r="J611" s="308"/>
      <c r="K611" s="308"/>
      <c r="L611" s="308"/>
      <c r="M611" s="308"/>
      <c r="N611" s="308"/>
      <c r="O611" s="308"/>
      <c r="P611" s="308"/>
      <c r="Q611" s="308"/>
      <c r="R611" s="308"/>
      <c r="S611" s="308"/>
      <c r="T611" s="308"/>
      <c r="U611" s="308"/>
      <c r="V611" s="308"/>
      <c r="W611" s="308"/>
      <c r="X611" s="308"/>
      <c r="Y611" s="308"/>
      <c r="Z611" s="308"/>
    </row>
    <row r="612">
      <c r="A612" s="308"/>
      <c r="B612" s="308"/>
      <c r="C612" s="308"/>
      <c r="D612" s="308"/>
      <c r="E612" s="308"/>
      <c r="F612" s="308"/>
      <c r="G612" s="308"/>
      <c r="H612" s="308"/>
      <c r="I612" s="308"/>
      <c r="J612" s="308"/>
      <c r="K612" s="308"/>
      <c r="L612" s="308"/>
      <c r="M612" s="308"/>
      <c r="N612" s="308"/>
      <c r="O612" s="308"/>
      <c r="P612" s="308"/>
      <c r="Q612" s="308"/>
      <c r="R612" s="308"/>
      <c r="S612" s="308"/>
      <c r="T612" s="308"/>
      <c r="U612" s="308"/>
      <c r="V612" s="308"/>
      <c r="W612" s="308"/>
      <c r="X612" s="308"/>
      <c r="Y612" s="308"/>
      <c r="Z612" s="308"/>
    </row>
    <row r="613">
      <c r="A613" s="308"/>
      <c r="B613" s="308"/>
      <c r="C613" s="308"/>
      <c r="D613" s="308"/>
      <c r="E613" s="308"/>
      <c r="F613" s="308"/>
      <c r="G613" s="308"/>
      <c r="H613" s="308"/>
      <c r="I613" s="308"/>
      <c r="J613" s="308"/>
      <c r="K613" s="308"/>
      <c r="L613" s="308"/>
      <c r="M613" s="308"/>
      <c r="N613" s="308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  <c r="Z613" s="308"/>
    </row>
    <row r="614">
      <c r="A614" s="308"/>
      <c r="B614" s="308"/>
      <c r="C614" s="308"/>
      <c r="D614" s="308"/>
      <c r="E614" s="308"/>
      <c r="F614" s="308"/>
      <c r="G614" s="308"/>
      <c r="H614" s="308"/>
      <c r="I614" s="308"/>
      <c r="J614" s="308"/>
      <c r="K614" s="308"/>
      <c r="L614" s="308"/>
      <c r="M614" s="308"/>
      <c r="N614" s="308"/>
      <c r="O614" s="308"/>
      <c r="P614" s="308"/>
      <c r="Q614" s="308"/>
      <c r="R614" s="308"/>
      <c r="S614" s="308"/>
      <c r="T614" s="308"/>
      <c r="U614" s="308"/>
      <c r="V614" s="308"/>
      <c r="W614" s="308"/>
      <c r="X614" s="308"/>
      <c r="Y614" s="308"/>
      <c r="Z614" s="308"/>
    </row>
    <row r="615">
      <c r="A615" s="308"/>
      <c r="B615" s="308"/>
      <c r="C615" s="308"/>
      <c r="D615" s="308"/>
      <c r="E615" s="308"/>
      <c r="F615" s="308"/>
      <c r="G615" s="308"/>
      <c r="H615" s="308"/>
      <c r="I615" s="308"/>
      <c r="J615" s="308"/>
      <c r="K615" s="308"/>
      <c r="L615" s="308"/>
      <c r="M615" s="308"/>
      <c r="N615" s="308"/>
      <c r="O615" s="308"/>
      <c r="P615" s="308"/>
      <c r="Q615" s="308"/>
      <c r="R615" s="308"/>
      <c r="S615" s="308"/>
      <c r="T615" s="308"/>
      <c r="U615" s="308"/>
      <c r="V615" s="308"/>
      <c r="W615" s="308"/>
      <c r="X615" s="308"/>
      <c r="Y615" s="308"/>
      <c r="Z615" s="308"/>
    </row>
    <row r="616">
      <c r="A616" s="308"/>
      <c r="B616" s="308"/>
      <c r="C616" s="308"/>
      <c r="D616" s="308"/>
      <c r="E616" s="308"/>
      <c r="F616" s="308"/>
      <c r="G616" s="308"/>
      <c r="H616" s="308"/>
      <c r="I616" s="308"/>
      <c r="J616" s="308"/>
      <c r="K616" s="308"/>
      <c r="L616" s="308"/>
      <c r="M616" s="308"/>
      <c r="N616" s="308"/>
      <c r="O616" s="308"/>
      <c r="P616" s="308"/>
      <c r="Q616" s="308"/>
      <c r="R616" s="308"/>
      <c r="S616" s="308"/>
      <c r="T616" s="308"/>
      <c r="U616" s="308"/>
      <c r="V616" s="308"/>
      <c r="W616" s="308"/>
      <c r="X616" s="308"/>
      <c r="Y616" s="308"/>
      <c r="Z616" s="308"/>
    </row>
    <row r="617">
      <c r="A617" s="308"/>
      <c r="B617" s="308"/>
      <c r="C617" s="308"/>
      <c r="D617" s="308"/>
      <c r="E617" s="308"/>
      <c r="F617" s="308"/>
      <c r="G617" s="308"/>
      <c r="H617" s="308"/>
      <c r="I617" s="308"/>
      <c r="J617" s="308"/>
      <c r="K617" s="308"/>
      <c r="L617" s="308"/>
      <c r="M617" s="308"/>
      <c r="N617" s="308"/>
      <c r="O617" s="308"/>
      <c r="P617" s="308"/>
      <c r="Q617" s="308"/>
      <c r="R617" s="308"/>
      <c r="S617" s="308"/>
      <c r="T617" s="308"/>
      <c r="U617" s="308"/>
      <c r="V617" s="308"/>
      <c r="W617" s="308"/>
      <c r="X617" s="308"/>
      <c r="Y617" s="308"/>
      <c r="Z617" s="308"/>
    </row>
    <row r="618">
      <c r="A618" s="308"/>
      <c r="B618" s="308"/>
      <c r="C618" s="308"/>
      <c r="D618" s="308"/>
      <c r="E618" s="308"/>
      <c r="F618" s="308"/>
      <c r="G618" s="308"/>
      <c r="H618" s="308"/>
      <c r="I618" s="308"/>
      <c r="J618" s="308"/>
      <c r="K618" s="308"/>
      <c r="L618" s="308"/>
      <c r="M618" s="308"/>
      <c r="N618" s="308"/>
      <c r="O618" s="308"/>
      <c r="P618" s="308"/>
      <c r="Q618" s="308"/>
      <c r="R618" s="308"/>
      <c r="S618" s="308"/>
      <c r="T618" s="308"/>
      <c r="U618" s="308"/>
      <c r="V618" s="308"/>
      <c r="W618" s="308"/>
      <c r="X618" s="308"/>
      <c r="Y618" s="308"/>
      <c r="Z618" s="308"/>
    </row>
    <row r="619">
      <c r="A619" s="308"/>
      <c r="B619" s="308"/>
      <c r="C619" s="308"/>
      <c r="D619" s="308"/>
      <c r="E619" s="308"/>
      <c r="F619" s="308"/>
      <c r="G619" s="308"/>
      <c r="H619" s="308"/>
      <c r="I619" s="308"/>
      <c r="J619" s="308"/>
      <c r="K619" s="308"/>
      <c r="L619" s="308"/>
      <c r="M619" s="308"/>
      <c r="N619" s="308"/>
      <c r="O619" s="308"/>
      <c r="P619" s="308"/>
      <c r="Q619" s="308"/>
      <c r="R619" s="308"/>
      <c r="S619" s="308"/>
      <c r="T619" s="308"/>
      <c r="U619" s="308"/>
      <c r="V619" s="308"/>
      <c r="W619" s="308"/>
      <c r="X619" s="308"/>
      <c r="Y619" s="308"/>
      <c r="Z619" s="308"/>
    </row>
    <row r="620">
      <c r="A620" s="308"/>
      <c r="B620" s="308"/>
      <c r="C620" s="308"/>
      <c r="D620" s="308"/>
      <c r="E620" s="308"/>
      <c r="F620" s="308"/>
      <c r="G620" s="308"/>
      <c r="H620" s="308"/>
      <c r="I620" s="308"/>
      <c r="J620" s="308"/>
      <c r="K620" s="308"/>
      <c r="L620" s="308"/>
      <c r="M620" s="308"/>
      <c r="N620" s="308"/>
      <c r="O620" s="308"/>
      <c r="P620" s="308"/>
      <c r="Q620" s="308"/>
      <c r="R620" s="308"/>
      <c r="S620" s="308"/>
      <c r="T620" s="308"/>
      <c r="U620" s="308"/>
      <c r="V620" s="308"/>
      <c r="W620" s="308"/>
      <c r="X620" s="308"/>
      <c r="Y620" s="308"/>
      <c r="Z620" s="308"/>
    </row>
    <row r="621">
      <c r="A621" s="308"/>
      <c r="B621" s="308"/>
      <c r="C621" s="308"/>
      <c r="D621" s="308"/>
      <c r="E621" s="308"/>
      <c r="F621" s="308"/>
      <c r="G621" s="308"/>
      <c r="H621" s="308"/>
      <c r="I621" s="308"/>
      <c r="J621" s="308"/>
      <c r="K621" s="308"/>
      <c r="L621" s="308"/>
      <c r="M621" s="308"/>
      <c r="N621" s="308"/>
      <c r="O621" s="308"/>
      <c r="P621" s="308"/>
      <c r="Q621" s="308"/>
      <c r="R621" s="308"/>
      <c r="S621" s="308"/>
      <c r="T621" s="308"/>
      <c r="U621" s="308"/>
      <c r="V621" s="308"/>
      <c r="W621" s="308"/>
      <c r="X621" s="308"/>
      <c r="Y621" s="308"/>
      <c r="Z621" s="308"/>
    </row>
    <row r="622">
      <c r="A622" s="308"/>
      <c r="B622" s="308"/>
      <c r="C622" s="308"/>
      <c r="D622" s="308"/>
      <c r="E622" s="308"/>
      <c r="F622" s="308"/>
      <c r="G622" s="308"/>
      <c r="H622" s="308"/>
      <c r="I622" s="308"/>
      <c r="J622" s="308"/>
      <c r="K622" s="308"/>
      <c r="L622" s="308"/>
      <c r="M622" s="308"/>
      <c r="N622" s="308"/>
      <c r="O622" s="308"/>
      <c r="P622" s="308"/>
      <c r="Q622" s="308"/>
      <c r="R622" s="308"/>
      <c r="S622" s="308"/>
      <c r="T622" s="308"/>
      <c r="U622" s="308"/>
      <c r="V622" s="308"/>
      <c r="W622" s="308"/>
      <c r="X622" s="308"/>
      <c r="Y622" s="308"/>
      <c r="Z622" s="308"/>
    </row>
    <row r="623">
      <c r="A623" s="308"/>
      <c r="B623" s="308"/>
      <c r="C623" s="308"/>
      <c r="D623" s="308"/>
      <c r="E623" s="308"/>
      <c r="F623" s="308"/>
      <c r="G623" s="308"/>
      <c r="H623" s="308"/>
      <c r="I623" s="308"/>
      <c r="J623" s="308"/>
      <c r="K623" s="308"/>
      <c r="L623" s="308"/>
      <c r="M623" s="308"/>
      <c r="N623" s="308"/>
      <c r="O623" s="308"/>
      <c r="P623" s="308"/>
      <c r="Q623" s="308"/>
      <c r="R623" s="308"/>
      <c r="S623" s="308"/>
      <c r="T623" s="308"/>
      <c r="U623" s="308"/>
      <c r="V623" s="308"/>
      <c r="W623" s="308"/>
      <c r="X623" s="308"/>
      <c r="Y623" s="308"/>
      <c r="Z623" s="308"/>
    </row>
    <row r="624">
      <c r="A624" s="308"/>
      <c r="B624" s="308"/>
      <c r="C624" s="308"/>
      <c r="D624" s="308"/>
      <c r="E624" s="308"/>
      <c r="F624" s="308"/>
      <c r="G624" s="308"/>
      <c r="H624" s="308"/>
      <c r="I624" s="308"/>
      <c r="J624" s="308"/>
      <c r="K624" s="308"/>
      <c r="L624" s="308"/>
      <c r="M624" s="308"/>
      <c r="N624" s="308"/>
      <c r="O624" s="308"/>
      <c r="P624" s="308"/>
      <c r="Q624" s="308"/>
      <c r="R624" s="308"/>
      <c r="S624" s="308"/>
      <c r="T624" s="308"/>
      <c r="U624" s="308"/>
      <c r="V624" s="308"/>
      <c r="W624" s="308"/>
      <c r="X624" s="308"/>
      <c r="Y624" s="308"/>
      <c r="Z624" s="308"/>
    </row>
    <row r="625">
      <c r="A625" s="308"/>
      <c r="B625" s="308"/>
      <c r="C625" s="308"/>
      <c r="D625" s="308"/>
      <c r="E625" s="308"/>
      <c r="F625" s="308"/>
      <c r="G625" s="308"/>
      <c r="H625" s="308"/>
      <c r="I625" s="308"/>
      <c r="J625" s="308"/>
      <c r="K625" s="308"/>
      <c r="L625" s="308"/>
      <c r="M625" s="308"/>
      <c r="N625" s="308"/>
      <c r="O625" s="308"/>
      <c r="P625" s="308"/>
      <c r="Q625" s="308"/>
      <c r="R625" s="308"/>
      <c r="S625" s="308"/>
      <c r="T625" s="308"/>
      <c r="U625" s="308"/>
      <c r="V625" s="308"/>
      <c r="W625" s="308"/>
      <c r="X625" s="308"/>
      <c r="Y625" s="308"/>
      <c r="Z625" s="308"/>
    </row>
    <row r="626">
      <c r="A626" s="308"/>
      <c r="B626" s="308"/>
      <c r="C626" s="308"/>
      <c r="D626" s="308"/>
      <c r="E626" s="308"/>
      <c r="F626" s="308"/>
      <c r="G626" s="308"/>
      <c r="H626" s="308"/>
      <c r="I626" s="308"/>
      <c r="J626" s="308"/>
      <c r="K626" s="308"/>
      <c r="L626" s="308"/>
      <c r="M626" s="308"/>
      <c r="N626" s="308"/>
      <c r="O626" s="308"/>
      <c r="P626" s="308"/>
      <c r="Q626" s="308"/>
      <c r="R626" s="308"/>
      <c r="S626" s="308"/>
      <c r="T626" s="308"/>
      <c r="U626" s="308"/>
      <c r="V626" s="308"/>
      <c r="W626" s="308"/>
      <c r="X626" s="308"/>
      <c r="Y626" s="308"/>
      <c r="Z626" s="308"/>
    </row>
    <row r="627">
      <c r="A627" s="308"/>
      <c r="B627" s="308"/>
      <c r="C627" s="308"/>
      <c r="D627" s="308"/>
      <c r="E627" s="308"/>
      <c r="F627" s="308"/>
      <c r="G627" s="308"/>
      <c r="H627" s="308"/>
      <c r="I627" s="308"/>
      <c r="J627" s="308"/>
      <c r="K627" s="308"/>
      <c r="L627" s="308"/>
      <c r="M627" s="308"/>
      <c r="N627" s="308"/>
      <c r="O627" s="308"/>
      <c r="P627" s="308"/>
      <c r="Q627" s="308"/>
      <c r="R627" s="308"/>
      <c r="S627" s="308"/>
      <c r="T627" s="308"/>
      <c r="U627" s="308"/>
      <c r="V627" s="308"/>
      <c r="W627" s="308"/>
      <c r="X627" s="308"/>
      <c r="Y627" s="308"/>
      <c r="Z627" s="308"/>
    </row>
    <row r="628">
      <c r="A628" s="308"/>
      <c r="B628" s="308"/>
      <c r="C628" s="308"/>
      <c r="D628" s="308"/>
      <c r="E628" s="308"/>
      <c r="F628" s="308"/>
      <c r="G628" s="308"/>
      <c r="H628" s="308"/>
      <c r="I628" s="308"/>
      <c r="J628" s="308"/>
      <c r="K628" s="308"/>
      <c r="L628" s="308"/>
      <c r="M628" s="308"/>
      <c r="N628" s="308"/>
      <c r="O628" s="308"/>
      <c r="P628" s="308"/>
      <c r="Q628" s="308"/>
      <c r="R628" s="308"/>
      <c r="S628" s="308"/>
      <c r="T628" s="308"/>
      <c r="U628" s="308"/>
      <c r="V628" s="308"/>
      <c r="W628" s="308"/>
      <c r="X628" s="308"/>
      <c r="Y628" s="308"/>
      <c r="Z628" s="308"/>
    </row>
    <row r="629">
      <c r="A629" s="308"/>
      <c r="B629" s="308"/>
      <c r="C629" s="308"/>
      <c r="D629" s="308"/>
      <c r="E629" s="308"/>
      <c r="F629" s="308"/>
      <c r="G629" s="308"/>
      <c r="H629" s="308"/>
      <c r="I629" s="308"/>
      <c r="J629" s="308"/>
      <c r="K629" s="308"/>
      <c r="L629" s="308"/>
      <c r="M629" s="308"/>
      <c r="N629" s="308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  <c r="Z629" s="308"/>
    </row>
    <row r="630">
      <c r="A630" s="308"/>
      <c r="B630" s="308"/>
      <c r="C630" s="308"/>
      <c r="D630" s="308"/>
      <c r="E630" s="308"/>
      <c r="F630" s="308"/>
      <c r="G630" s="308"/>
      <c r="H630" s="308"/>
      <c r="I630" s="308"/>
      <c r="J630" s="308"/>
      <c r="K630" s="308"/>
      <c r="L630" s="308"/>
      <c r="M630" s="308"/>
      <c r="N630" s="308"/>
      <c r="O630" s="308"/>
      <c r="P630" s="308"/>
      <c r="Q630" s="308"/>
      <c r="R630" s="308"/>
      <c r="S630" s="308"/>
      <c r="T630" s="308"/>
      <c r="U630" s="308"/>
      <c r="V630" s="308"/>
      <c r="W630" s="308"/>
      <c r="X630" s="308"/>
      <c r="Y630" s="308"/>
      <c r="Z630" s="308"/>
    </row>
    <row r="631">
      <c r="A631" s="308"/>
      <c r="B631" s="308"/>
      <c r="C631" s="308"/>
      <c r="D631" s="308"/>
      <c r="E631" s="308"/>
      <c r="F631" s="308"/>
      <c r="G631" s="308"/>
      <c r="H631" s="308"/>
      <c r="I631" s="308"/>
      <c r="J631" s="308"/>
      <c r="K631" s="308"/>
      <c r="L631" s="308"/>
      <c r="M631" s="308"/>
      <c r="N631" s="308"/>
      <c r="O631" s="308"/>
      <c r="P631" s="308"/>
      <c r="Q631" s="308"/>
      <c r="R631" s="308"/>
      <c r="S631" s="308"/>
      <c r="T631" s="308"/>
      <c r="U631" s="308"/>
      <c r="V631" s="308"/>
      <c r="W631" s="308"/>
      <c r="X631" s="308"/>
      <c r="Y631" s="308"/>
      <c r="Z631" s="308"/>
    </row>
    <row r="632">
      <c r="A632" s="308"/>
      <c r="B632" s="308"/>
      <c r="C632" s="308"/>
      <c r="D632" s="308"/>
      <c r="E632" s="308"/>
      <c r="F632" s="308"/>
      <c r="G632" s="308"/>
      <c r="H632" s="308"/>
      <c r="I632" s="308"/>
      <c r="J632" s="308"/>
      <c r="K632" s="308"/>
      <c r="L632" s="308"/>
      <c r="M632" s="308"/>
      <c r="N632" s="308"/>
      <c r="O632" s="308"/>
      <c r="P632" s="308"/>
      <c r="Q632" s="308"/>
      <c r="R632" s="308"/>
      <c r="S632" s="308"/>
      <c r="T632" s="308"/>
      <c r="U632" s="308"/>
      <c r="V632" s="308"/>
      <c r="W632" s="308"/>
      <c r="X632" s="308"/>
      <c r="Y632" s="308"/>
      <c r="Z632" s="308"/>
    </row>
    <row r="633">
      <c r="A633" s="308"/>
      <c r="B633" s="308"/>
      <c r="C633" s="308"/>
      <c r="D633" s="308"/>
      <c r="E633" s="308"/>
      <c r="F633" s="308"/>
      <c r="G633" s="308"/>
      <c r="H633" s="308"/>
      <c r="I633" s="308"/>
      <c r="J633" s="308"/>
      <c r="K633" s="308"/>
      <c r="L633" s="308"/>
      <c r="M633" s="308"/>
      <c r="N633" s="308"/>
      <c r="O633" s="308"/>
      <c r="P633" s="308"/>
      <c r="Q633" s="308"/>
      <c r="R633" s="308"/>
      <c r="S633" s="308"/>
      <c r="T633" s="308"/>
      <c r="U633" s="308"/>
      <c r="V633" s="308"/>
      <c r="W633" s="308"/>
      <c r="X633" s="308"/>
      <c r="Y633" s="308"/>
      <c r="Z633" s="308"/>
    </row>
    <row r="634">
      <c r="A634" s="308"/>
      <c r="B634" s="308"/>
      <c r="C634" s="308"/>
      <c r="D634" s="308"/>
      <c r="E634" s="308"/>
      <c r="F634" s="308"/>
      <c r="G634" s="308"/>
      <c r="H634" s="308"/>
      <c r="I634" s="308"/>
      <c r="J634" s="308"/>
      <c r="K634" s="308"/>
      <c r="L634" s="308"/>
      <c r="M634" s="308"/>
      <c r="N634" s="308"/>
      <c r="O634" s="308"/>
      <c r="P634" s="308"/>
      <c r="Q634" s="308"/>
      <c r="R634" s="308"/>
      <c r="S634" s="308"/>
      <c r="T634" s="308"/>
      <c r="U634" s="308"/>
      <c r="V634" s="308"/>
      <c r="W634" s="308"/>
      <c r="X634" s="308"/>
      <c r="Y634" s="308"/>
      <c r="Z634" s="308"/>
    </row>
    <row r="635">
      <c r="A635" s="308"/>
      <c r="B635" s="308"/>
      <c r="C635" s="308"/>
      <c r="D635" s="308"/>
      <c r="E635" s="308"/>
      <c r="F635" s="308"/>
      <c r="G635" s="308"/>
      <c r="H635" s="308"/>
      <c r="I635" s="308"/>
      <c r="J635" s="308"/>
      <c r="K635" s="308"/>
      <c r="L635" s="308"/>
      <c r="M635" s="308"/>
      <c r="N635" s="308"/>
      <c r="O635" s="308"/>
      <c r="P635" s="308"/>
      <c r="Q635" s="308"/>
      <c r="R635" s="308"/>
      <c r="S635" s="308"/>
      <c r="T635" s="308"/>
      <c r="U635" s="308"/>
      <c r="V635" s="308"/>
      <c r="W635" s="308"/>
      <c r="X635" s="308"/>
      <c r="Y635" s="308"/>
      <c r="Z635" s="308"/>
    </row>
    <row r="636">
      <c r="A636" s="308"/>
      <c r="B636" s="308"/>
      <c r="C636" s="308"/>
      <c r="D636" s="308"/>
      <c r="E636" s="308"/>
      <c r="F636" s="308"/>
      <c r="G636" s="308"/>
      <c r="H636" s="308"/>
      <c r="I636" s="308"/>
      <c r="J636" s="308"/>
      <c r="K636" s="308"/>
      <c r="L636" s="308"/>
      <c r="M636" s="308"/>
      <c r="N636" s="308"/>
      <c r="O636" s="308"/>
      <c r="P636" s="308"/>
      <c r="Q636" s="308"/>
      <c r="R636" s="308"/>
      <c r="S636" s="308"/>
      <c r="T636" s="308"/>
      <c r="U636" s="308"/>
      <c r="V636" s="308"/>
      <c r="W636" s="308"/>
      <c r="X636" s="308"/>
      <c r="Y636" s="308"/>
      <c r="Z636" s="308"/>
    </row>
    <row r="637">
      <c r="A637" s="308"/>
      <c r="B637" s="308"/>
      <c r="C637" s="308"/>
      <c r="D637" s="308"/>
      <c r="E637" s="308"/>
      <c r="F637" s="308"/>
      <c r="G637" s="308"/>
      <c r="H637" s="308"/>
      <c r="I637" s="308"/>
      <c r="J637" s="308"/>
      <c r="K637" s="308"/>
      <c r="L637" s="308"/>
      <c r="M637" s="308"/>
      <c r="N637" s="308"/>
      <c r="O637" s="308"/>
      <c r="P637" s="308"/>
      <c r="Q637" s="308"/>
      <c r="R637" s="308"/>
      <c r="S637" s="308"/>
      <c r="T637" s="308"/>
      <c r="U637" s="308"/>
      <c r="V637" s="308"/>
      <c r="W637" s="308"/>
      <c r="X637" s="308"/>
      <c r="Y637" s="308"/>
      <c r="Z637" s="308"/>
    </row>
    <row r="638">
      <c r="A638" s="308"/>
      <c r="B638" s="308"/>
      <c r="C638" s="308"/>
      <c r="D638" s="308"/>
      <c r="E638" s="308"/>
      <c r="F638" s="308"/>
      <c r="G638" s="308"/>
      <c r="H638" s="308"/>
      <c r="I638" s="308"/>
      <c r="J638" s="308"/>
      <c r="K638" s="308"/>
      <c r="L638" s="308"/>
      <c r="M638" s="308"/>
      <c r="N638" s="308"/>
      <c r="O638" s="308"/>
      <c r="P638" s="308"/>
      <c r="Q638" s="308"/>
      <c r="R638" s="308"/>
      <c r="S638" s="308"/>
      <c r="T638" s="308"/>
      <c r="U638" s="308"/>
      <c r="V638" s="308"/>
      <c r="W638" s="308"/>
      <c r="X638" s="308"/>
      <c r="Y638" s="308"/>
      <c r="Z638" s="308"/>
    </row>
    <row r="639">
      <c r="A639" s="308"/>
      <c r="B639" s="308"/>
      <c r="C639" s="308"/>
      <c r="D639" s="308"/>
      <c r="E639" s="308"/>
      <c r="F639" s="308"/>
      <c r="G639" s="308"/>
      <c r="H639" s="308"/>
      <c r="I639" s="308"/>
      <c r="J639" s="308"/>
      <c r="K639" s="308"/>
      <c r="L639" s="308"/>
      <c r="M639" s="308"/>
      <c r="N639" s="308"/>
      <c r="O639" s="308"/>
      <c r="P639" s="308"/>
      <c r="Q639" s="308"/>
      <c r="R639" s="308"/>
      <c r="S639" s="308"/>
      <c r="T639" s="308"/>
      <c r="U639" s="308"/>
      <c r="V639" s="308"/>
      <c r="W639" s="308"/>
      <c r="X639" s="308"/>
      <c r="Y639" s="308"/>
      <c r="Z639" s="308"/>
    </row>
    <row r="640">
      <c r="A640" s="308"/>
      <c r="B640" s="308"/>
      <c r="C640" s="308"/>
      <c r="D640" s="308"/>
      <c r="E640" s="308"/>
      <c r="F640" s="308"/>
      <c r="G640" s="308"/>
      <c r="H640" s="308"/>
      <c r="I640" s="308"/>
      <c r="J640" s="308"/>
      <c r="K640" s="308"/>
      <c r="L640" s="308"/>
      <c r="M640" s="308"/>
      <c r="N640" s="308"/>
      <c r="O640" s="308"/>
      <c r="P640" s="308"/>
      <c r="Q640" s="308"/>
      <c r="R640" s="308"/>
      <c r="S640" s="308"/>
      <c r="T640" s="308"/>
      <c r="U640" s="308"/>
      <c r="V640" s="308"/>
      <c r="W640" s="308"/>
      <c r="X640" s="308"/>
      <c r="Y640" s="308"/>
      <c r="Z640" s="308"/>
    </row>
    <row r="641">
      <c r="A641" s="308"/>
      <c r="B641" s="308"/>
      <c r="C641" s="308"/>
      <c r="D641" s="308"/>
      <c r="E641" s="308"/>
      <c r="F641" s="308"/>
      <c r="G641" s="308"/>
      <c r="H641" s="308"/>
      <c r="I641" s="308"/>
      <c r="J641" s="308"/>
      <c r="K641" s="308"/>
      <c r="L641" s="308"/>
      <c r="M641" s="308"/>
      <c r="N641" s="308"/>
      <c r="O641" s="308"/>
      <c r="P641" s="308"/>
      <c r="Q641" s="308"/>
      <c r="R641" s="308"/>
      <c r="S641" s="308"/>
      <c r="T641" s="308"/>
      <c r="U641" s="308"/>
      <c r="V641" s="308"/>
      <c r="W641" s="308"/>
      <c r="X641" s="308"/>
      <c r="Y641" s="308"/>
      <c r="Z641" s="308"/>
    </row>
    <row r="642">
      <c r="A642" s="308"/>
      <c r="B642" s="308"/>
      <c r="C642" s="308"/>
      <c r="D642" s="308"/>
      <c r="E642" s="308"/>
      <c r="F642" s="308"/>
      <c r="G642" s="308"/>
      <c r="H642" s="308"/>
      <c r="I642" s="308"/>
      <c r="J642" s="308"/>
      <c r="K642" s="308"/>
      <c r="L642" s="308"/>
      <c r="M642" s="308"/>
      <c r="N642" s="308"/>
      <c r="O642" s="308"/>
      <c r="P642" s="308"/>
      <c r="Q642" s="308"/>
      <c r="R642" s="308"/>
      <c r="S642" s="308"/>
      <c r="T642" s="308"/>
      <c r="U642" s="308"/>
      <c r="V642" s="308"/>
      <c r="W642" s="308"/>
      <c r="X642" s="308"/>
      <c r="Y642" s="308"/>
      <c r="Z642" s="308"/>
    </row>
    <row r="643">
      <c r="A643" s="308"/>
      <c r="B643" s="308"/>
      <c r="C643" s="308"/>
      <c r="D643" s="308"/>
      <c r="E643" s="308"/>
      <c r="F643" s="308"/>
      <c r="G643" s="308"/>
      <c r="H643" s="308"/>
      <c r="I643" s="308"/>
      <c r="J643" s="308"/>
      <c r="K643" s="308"/>
      <c r="L643" s="308"/>
      <c r="M643" s="308"/>
      <c r="N643" s="308"/>
      <c r="O643" s="308"/>
      <c r="P643" s="308"/>
      <c r="Q643" s="308"/>
      <c r="R643" s="308"/>
      <c r="S643" s="308"/>
      <c r="T643" s="308"/>
      <c r="U643" s="308"/>
      <c r="V643" s="308"/>
      <c r="W643" s="308"/>
      <c r="X643" s="308"/>
      <c r="Y643" s="308"/>
      <c r="Z643" s="308"/>
    </row>
    <row r="644">
      <c r="A644" s="308"/>
      <c r="B644" s="308"/>
      <c r="C644" s="308"/>
      <c r="D644" s="308"/>
      <c r="E644" s="308"/>
      <c r="F644" s="308"/>
      <c r="G644" s="308"/>
      <c r="H644" s="308"/>
      <c r="I644" s="308"/>
      <c r="J644" s="308"/>
      <c r="K644" s="308"/>
      <c r="L644" s="308"/>
      <c r="M644" s="308"/>
      <c r="N644" s="308"/>
      <c r="O644" s="308"/>
      <c r="P644" s="308"/>
      <c r="Q644" s="308"/>
      <c r="R644" s="308"/>
      <c r="S644" s="308"/>
      <c r="T644" s="308"/>
      <c r="U644" s="308"/>
      <c r="V644" s="308"/>
      <c r="W644" s="308"/>
      <c r="X644" s="308"/>
      <c r="Y644" s="308"/>
      <c r="Z644" s="308"/>
    </row>
    <row r="645">
      <c r="A645" s="308"/>
      <c r="B645" s="308"/>
      <c r="C645" s="308"/>
      <c r="D645" s="308"/>
      <c r="E645" s="308"/>
      <c r="F645" s="308"/>
      <c r="G645" s="308"/>
      <c r="H645" s="308"/>
      <c r="I645" s="308"/>
      <c r="J645" s="308"/>
      <c r="K645" s="308"/>
      <c r="L645" s="308"/>
      <c r="M645" s="308"/>
      <c r="N645" s="308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  <c r="Z645" s="308"/>
    </row>
    <row r="646">
      <c r="A646" s="308"/>
      <c r="B646" s="308"/>
      <c r="C646" s="308"/>
      <c r="D646" s="308"/>
      <c r="E646" s="308"/>
      <c r="F646" s="308"/>
      <c r="G646" s="308"/>
      <c r="H646" s="308"/>
      <c r="I646" s="308"/>
      <c r="J646" s="308"/>
      <c r="K646" s="308"/>
      <c r="L646" s="308"/>
      <c r="M646" s="308"/>
      <c r="N646" s="308"/>
      <c r="O646" s="308"/>
      <c r="P646" s="308"/>
      <c r="Q646" s="308"/>
      <c r="R646" s="308"/>
      <c r="S646" s="308"/>
      <c r="T646" s="308"/>
      <c r="U646" s="308"/>
      <c r="V646" s="308"/>
      <c r="W646" s="308"/>
      <c r="X646" s="308"/>
      <c r="Y646" s="308"/>
      <c r="Z646" s="308"/>
    </row>
    <row r="647">
      <c r="A647" s="308"/>
      <c r="B647" s="308"/>
      <c r="C647" s="308"/>
      <c r="D647" s="308"/>
      <c r="E647" s="308"/>
      <c r="F647" s="308"/>
      <c r="G647" s="308"/>
      <c r="H647" s="308"/>
      <c r="I647" s="308"/>
      <c r="J647" s="308"/>
      <c r="K647" s="308"/>
      <c r="L647" s="308"/>
      <c r="M647" s="308"/>
      <c r="N647" s="308"/>
      <c r="O647" s="308"/>
      <c r="P647" s="308"/>
      <c r="Q647" s="308"/>
      <c r="R647" s="308"/>
      <c r="S647" s="308"/>
      <c r="T647" s="308"/>
      <c r="U647" s="308"/>
      <c r="V647" s="308"/>
      <c r="W647" s="308"/>
      <c r="X647" s="308"/>
      <c r="Y647" s="308"/>
      <c r="Z647" s="308"/>
    </row>
    <row r="648">
      <c r="A648" s="308"/>
      <c r="B648" s="308"/>
      <c r="C648" s="308"/>
      <c r="D648" s="308"/>
      <c r="E648" s="308"/>
      <c r="F648" s="308"/>
      <c r="G648" s="308"/>
      <c r="H648" s="308"/>
      <c r="I648" s="308"/>
      <c r="J648" s="308"/>
      <c r="K648" s="308"/>
      <c r="L648" s="308"/>
      <c r="M648" s="308"/>
      <c r="N648" s="308"/>
      <c r="O648" s="308"/>
      <c r="P648" s="308"/>
      <c r="Q648" s="308"/>
      <c r="R648" s="308"/>
      <c r="S648" s="308"/>
      <c r="T648" s="308"/>
      <c r="U648" s="308"/>
      <c r="V648" s="308"/>
      <c r="W648" s="308"/>
      <c r="X648" s="308"/>
      <c r="Y648" s="308"/>
      <c r="Z648" s="308"/>
    </row>
    <row r="649">
      <c r="A649" s="308"/>
      <c r="B649" s="308"/>
      <c r="C649" s="308"/>
      <c r="D649" s="308"/>
      <c r="E649" s="308"/>
      <c r="F649" s="308"/>
      <c r="G649" s="308"/>
      <c r="H649" s="308"/>
      <c r="I649" s="308"/>
      <c r="J649" s="308"/>
      <c r="K649" s="308"/>
      <c r="L649" s="308"/>
      <c r="M649" s="308"/>
      <c r="N649" s="308"/>
      <c r="O649" s="308"/>
      <c r="P649" s="308"/>
      <c r="Q649" s="308"/>
      <c r="R649" s="308"/>
      <c r="S649" s="308"/>
      <c r="T649" s="308"/>
      <c r="U649" s="308"/>
      <c r="V649" s="308"/>
      <c r="W649" s="308"/>
      <c r="X649" s="308"/>
      <c r="Y649" s="308"/>
      <c r="Z649" s="308"/>
    </row>
    <row r="650">
      <c r="A650" s="308"/>
      <c r="B650" s="308"/>
      <c r="C650" s="308"/>
      <c r="D650" s="308"/>
      <c r="E650" s="308"/>
      <c r="F650" s="308"/>
      <c r="G650" s="308"/>
      <c r="H650" s="308"/>
      <c r="I650" s="308"/>
      <c r="J650" s="308"/>
      <c r="K650" s="308"/>
      <c r="L650" s="308"/>
      <c r="M650" s="308"/>
      <c r="N650" s="308"/>
      <c r="O650" s="308"/>
      <c r="P650" s="308"/>
      <c r="Q650" s="308"/>
      <c r="R650" s="308"/>
      <c r="S650" s="308"/>
      <c r="T650" s="308"/>
      <c r="U650" s="308"/>
      <c r="V650" s="308"/>
      <c r="W650" s="308"/>
      <c r="X650" s="308"/>
      <c r="Y650" s="308"/>
      <c r="Z650" s="308"/>
    </row>
    <row r="651">
      <c r="A651" s="308"/>
      <c r="B651" s="308"/>
      <c r="C651" s="308"/>
      <c r="D651" s="308"/>
      <c r="E651" s="308"/>
      <c r="F651" s="308"/>
      <c r="G651" s="308"/>
      <c r="H651" s="308"/>
      <c r="I651" s="308"/>
      <c r="J651" s="308"/>
      <c r="K651" s="308"/>
      <c r="L651" s="308"/>
      <c r="M651" s="308"/>
      <c r="N651" s="308"/>
      <c r="O651" s="308"/>
      <c r="P651" s="308"/>
      <c r="Q651" s="308"/>
      <c r="R651" s="308"/>
      <c r="S651" s="308"/>
      <c r="T651" s="308"/>
      <c r="U651" s="308"/>
      <c r="V651" s="308"/>
      <c r="W651" s="308"/>
      <c r="X651" s="308"/>
      <c r="Y651" s="308"/>
      <c r="Z651" s="308"/>
    </row>
    <row r="652">
      <c r="A652" s="308"/>
      <c r="B652" s="308"/>
      <c r="C652" s="308"/>
      <c r="D652" s="308"/>
      <c r="E652" s="308"/>
      <c r="F652" s="308"/>
      <c r="G652" s="308"/>
      <c r="H652" s="308"/>
      <c r="I652" s="308"/>
      <c r="J652" s="308"/>
      <c r="K652" s="308"/>
      <c r="L652" s="308"/>
      <c r="M652" s="308"/>
      <c r="N652" s="308"/>
      <c r="O652" s="308"/>
      <c r="P652" s="308"/>
      <c r="Q652" s="308"/>
      <c r="R652" s="308"/>
      <c r="S652" s="308"/>
      <c r="T652" s="308"/>
      <c r="U652" s="308"/>
      <c r="V652" s="308"/>
      <c r="W652" s="308"/>
      <c r="X652" s="308"/>
      <c r="Y652" s="308"/>
      <c r="Z652" s="308"/>
    </row>
    <row r="653">
      <c r="A653" s="308"/>
      <c r="B653" s="308"/>
      <c r="C653" s="308"/>
      <c r="D653" s="308"/>
      <c r="E653" s="308"/>
      <c r="F653" s="308"/>
      <c r="G653" s="308"/>
      <c r="H653" s="308"/>
      <c r="I653" s="308"/>
      <c r="J653" s="308"/>
      <c r="K653" s="308"/>
      <c r="L653" s="308"/>
      <c r="M653" s="308"/>
      <c r="N653" s="308"/>
      <c r="O653" s="308"/>
      <c r="P653" s="308"/>
      <c r="Q653" s="308"/>
      <c r="R653" s="308"/>
      <c r="S653" s="308"/>
      <c r="T653" s="308"/>
      <c r="U653" s="308"/>
      <c r="V653" s="308"/>
      <c r="W653" s="308"/>
      <c r="X653" s="308"/>
      <c r="Y653" s="308"/>
      <c r="Z653" s="308"/>
    </row>
    <row r="654">
      <c r="A654" s="308"/>
      <c r="B654" s="308"/>
      <c r="C654" s="308"/>
      <c r="D654" s="308"/>
      <c r="E654" s="308"/>
      <c r="F654" s="308"/>
      <c r="G654" s="308"/>
      <c r="H654" s="308"/>
      <c r="I654" s="308"/>
      <c r="J654" s="308"/>
      <c r="K654" s="308"/>
      <c r="L654" s="308"/>
      <c r="M654" s="308"/>
      <c r="N654" s="308"/>
      <c r="O654" s="308"/>
      <c r="P654" s="308"/>
      <c r="Q654" s="308"/>
      <c r="R654" s="308"/>
      <c r="S654" s="308"/>
      <c r="T654" s="308"/>
      <c r="U654" s="308"/>
      <c r="V654" s="308"/>
      <c r="W654" s="308"/>
      <c r="X654" s="308"/>
      <c r="Y654" s="308"/>
      <c r="Z654" s="308"/>
    </row>
    <row r="655">
      <c r="A655" s="308"/>
      <c r="B655" s="308"/>
      <c r="C655" s="308"/>
      <c r="D655" s="308"/>
      <c r="E655" s="308"/>
      <c r="F655" s="308"/>
      <c r="G655" s="308"/>
      <c r="H655" s="308"/>
      <c r="I655" s="308"/>
      <c r="J655" s="308"/>
      <c r="K655" s="308"/>
      <c r="L655" s="308"/>
      <c r="M655" s="308"/>
      <c r="N655" s="308"/>
      <c r="O655" s="308"/>
      <c r="P655" s="308"/>
      <c r="Q655" s="308"/>
      <c r="R655" s="308"/>
      <c r="S655" s="308"/>
      <c r="T655" s="308"/>
      <c r="U655" s="308"/>
      <c r="V655" s="308"/>
      <c r="W655" s="308"/>
      <c r="X655" s="308"/>
      <c r="Y655" s="308"/>
      <c r="Z655" s="308"/>
    </row>
    <row r="656">
      <c r="A656" s="308"/>
      <c r="B656" s="308"/>
      <c r="C656" s="308"/>
      <c r="D656" s="308"/>
      <c r="E656" s="308"/>
      <c r="F656" s="308"/>
      <c r="G656" s="308"/>
      <c r="H656" s="308"/>
      <c r="I656" s="308"/>
      <c r="J656" s="308"/>
      <c r="K656" s="308"/>
      <c r="L656" s="308"/>
      <c r="M656" s="308"/>
      <c r="N656" s="308"/>
      <c r="O656" s="308"/>
      <c r="P656" s="308"/>
      <c r="Q656" s="308"/>
      <c r="R656" s="308"/>
      <c r="S656" s="308"/>
      <c r="T656" s="308"/>
      <c r="U656" s="308"/>
      <c r="V656" s="308"/>
      <c r="W656" s="308"/>
      <c r="X656" s="308"/>
      <c r="Y656" s="308"/>
      <c r="Z656" s="308"/>
    </row>
    <row r="657">
      <c r="A657" s="308"/>
      <c r="B657" s="308"/>
      <c r="C657" s="308"/>
      <c r="D657" s="308"/>
      <c r="E657" s="308"/>
      <c r="F657" s="308"/>
      <c r="G657" s="308"/>
      <c r="H657" s="308"/>
      <c r="I657" s="308"/>
      <c r="J657" s="308"/>
      <c r="K657" s="308"/>
      <c r="L657" s="308"/>
      <c r="M657" s="308"/>
      <c r="N657" s="308"/>
      <c r="O657" s="308"/>
      <c r="P657" s="308"/>
      <c r="Q657" s="308"/>
      <c r="R657" s="308"/>
      <c r="S657" s="308"/>
      <c r="T657" s="308"/>
      <c r="U657" s="308"/>
      <c r="V657" s="308"/>
      <c r="W657" s="308"/>
      <c r="X657" s="308"/>
      <c r="Y657" s="308"/>
      <c r="Z657" s="308"/>
    </row>
    <row r="658">
      <c r="A658" s="308"/>
      <c r="B658" s="308"/>
      <c r="C658" s="308"/>
      <c r="D658" s="308"/>
      <c r="E658" s="308"/>
      <c r="F658" s="308"/>
      <c r="G658" s="308"/>
      <c r="H658" s="308"/>
      <c r="I658" s="308"/>
      <c r="J658" s="308"/>
      <c r="K658" s="308"/>
      <c r="L658" s="308"/>
      <c r="M658" s="308"/>
      <c r="N658" s="308"/>
      <c r="O658" s="308"/>
      <c r="P658" s="308"/>
      <c r="Q658" s="308"/>
      <c r="R658" s="308"/>
      <c r="S658" s="308"/>
      <c r="T658" s="308"/>
      <c r="U658" s="308"/>
      <c r="V658" s="308"/>
      <c r="W658" s="308"/>
      <c r="X658" s="308"/>
      <c r="Y658" s="308"/>
      <c r="Z658" s="308"/>
    </row>
    <row r="659">
      <c r="A659" s="308"/>
      <c r="B659" s="308"/>
      <c r="C659" s="308"/>
      <c r="D659" s="308"/>
      <c r="E659" s="308"/>
      <c r="F659" s="308"/>
      <c r="G659" s="308"/>
      <c r="H659" s="308"/>
      <c r="I659" s="308"/>
      <c r="J659" s="308"/>
      <c r="K659" s="308"/>
      <c r="L659" s="308"/>
      <c r="M659" s="308"/>
      <c r="N659" s="308"/>
      <c r="O659" s="308"/>
      <c r="P659" s="308"/>
      <c r="Q659" s="308"/>
      <c r="R659" s="308"/>
      <c r="S659" s="308"/>
      <c r="T659" s="308"/>
      <c r="U659" s="308"/>
      <c r="V659" s="308"/>
      <c r="W659" s="308"/>
      <c r="X659" s="308"/>
      <c r="Y659" s="308"/>
      <c r="Z659" s="308"/>
    </row>
    <row r="660">
      <c r="A660" s="308"/>
      <c r="B660" s="308"/>
      <c r="C660" s="308"/>
      <c r="D660" s="308"/>
      <c r="E660" s="308"/>
      <c r="F660" s="308"/>
      <c r="G660" s="308"/>
      <c r="H660" s="308"/>
      <c r="I660" s="308"/>
      <c r="J660" s="308"/>
      <c r="K660" s="308"/>
      <c r="L660" s="308"/>
      <c r="M660" s="308"/>
      <c r="N660" s="308"/>
      <c r="O660" s="308"/>
      <c r="P660" s="308"/>
      <c r="Q660" s="308"/>
      <c r="R660" s="308"/>
      <c r="S660" s="308"/>
      <c r="T660" s="308"/>
      <c r="U660" s="308"/>
      <c r="V660" s="308"/>
      <c r="W660" s="308"/>
      <c r="X660" s="308"/>
      <c r="Y660" s="308"/>
      <c r="Z660" s="308"/>
    </row>
    <row r="661">
      <c r="A661" s="308"/>
      <c r="B661" s="308"/>
      <c r="C661" s="308"/>
      <c r="D661" s="308"/>
      <c r="E661" s="308"/>
      <c r="F661" s="308"/>
      <c r="G661" s="308"/>
      <c r="H661" s="308"/>
      <c r="I661" s="308"/>
      <c r="J661" s="308"/>
      <c r="K661" s="308"/>
      <c r="L661" s="308"/>
      <c r="M661" s="308"/>
      <c r="N661" s="308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  <c r="Z661" s="308"/>
    </row>
    <row r="662">
      <c r="A662" s="308"/>
      <c r="B662" s="308"/>
      <c r="C662" s="308"/>
      <c r="D662" s="308"/>
      <c r="E662" s="308"/>
      <c r="F662" s="308"/>
      <c r="G662" s="308"/>
      <c r="H662" s="308"/>
      <c r="I662" s="308"/>
      <c r="J662" s="308"/>
      <c r="K662" s="308"/>
      <c r="L662" s="308"/>
      <c r="M662" s="308"/>
      <c r="N662" s="308"/>
      <c r="O662" s="308"/>
      <c r="P662" s="308"/>
      <c r="Q662" s="308"/>
      <c r="R662" s="308"/>
      <c r="S662" s="308"/>
      <c r="T662" s="308"/>
      <c r="U662" s="308"/>
      <c r="V662" s="308"/>
      <c r="W662" s="308"/>
      <c r="X662" s="308"/>
      <c r="Y662" s="308"/>
      <c r="Z662" s="308"/>
    </row>
    <row r="663">
      <c r="A663" s="308"/>
      <c r="B663" s="308"/>
      <c r="C663" s="308"/>
      <c r="D663" s="308"/>
      <c r="E663" s="308"/>
      <c r="F663" s="308"/>
      <c r="G663" s="308"/>
      <c r="H663" s="308"/>
      <c r="I663" s="308"/>
      <c r="J663" s="308"/>
      <c r="K663" s="308"/>
      <c r="L663" s="308"/>
      <c r="M663" s="308"/>
      <c r="N663" s="308"/>
      <c r="O663" s="308"/>
      <c r="P663" s="308"/>
      <c r="Q663" s="308"/>
      <c r="R663" s="308"/>
      <c r="S663" s="308"/>
      <c r="T663" s="308"/>
      <c r="U663" s="308"/>
      <c r="V663" s="308"/>
      <c r="W663" s="308"/>
      <c r="X663" s="308"/>
      <c r="Y663" s="308"/>
      <c r="Z663" s="308"/>
    </row>
    <row r="664">
      <c r="A664" s="308"/>
      <c r="B664" s="308"/>
      <c r="C664" s="308"/>
      <c r="D664" s="308"/>
      <c r="E664" s="308"/>
      <c r="F664" s="308"/>
      <c r="G664" s="308"/>
      <c r="H664" s="308"/>
      <c r="I664" s="308"/>
      <c r="J664" s="308"/>
      <c r="K664" s="308"/>
      <c r="L664" s="308"/>
      <c r="M664" s="308"/>
      <c r="N664" s="308"/>
      <c r="O664" s="308"/>
      <c r="P664" s="308"/>
      <c r="Q664" s="308"/>
      <c r="R664" s="308"/>
      <c r="S664" s="308"/>
      <c r="T664" s="308"/>
      <c r="U664" s="308"/>
      <c r="V664" s="308"/>
      <c r="W664" s="308"/>
      <c r="X664" s="308"/>
      <c r="Y664" s="308"/>
      <c r="Z664" s="308"/>
    </row>
    <row r="665">
      <c r="A665" s="308"/>
      <c r="B665" s="308"/>
      <c r="C665" s="308"/>
      <c r="D665" s="308"/>
      <c r="E665" s="308"/>
      <c r="F665" s="308"/>
      <c r="G665" s="308"/>
      <c r="H665" s="308"/>
      <c r="I665" s="308"/>
      <c r="J665" s="308"/>
      <c r="K665" s="308"/>
      <c r="L665" s="308"/>
      <c r="M665" s="308"/>
      <c r="N665" s="308"/>
      <c r="O665" s="308"/>
      <c r="P665" s="308"/>
      <c r="Q665" s="308"/>
      <c r="R665" s="308"/>
      <c r="S665" s="308"/>
      <c r="T665" s="308"/>
      <c r="U665" s="308"/>
      <c r="V665" s="308"/>
      <c r="W665" s="308"/>
      <c r="X665" s="308"/>
      <c r="Y665" s="308"/>
      <c r="Z665" s="308"/>
    </row>
    <row r="666">
      <c r="A666" s="308"/>
      <c r="B666" s="308"/>
      <c r="C666" s="308"/>
      <c r="D666" s="308"/>
      <c r="E666" s="308"/>
      <c r="F666" s="308"/>
      <c r="G666" s="308"/>
      <c r="H666" s="308"/>
      <c r="I666" s="308"/>
      <c r="J666" s="308"/>
      <c r="K666" s="308"/>
      <c r="L666" s="308"/>
      <c r="M666" s="308"/>
      <c r="N666" s="308"/>
      <c r="O666" s="308"/>
      <c r="P666" s="308"/>
      <c r="Q666" s="308"/>
      <c r="R666" s="308"/>
      <c r="S666" s="308"/>
      <c r="T666" s="308"/>
      <c r="U666" s="308"/>
      <c r="V666" s="308"/>
      <c r="W666" s="308"/>
      <c r="X666" s="308"/>
      <c r="Y666" s="308"/>
      <c r="Z666" s="308"/>
    </row>
    <row r="667">
      <c r="A667" s="308"/>
      <c r="B667" s="308"/>
      <c r="C667" s="308"/>
      <c r="D667" s="308"/>
      <c r="E667" s="308"/>
      <c r="F667" s="308"/>
      <c r="G667" s="308"/>
      <c r="H667" s="308"/>
      <c r="I667" s="308"/>
      <c r="J667" s="308"/>
      <c r="K667" s="308"/>
      <c r="L667" s="308"/>
      <c r="M667" s="308"/>
      <c r="N667" s="308"/>
      <c r="O667" s="308"/>
      <c r="P667" s="308"/>
      <c r="Q667" s="308"/>
      <c r="R667" s="308"/>
      <c r="S667" s="308"/>
      <c r="T667" s="308"/>
      <c r="U667" s="308"/>
      <c r="V667" s="308"/>
      <c r="W667" s="308"/>
      <c r="X667" s="308"/>
      <c r="Y667" s="308"/>
      <c r="Z667" s="308"/>
    </row>
    <row r="668">
      <c r="A668" s="308"/>
      <c r="B668" s="308"/>
      <c r="C668" s="308"/>
      <c r="D668" s="308"/>
      <c r="E668" s="308"/>
      <c r="F668" s="308"/>
      <c r="G668" s="308"/>
      <c r="H668" s="308"/>
      <c r="I668" s="308"/>
      <c r="J668" s="308"/>
      <c r="K668" s="308"/>
      <c r="L668" s="308"/>
      <c r="M668" s="308"/>
      <c r="N668" s="308"/>
      <c r="O668" s="308"/>
      <c r="P668" s="308"/>
      <c r="Q668" s="308"/>
      <c r="R668" s="308"/>
      <c r="S668" s="308"/>
      <c r="T668" s="308"/>
      <c r="U668" s="308"/>
      <c r="V668" s="308"/>
      <c r="W668" s="308"/>
      <c r="X668" s="308"/>
      <c r="Y668" s="308"/>
      <c r="Z668" s="308"/>
    </row>
    <row r="669">
      <c r="A669" s="308"/>
      <c r="B669" s="308"/>
      <c r="C669" s="308"/>
      <c r="D669" s="308"/>
      <c r="E669" s="308"/>
      <c r="F669" s="308"/>
      <c r="G669" s="308"/>
      <c r="H669" s="308"/>
      <c r="I669" s="308"/>
      <c r="J669" s="308"/>
      <c r="K669" s="308"/>
      <c r="L669" s="308"/>
      <c r="M669" s="308"/>
      <c r="N669" s="308"/>
      <c r="O669" s="308"/>
      <c r="P669" s="308"/>
      <c r="Q669" s="308"/>
      <c r="R669" s="308"/>
      <c r="S669" s="308"/>
      <c r="T669" s="308"/>
      <c r="U669" s="308"/>
      <c r="V669" s="308"/>
      <c r="W669" s="308"/>
      <c r="X669" s="308"/>
      <c r="Y669" s="308"/>
      <c r="Z669" s="308"/>
    </row>
    <row r="670">
      <c r="A670" s="308"/>
      <c r="B670" s="308"/>
      <c r="C670" s="308"/>
      <c r="D670" s="308"/>
      <c r="E670" s="308"/>
      <c r="F670" s="308"/>
      <c r="G670" s="308"/>
      <c r="H670" s="308"/>
      <c r="I670" s="308"/>
      <c r="J670" s="308"/>
      <c r="K670" s="308"/>
      <c r="L670" s="308"/>
      <c r="M670" s="308"/>
      <c r="N670" s="308"/>
      <c r="O670" s="308"/>
      <c r="P670" s="308"/>
      <c r="Q670" s="308"/>
      <c r="R670" s="308"/>
      <c r="S670" s="308"/>
      <c r="T670" s="308"/>
      <c r="U670" s="308"/>
      <c r="V670" s="308"/>
      <c r="W670" s="308"/>
      <c r="X670" s="308"/>
      <c r="Y670" s="308"/>
      <c r="Z670" s="308"/>
    </row>
    <row r="671">
      <c r="A671" s="308"/>
      <c r="B671" s="308"/>
      <c r="C671" s="308"/>
      <c r="D671" s="308"/>
      <c r="E671" s="308"/>
      <c r="F671" s="308"/>
      <c r="G671" s="308"/>
      <c r="H671" s="308"/>
      <c r="I671" s="308"/>
      <c r="J671" s="308"/>
      <c r="K671" s="308"/>
      <c r="L671" s="308"/>
      <c r="M671" s="308"/>
      <c r="N671" s="308"/>
      <c r="O671" s="308"/>
      <c r="P671" s="308"/>
      <c r="Q671" s="308"/>
      <c r="R671" s="308"/>
      <c r="S671" s="308"/>
      <c r="T671" s="308"/>
      <c r="U671" s="308"/>
      <c r="V671" s="308"/>
      <c r="W671" s="308"/>
      <c r="X671" s="308"/>
      <c r="Y671" s="308"/>
      <c r="Z671" s="308"/>
    </row>
    <row r="672">
      <c r="A672" s="308"/>
      <c r="B672" s="308"/>
      <c r="C672" s="308"/>
      <c r="D672" s="308"/>
      <c r="E672" s="308"/>
      <c r="F672" s="308"/>
      <c r="G672" s="308"/>
      <c r="H672" s="308"/>
      <c r="I672" s="308"/>
      <c r="J672" s="308"/>
      <c r="K672" s="308"/>
      <c r="L672" s="308"/>
      <c r="M672" s="308"/>
      <c r="N672" s="308"/>
      <c r="O672" s="308"/>
      <c r="P672" s="308"/>
      <c r="Q672" s="308"/>
      <c r="R672" s="308"/>
      <c r="S672" s="308"/>
      <c r="T672" s="308"/>
      <c r="U672" s="308"/>
      <c r="V672" s="308"/>
      <c r="W672" s="308"/>
      <c r="X672" s="308"/>
      <c r="Y672" s="308"/>
      <c r="Z672" s="308"/>
    </row>
    <row r="673">
      <c r="A673" s="308"/>
      <c r="B673" s="308"/>
      <c r="C673" s="308"/>
      <c r="D673" s="308"/>
      <c r="E673" s="308"/>
      <c r="F673" s="308"/>
      <c r="G673" s="308"/>
      <c r="H673" s="308"/>
      <c r="I673" s="308"/>
      <c r="J673" s="308"/>
      <c r="K673" s="308"/>
      <c r="L673" s="308"/>
      <c r="M673" s="308"/>
      <c r="N673" s="308"/>
      <c r="O673" s="308"/>
      <c r="P673" s="308"/>
      <c r="Q673" s="308"/>
      <c r="R673" s="308"/>
      <c r="S673" s="308"/>
      <c r="T673" s="308"/>
      <c r="U673" s="308"/>
      <c r="V673" s="308"/>
      <c r="W673" s="308"/>
      <c r="X673" s="308"/>
      <c r="Y673" s="308"/>
      <c r="Z673" s="308"/>
    </row>
    <row r="674">
      <c r="A674" s="308"/>
      <c r="B674" s="308"/>
      <c r="C674" s="308"/>
      <c r="D674" s="308"/>
      <c r="E674" s="308"/>
      <c r="F674" s="308"/>
      <c r="G674" s="308"/>
      <c r="H674" s="308"/>
      <c r="I674" s="308"/>
      <c r="J674" s="308"/>
      <c r="K674" s="308"/>
      <c r="L674" s="308"/>
      <c r="M674" s="308"/>
      <c r="N674" s="308"/>
      <c r="O674" s="308"/>
      <c r="P674" s="308"/>
      <c r="Q674" s="308"/>
      <c r="R674" s="308"/>
      <c r="S674" s="308"/>
      <c r="T674" s="308"/>
      <c r="U674" s="308"/>
      <c r="V674" s="308"/>
      <c r="W674" s="308"/>
      <c r="X674" s="308"/>
      <c r="Y674" s="308"/>
      <c r="Z674" s="308"/>
    </row>
    <row r="675">
      <c r="A675" s="308"/>
      <c r="B675" s="308"/>
      <c r="C675" s="308"/>
      <c r="D675" s="308"/>
      <c r="E675" s="308"/>
      <c r="F675" s="308"/>
      <c r="G675" s="308"/>
      <c r="H675" s="308"/>
      <c r="I675" s="308"/>
      <c r="J675" s="308"/>
      <c r="K675" s="308"/>
      <c r="L675" s="308"/>
      <c r="M675" s="308"/>
      <c r="N675" s="308"/>
      <c r="O675" s="308"/>
      <c r="P675" s="308"/>
      <c r="Q675" s="308"/>
      <c r="R675" s="308"/>
      <c r="S675" s="308"/>
      <c r="T675" s="308"/>
      <c r="U675" s="308"/>
      <c r="V675" s="308"/>
      <c r="W675" s="308"/>
      <c r="X675" s="308"/>
      <c r="Y675" s="308"/>
      <c r="Z675" s="308"/>
    </row>
    <row r="676">
      <c r="A676" s="308"/>
      <c r="B676" s="308"/>
      <c r="C676" s="308"/>
      <c r="D676" s="308"/>
      <c r="E676" s="308"/>
      <c r="F676" s="308"/>
      <c r="G676" s="308"/>
      <c r="H676" s="308"/>
      <c r="I676" s="308"/>
      <c r="J676" s="308"/>
      <c r="K676" s="308"/>
      <c r="L676" s="308"/>
      <c r="M676" s="308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  <c r="Z676" s="308"/>
    </row>
    <row r="677">
      <c r="A677" s="308"/>
      <c r="B677" s="308"/>
      <c r="C677" s="308"/>
      <c r="D677" s="308"/>
      <c r="E677" s="308"/>
      <c r="F677" s="308"/>
      <c r="G677" s="308"/>
      <c r="H677" s="308"/>
      <c r="I677" s="308"/>
      <c r="J677" s="308"/>
      <c r="K677" s="308"/>
      <c r="L677" s="308"/>
      <c r="M677" s="308"/>
      <c r="N677" s="308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  <c r="Z677" s="308"/>
    </row>
    <row r="678">
      <c r="A678" s="308"/>
      <c r="B678" s="308"/>
      <c r="C678" s="308"/>
      <c r="D678" s="308"/>
      <c r="E678" s="308"/>
      <c r="F678" s="308"/>
      <c r="G678" s="308"/>
      <c r="H678" s="308"/>
      <c r="I678" s="308"/>
      <c r="J678" s="308"/>
      <c r="K678" s="308"/>
      <c r="L678" s="308"/>
      <c r="M678" s="308"/>
      <c r="N678" s="308"/>
      <c r="O678" s="308"/>
      <c r="P678" s="308"/>
      <c r="Q678" s="308"/>
      <c r="R678" s="308"/>
      <c r="S678" s="308"/>
      <c r="T678" s="308"/>
      <c r="U678" s="308"/>
      <c r="V678" s="308"/>
      <c r="W678" s="308"/>
      <c r="X678" s="308"/>
      <c r="Y678" s="308"/>
      <c r="Z678" s="308"/>
    </row>
    <row r="679">
      <c r="A679" s="308"/>
      <c r="B679" s="308"/>
      <c r="C679" s="308"/>
      <c r="D679" s="308"/>
      <c r="E679" s="308"/>
      <c r="F679" s="308"/>
      <c r="G679" s="308"/>
      <c r="H679" s="308"/>
      <c r="I679" s="308"/>
      <c r="J679" s="308"/>
      <c r="K679" s="308"/>
      <c r="L679" s="308"/>
      <c r="M679" s="308"/>
      <c r="N679" s="308"/>
      <c r="O679" s="308"/>
      <c r="P679" s="308"/>
      <c r="Q679" s="308"/>
      <c r="R679" s="308"/>
      <c r="S679" s="308"/>
      <c r="T679" s="308"/>
      <c r="U679" s="308"/>
      <c r="V679" s="308"/>
      <c r="W679" s="308"/>
      <c r="X679" s="308"/>
      <c r="Y679" s="308"/>
      <c r="Z679" s="308"/>
    </row>
    <row r="680">
      <c r="A680" s="308"/>
      <c r="B680" s="308"/>
      <c r="C680" s="308"/>
      <c r="D680" s="308"/>
      <c r="E680" s="308"/>
      <c r="F680" s="308"/>
      <c r="G680" s="308"/>
      <c r="H680" s="308"/>
      <c r="I680" s="308"/>
      <c r="J680" s="308"/>
      <c r="K680" s="308"/>
      <c r="L680" s="308"/>
      <c r="M680" s="308"/>
      <c r="N680" s="308"/>
      <c r="O680" s="308"/>
      <c r="P680" s="308"/>
      <c r="Q680" s="308"/>
      <c r="R680" s="308"/>
      <c r="S680" s="308"/>
      <c r="T680" s="308"/>
      <c r="U680" s="308"/>
      <c r="V680" s="308"/>
      <c r="W680" s="308"/>
      <c r="X680" s="308"/>
      <c r="Y680" s="308"/>
      <c r="Z680" s="308"/>
    </row>
    <row r="681">
      <c r="A681" s="308"/>
      <c r="B681" s="308"/>
      <c r="C681" s="308"/>
      <c r="D681" s="308"/>
      <c r="E681" s="308"/>
      <c r="F681" s="308"/>
      <c r="G681" s="308"/>
      <c r="H681" s="308"/>
      <c r="I681" s="308"/>
      <c r="J681" s="308"/>
      <c r="K681" s="308"/>
      <c r="L681" s="308"/>
      <c r="M681" s="308"/>
      <c r="N681" s="308"/>
      <c r="O681" s="308"/>
      <c r="P681" s="308"/>
      <c r="Q681" s="308"/>
      <c r="R681" s="308"/>
      <c r="S681" s="308"/>
      <c r="T681" s="308"/>
      <c r="U681" s="308"/>
      <c r="V681" s="308"/>
      <c r="W681" s="308"/>
      <c r="X681" s="308"/>
      <c r="Y681" s="308"/>
      <c r="Z681" s="308"/>
    </row>
    <row r="682">
      <c r="A682" s="308"/>
      <c r="B682" s="308"/>
      <c r="C682" s="308"/>
      <c r="D682" s="308"/>
      <c r="E682" s="308"/>
      <c r="F682" s="308"/>
      <c r="G682" s="308"/>
      <c r="H682" s="308"/>
      <c r="I682" s="308"/>
      <c r="J682" s="308"/>
      <c r="K682" s="308"/>
      <c r="L682" s="308"/>
      <c r="M682" s="308"/>
      <c r="N682" s="308"/>
      <c r="O682" s="308"/>
      <c r="P682" s="308"/>
      <c r="Q682" s="308"/>
      <c r="R682" s="308"/>
      <c r="S682" s="308"/>
      <c r="T682" s="308"/>
      <c r="U682" s="308"/>
      <c r="V682" s="308"/>
      <c r="W682" s="308"/>
      <c r="X682" s="308"/>
      <c r="Y682" s="308"/>
      <c r="Z682" s="308"/>
    </row>
    <row r="683">
      <c r="A683" s="308"/>
      <c r="B683" s="308"/>
      <c r="C683" s="308"/>
      <c r="D683" s="308"/>
      <c r="E683" s="308"/>
      <c r="F683" s="308"/>
      <c r="G683" s="308"/>
      <c r="H683" s="308"/>
      <c r="I683" s="308"/>
      <c r="J683" s="308"/>
      <c r="K683" s="308"/>
      <c r="L683" s="308"/>
      <c r="M683" s="308"/>
      <c r="N683" s="308"/>
      <c r="O683" s="308"/>
      <c r="P683" s="308"/>
      <c r="Q683" s="308"/>
      <c r="R683" s="308"/>
      <c r="S683" s="308"/>
      <c r="T683" s="308"/>
      <c r="U683" s="308"/>
      <c r="V683" s="308"/>
      <c r="W683" s="308"/>
      <c r="X683" s="308"/>
      <c r="Y683" s="308"/>
      <c r="Z683" s="308"/>
    </row>
    <row r="684">
      <c r="A684" s="308"/>
      <c r="B684" s="308"/>
      <c r="C684" s="308"/>
      <c r="D684" s="308"/>
      <c r="E684" s="308"/>
      <c r="F684" s="308"/>
      <c r="G684" s="308"/>
      <c r="H684" s="308"/>
      <c r="I684" s="308"/>
      <c r="J684" s="308"/>
      <c r="K684" s="308"/>
      <c r="L684" s="308"/>
      <c r="M684" s="308"/>
      <c r="N684" s="308"/>
      <c r="O684" s="308"/>
      <c r="P684" s="308"/>
      <c r="Q684" s="308"/>
      <c r="R684" s="308"/>
      <c r="S684" s="308"/>
      <c r="T684" s="308"/>
      <c r="U684" s="308"/>
      <c r="V684" s="308"/>
      <c r="W684" s="308"/>
      <c r="X684" s="308"/>
      <c r="Y684" s="308"/>
      <c r="Z684" s="308"/>
    </row>
    <row r="685">
      <c r="A685" s="308"/>
      <c r="B685" s="308"/>
      <c r="C685" s="308"/>
      <c r="D685" s="308"/>
      <c r="E685" s="308"/>
      <c r="F685" s="308"/>
      <c r="G685" s="308"/>
      <c r="H685" s="308"/>
      <c r="I685" s="308"/>
      <c r="J685" s="308"/>
      <c r="K685" s="308"/>
      <c r="L685" s="308"/>
      <c r="M685" s="308"/>
      <c r="N685" s="308"/>
      <c r="O685" s="308"/>
      <c r="P685" s="308"/>
      <c r="Q685" s="308"/>
      <c r="R685" s="308"/>
      <c r="S685" s="308"/>
      <c r="T685" s="308"/>
      <c r="U685" s="308"/>
      <c r="V685" s="308"/>
      <c r="W685" s="308"/>
      <c r="X685" s="308"/>
      <c r="Y685" s="308"/>
      <c r="Z685" s="308"/>
    </row>
    <row r="686">
      <c r="A686" s="308"/>
      <c r="B686" s="308"/>
      <c r="C686" s="308"/>
      <c r="D686" s="308"/>
      <c r="E686" s="308"/>
      <c r="F686" s="308"/>
      <c r="G686" s="308"/>
      <c r="H686" s="308"/>
      <c r="I686" s="308"/>
      <c r="J686" s="308"/>
      <c r="K686" s="308"/>
      <c r="L686" s="308"/>
      <c r="M686" s="308"/>
      <c r="N686" s="308"/>
      <c r="O686" s="308"/>
      <c r="P686" s="308"/>
      <c r="Q686" s="308"/>
      <c r="R686" s="308"/>
      <c r="S686" s="308"/>
      <c r="T686" s="308"/>
      <c r="U686" s="308"/>
      <c r="V686" s="308"/>
      <c r="W686" s="308"/>
      <c r="X686" s="308"/>
      <c r="Y686" s="308"/>
      <c r="Z686" s="308"/>
    </row>
    <row r="687">
      <c r="A687" s="308"/>
      <c r="B687" s="308"/>
      <c r="C687" s="308"/>
      <c r="D687" s="308"/>
      <c r="E687" s="308"/>
      <c r="F687" s="308"/>
      <c r="G687" s="308"/>
      <c r="H687" s="308"/>
      <c r="I687" s="308"/>
      <c r="J687" s="308"/>
      <c r="K687" s="308"/>
      <c r="L687" s="308"/>
      <c r="M687" s="308"/>
      <c r="N687" s="308"/>
      <c r="O687" s="308"/>
      <c r="P687" s="308"/>
      <c r="Q687" s="308"/>
      <c r="R687" s="308"/>
      <c r="S687" s="308"/>
      <c r="T687" s="308"/>
      <c r="U687" s="308"/>
      <c r="V687" s="308"/>
      <c r="W687" s="308"/>
      <c r="X687" s="308"/>
      <c r="Y687" s="308"/>
      <c r="Z687" s="308"/>
    </row>
    <row r="688">
      <c r="A688" s="308"/>
      <c r="B688" s="308"/>
      <c r="C688" s="308"/>
      <c r="D688" s="308"/>
      <c r="E688" s="308"/>
      <c r="F688" s="308"/>
      <c r="G688" s="308"/>
      <c r="H688" s="308"/>
      <c r="I688" s="308"/>
      <c r="J688" s="308"/>
      <c r="K688" s="308"/>
      <c r="L688" s="308"/>
      <c r="M688" s="308"/>
      <c r="N688" s="308"/>
      <c r="O688" s="308"/>
      <c r="P688" s="308"/>
      <c r="Q688" s="308"/>
      <c r="R688" s="308"/>
      <c r="S688" s="308"/>
      <c r="T688" s="308"/>
      <c r="U688" s="308"/>
      <c r="V688" s="308"/>
      <c r="W688" s="308"/>
      <c r="X688" s="308"/>
      <c r="Y688" s="308"/>
      <c r="Z688" s="308"/>
    </row>
    <row r="689">
      <c r="A689" s="308"/>
      <c r="B689" s="308"/>
      <c r="C689" s="308"/>
      <c r="D689" s="308"/>
      <c r="E689" s="308"/>
      <c r="F689" s="308"/>
      <c r="G689" s="308"/>
      <c r="H689" s="308"/>
      <c r="I689" s="308"/>
      <c r="J689" s="308"/>
      <c r="K689" s="308"/>
      <c r="L689" s="308"/>
      <c r="M689" s="308"/>
      <c r="N689" s="308"/>
      <c r="O689" s="308"/>
      <c r="P689" s="308"/>
      <c r="Q689" s="308"/>
      <c r="R689" s="308"/>
      <c r="S689" s="308"/>
      <c r="T689" s="308"/>
      <c r="U689" s="308"/>
      <c r="V689" s="308"/>
      <c r="W689" s="308"/>
      <c r="X689" s="308"/>
      <c r="Y689" s="308"/>
      <c r="Z689" s="308"/>
    </row>
    <row r="690">
      <c r="A690" s="308"/>
      <c r="B690" s="308"/>
      <c r="C690" s="308"/>
      <c r="D690" s="308"/>
      <c r="E690" s="308"/>
      <c r="F690" s="308"/>
      <c r="G690" s="308"/>
      <c r="H690" s="308"/>
      <c r="I690" s="308"/>
      <c r="J690" s="308"/>
      <c r="K690" s="308"/>
      <c r="L690" s="308"/>
      <c r="M690" s="308"/>
      <c r="N690" s="308"/>
      <c r="O690" s="308"/>
      <c r="P690" s="308"/>
      <c r="Q690" s="308"/>
      <c r="R690" s="308"/>
      <c r="S690" s="308"/>
      <c r="T690" s="308"/>
      <c r="U690" s="308"/>
      <c r="V690" s="308"/>
      <c r="W690" s="308"/>
      <c r="X690" s="308"/>
      <c r="Y690" s="308"/>
      <c r="Z690" s="308"/>
    </row>
    <row r="691">
      <c r="A691" s="308"/>
      <c r="B691" s="308"/>
      <c r="C691" s="308"/>
      <c r="D691" s="308"/>
      <c r="E691" s="308"/>
      <c r="F691" s="308"/>
      <c r="G691" s="308"/>
      <c r="H691" s="308"/>
      <c r="I691" s="308"/>
      <c r="J691" s="308"/>
      <c r="K691" s="308"/>
      <c r="L691" s="308"/>
      <c r="M691" s="308"/>
      <c r="N691" s="308"/>
      <c r="O691" s="308"/>
      <c r="P691" s="308"/>
      <c r="Q691" s="308"/>
      <c r="R691" s="308"/>
      <c r="S691" s="308"/>
      <c r="T691" s="308"/>
      <c r="U691" s="308"/>
      <c r="V691" s="308"/>
      <c r="W691" s="308"/>
      <c r="X691" s="308"/>
      <c r="Y691" s="308"/>
      <c r="Z691" s="308"/>
    </row>
    <row r="692">
      <c r="A692" s="308"/>
      <c r="B692" s="308"/>
      <c r="C692" s="308"/>
      <c r="D692" s="308"/>
      <c r="E692" s="308"/>
      <c r="F692" s="308"/>
      <c r="G692" s="308"/>
      <c r="H692" s="308"/>
      <c r="I692" s="308"/>
      <c r="J692" s="308"/>
      <c r="K692" s="308"/>
      <c r="L692" s="308"/>
      <c r="M692" s="308"/>
      <c r="N692" s="308"/>
      <c r="O692" s="308"/>
      <c r="P692" s="308"/>
      <c r="Q692" s="308"/>
      <c r="R692" s="308"/>
      <c r="S692" s="308"/>
      <c r="T692" s="308"/>
      <c r="U692" s="308"/>
      <c r="V692" s="308"/>
      <c r="W692" s="308"/>
      <c r="X692" s="308"/>
      <c r="Y692" s="308"/>
      <c r="Z692" s="308"/>
    </row>
    <row r="693">
      <c r="A693" s="308"/>
      <c r="B693" s="308"/>
      <c r="C693" s="308"/>
      <c r="D693" s="308"/>
      <c r="E693" s="308"/>
      <c r="F693" s="308"/>
      <c r="G693" s="308"/>
      <c r="H693" s="308"/>
      <c r="I693" s="308"/>
      <c r="J693" s="308"/>
      <c r="K693" s="308"/>
      <c r="L693" s="308"/>
      <c r="M693" s="308"/>
      <c r="N693" s="308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  <c r="Z693" s="308"/>
    </row>
    <row r="694">
      <c r="A694" s="308"/>
      <c r="B694" s="308"/>
      <c r="C694" s="308"/>
      <c r="D694" s="308"/>
      <c r="E694" s="308"/>
      <c r="F694" s="308"/>
      <c r="G694" s="308"/>
      <c r="H694" s="308"/>
      <c r="I694" s="308"/>
      <c r="J694" s="308"/>
      <c r="K694" s="308"/>
      <c r="L694" s="308"/>
      <c r="M694" s="308"/>
      <c r="N694" s="308"/>
      <c r="O694" s="308"/>
      <c r="P694" s="308"/>
      <c r="Q694" s="308"/>
      <c r="R694" s="308"/>
      <c r="S694" s="308"/>
      <c r="T694" s="308"/>
      <c r="U694" s="308"/>
      <c r="V694" s="308"/>
      <c r="W694" s="308"/>
      <c r="X694" s="308"/>
      <c r="Y694" s="308"/>
      <c r="Z694" s="308"/>
    </row>
    <row r="695">
      <c r="A695" s="308"/>
      <c r="B695" s="308"/>
      <c r="C695" s="308"/>
      <c r="D695" s="308"/>
      <c r="E695" s="308"/>
      <c r="F695" s="308"/>
      <c r="G695" s="308"/>
      <c r="H695" s="308"/>
      <c r="I695" s="308"/>
      <c r="J695" s="308"/>
      <c r="K695" s="308"/>
      <c r="L695" s="308"/>
      <c r="M695" s="308"/>
      <c r="N695" s="308"/>
      <c r="O695" s="308"/>
      <c r="P695" s="308"/>
      <c r="Q695" s="308"/>
      <c r="R695" s="308"/>
      <c r="S695" s="308"/>
      <c r="T695" s="308"/>
      <c r="U695" s="308"/>
      <c r="V695" s="308"/>
      <c r="W695" s="308"/>
      <c r="X695" s="308"/>
      <c r="Y695" s="308"/>
      <c r="Z695" s="308"/>
    </row>
    <row r="696">
      <c r="A696" s="308"/>
      <c r="B696" s="308"/>
      <c r="C696" s="308"/>
      <c r="D696" s="308"/>
      <c r="E696" s="308"/>
      <c r="F696" s="308"/>
      <c r="G696" s="308"/>
      <c r="H696" s="308"/>
      <c r="I696" s="308"/>
      <c r="J696" s="308"/>
      <c r="K696" s="308"/>
      <c r="L696" s="308"/>
      <c r="M696" s="308"/>
      <c r="N696" s="308"/>
      <c r="O696" s="308"/>
      <c r="P696" s="308"/>
      <c r="Q696" s="308"/>
      <c r="R696" s="308"/>
      <c r="S696" s="308"/>
      <c r="T696" s="308"/>
      <c r="U696" s="308"/>
      <c r="V696" s="308"/>
      <c r="W696" s="308"/>
      <c r="X696" s="308"/>
      <c r="Y696" s="308"/>
      <c r="Z696" s="308"/>
    </row>
    <row r="697">
      <c r="A697" s="308"/>
      <c r="B697" s="308"/>
      <c r="C697" s="308"/>
      <c r="D697" s="308"/>
      <c r="E697" s="308"/>
      <c r="F697" s="308"/>
      <c r="G697" s="308"/>
      <c r="H697" s="308"/>
      <c r="I697" s="308"/>
      <c r="J697" s="308"/>
      <c r="K697" s="308"/>
      <c r="L697" s="308"/>
      <c r="M697" s="308"/>
      <c r="N697" s="308"/>
      <c r="O697" s="308"/>
      <c r="P697" s="308"/>
      <c r="Q697" s="308"/>
      <c r="R697" s="308"/>
      <c r="S697" s="308"/>
      <c r="T697" s="308"/>
      <c r="U697" s="308"/>
      <c r="V697" s="308"/>
      <c r="W697" s="308"/>
      <c r="X697" s="308"/>
      <c r="Y697" s="308"/>
      <c r="Z697" s="308"/>
    </row>
    <row r="698">
      <c r="A698" s="308"/>
      <c r="B698" s="308"/>
      <c r="C698" s="308"/>
      <c r="D698" s="308"/>
      <c r="E698" s="308"/>
      <c r="F698" s="308"/>
      <c r="G698" s="308"/>
      <c r="H698" s="308"/>
      <c r="I698" s="308"/>
      <c r="J698" s="308"/>
      <c r="K698" s="308"/>
      <c r="L698" s="308"/>
      <c r="M698" s="308"/>
      <c r="N698" s="308"/>
      <c r="O698" s="308"/>
      <c r="P698" s="308"/>
      <c r="Q698" s="308"/>
      <c r="R698" s="308"/>
      <c r="S698" s="308"/>
      <c r="T698" s="308"/>
      <c r="U698" s="308"/>
      <c r="V698" s="308"/>
      <c r="W698" s="308"/>
      <c r="X698" s="308"/>
      <c r="Y698" s="308"/>
      <c r="Z698" s="308"/>
    </row>
    <row r="699">
      <c r="A699" s="308"/>
      <c r="B699" s="308"/>
      <c r="C699" s="308"/>
      <c r="D699" s="308"/>
      <c r="E699" s="308"/>
      <c r="F699" s="308"/>
      <c r="G699" s="308"/>
      <c r="H699" s="308"/>
      <c r="I699" s="308"/>
      <c r="J699" s="308"/>
      <c r="K699" s="308"/>
      <c r="L699" s="308"/>
      <c r="M699" s="308"/>
      <c r="N699" s="308"/>
      <c r="O699" s="308"/>
      <c r="P699" s="308"/>
      <c r="Q699" s="308"/>
      <c r="R699" s="308"/>
      <c r="S699" s="308"/>
      <c r="T699" s="308"/>
      <c r="U699" s="308"/>
      <c r="V699" s="308"/>
      <c r="W699" s="308"/>
      <c r="X699" s="308"/>
      <c r="Y699" s="308"/>
      <c r="Z699" s="308"/>
    </row>
    <row r="700">
      <c r="A700" s="308"/>
      <c r="B700" s="308"/>
      <c r="C700" s="308"/>
      <c r="D700" s="308"/>
      <c r="E700" s="308"/>
      <c r="F700" s="308"/>
      <c r="G700" s="308"/>
      <c r="H700" s="308"/>
      <c r="I700" s="308"/>
      <c r="J700" s="308"/>
      <c r="K700" s="308"/>
      <c r="L700" s="308"/>
      <c r="M700" s="308"/>
      <c r="N700" s="308"/>
      <c r="O700" s="308"/>
      <c r="P700" s="308"/>
      <c r="Q700" s="308"/>
      <c r="R700" s="308"/>
      <c r="S700" s="308"/>
      <c r="T700" s="308"/>
      <c r="U700" s="308"/>
      <c r="V700" s="308"/>
      <c r="W700" s="308"/>
      <c r="X700" s="308"/>
      <c r="Y700" s="308"/>
      <c r="Z700" s="308"/>
    </row>
    <row r="701">
      <c r="A701" s="308"/>
      <c r="B701" s="308"/>
      <c r="C701" s="308"/>
      <c r="D701" s="308"/>
      <c r="E701" s="308"/>
      <c r="F701" s="308"/>
      <c r="G701" s="308"/>
      <c r="H701" s="308"/>
      <c r="I701" s="308"/>
      <c r="J701" s="308"/>
      <c r="K701" s="308"/>
      <c r="L701" s="308"/>
      <c r="M701" s="308"/>
      <c r="N701" s="308"/>
      <c r="O701" s="308"/>
      <c r="P701" s="308"/>
      <c r="Q701" s="308"/>
      <c r="R701" s="308"/>
      <c r="S701" s="308"/>
      <c r="T701" s="308"/>
      <c r="U701" s="308"/>
      <c r="V701" s="308"/>
      <c r="W701" s="308"/>
      <c r="X701" s="308"/>
      <c r="Y701" s="308"/>
      <c r="Z701" s="308"/>
    </row>
    <row r="702">
      <c r="A702" s="308"/>
      <c r="B702" s="308"/>
      <c r="C702" s="308"/>
      <c r="D702" s="308"/>
      <c r="E702" s="308"/>
      <c r="F702" s="308"/>
      <c r="G702" s="308"/>
      <c r="H702" s="308"/>
      <c r="I702" s="308"/>
      <c r="J702" s="308"/>
      <c r="K702" s="308"/>
      <c r="L702" s="308"/>
      <c r="M702" s="308"/>
      <c r="N702" s="308"/>
      <c r="O702" s="308"/>
      <c r="P702" s="308"/>
      <c r="Q702" s="308"/>
      <c r="R702" s="308"/>
      <c r="S702" s="308"/>
      <c r="T702" s="308"/>
      <c r="U702" s="308"/>
      <c r="V702" s="308"/>
      <c r="W702" s="308"/>
      <c r="X702" s="308"/>
      <c r="Y702" s="308"/>
      <c r="Z702" s="308"/>
    </row>
    <row r="703">
      <c r="A703" s="308"/>
      <c r="B703" s="308"/>
      <c r="C703" s="308"/>
      <c r="D703" s="308"/>
      <c r="E703" s="308"/>
      <c r="F703" s="308"/>
      <c r="G703" s="308"/>
      <c r="H703" s="308"/>
      <c r="I703" s="308"/>
      <c r="J703" s="308"/>
      <c r="K703" s="308"/>
      <c r="L703" s="308"/>
      <c r="M703" s="308"/>
      <c r="N703" s="308"/>
      <c r="O703" s="308"/>
      <c r="P703" s="308"/>
      <c r="Q703" s="308"/>
      <c r="R703" s="308"/>
      <c r="S703" s="308"/>
      <c r="T703" s="308"/>
      <c r="U703" s="308"/>
      <c r="V703" s="308"/>
      <c r="W703" s="308"/>
      <c r="X703" s="308"/>
      <c r="Y703" s="308"/>
      <c r="Z703" s="308"/>
    </row>
    <row r="704">
      <c r="A704" s="308"/>
      <c r="B704" s="308"/>
      <c r="C704" s="308"/>
      <c r="D704" s="308"/>
      <c r="E704" s="308"/>
      <c r="F704" s="308"/>
      <c r="G704" s="308"/>
      <c r="H704" s="308"/>
      <c r="I704" s="308"/>
      <c r="J704" s="308"/>
      <c r="K704" s="308"/>
      <c r="L704" s="308"/>
      <c r="M704" s="308"/>
      <c r="N704" s="308"/>
      <c r="O704" s="308"/>
      <c r="P704" s="308"/>
      <c r="Q704" s="308"/>
      <c r="R704" s="308"/>
      <c r="S704" s="308"/>
      <c r="T704" s="308"/>
      <c r="U704" s="308"/>
      <c r="V704" s="308"/>
      <c r="W704" s="308"/>
      <c r="X704" s="308"/>
      <c r="Y704" s="308"/>
      <c r="Z704" s="308"/>
    </row>
    <row r="705">
      <c r="A705" s="308"/>
      <c r="B705" s="308"/>
      <c r="C705" s="308"/>
      <c r="D705" s="308"/>
      <c r="E705" s="308"/>
      <c r="F705" s="308"/>
      <c r="G705" s="308"/>
      <c r="H705" s="308"/>
      <c r="I705" s="308"/>
      <c r="J705" s="308"/>
      <c r="K705" s="308"/>
      <c r="L705" s="308"/>
      <c r="M705" s="308"/>
      <c r="N705" s="308"/>
      <c r="O705" s="308"/>
      <c r="P705" s="308"/>
      <c r="Q705" s="308"/>
      <c r="R705" s="308"/>
      <c r="S705" s="308"/>
      <c r="T705" s="308"/>
      <c r="U705" s="308"/>
      <c r="V705" s="308"/>
      <c r="W705" s="308"/>
      <c r="X705" s="308"/>
      <c r="Y705" s="308"/>
      <c r="Z705" s="308"/>
    </row>
    <row r="706">
      <c r="A706" s="308"/>
      <c r="B706" s="308"/>
      <c r="C706" s="308"/>
      <c r="D706" s="308"/>
      <c r="E706" s="308"/>
      <c r="F706" s="308"/>
      <c r="G706" s="308"/>
      <c r="H706" s="308"/>
      <c r="I706" s="308"/>
      <c r="J706" s="308"/>
      <c r="K706" s="308"/>
      <c r="L706" s="308"/>
      <c r="M706" s="308"/>
      <c r="N706" s="308"/>
      <c r="O706" s="308"/>
      <c r="P706" s="308"/>
      <c r="Q706" s="308"/>
      <c r="R706" s="308"/>
      <c r="S706" s="308"/>
      <c r="T706" s="308"/>
      <c r="U706" s="308"/>
      <c r="V706" s="308"/>
      <c r="W706" s="308"/>
      <c r="X706" s="308"/>
      <c r="Y706" s="308"/>
      <c r="Z706" s="308"/>
    </row>
    <row r="707">
      <c r="A707" s="308"/>
      <c r="B707" s="308"/>
      <c r="C707" s="308"/>
      <c r="D707" s="308"/>
      <c r="E707" s="308"/>
      <c r="F707" s="308"/>
      <c r="G707" s="308"/>
      <c r="H707" s="308"/>
      <c r="I707" s="308"/>
      <c r="J707" s="308"/>
      <c r="K707" s="308"/>
      <c r="L707" s="308"/>
      <c r="M707" s="308"/>
      <c r="N707" s="308"/>
      <c r="O707" s="308"/>
      <c r="P707" s="308"/>
      <c r="Q707" s="308"/>
      <c r="R707" s="308"/>
      <c r="S707" s="308"/>
      <c r="T707" s="308"/>
      <c r="U707" s="308"/>
      <c r="V707" s="308"/>
      <c r="W707" s="308"/>
      <c r="X707" s="308"/>
      <c r="Y707" s="308"/>
      <c r="Z707" s="308"/>
    </row>
    <row r="708">
      <c r="A708" s="308"/>
      <c r="B708" s="308"/>
      <c r="C708" s="308"/>
      <c r="D708" s="308"/>
      <c r="E708" s="308"/>
      <c r="F708" s="308"/>
      <c r="G708" s="308"/>
      <c r="H708" s="308"/>
      <c r="I708" s="308"/>
      <c r="J708" s="308"/>
      <c r="K708" s="308"/>
      <c r="L708" s="308"/>
      <c r="M708" s="308"/>
      <c r="N708" s="308"/>
      <c r="O708" s="308"/>
      <c r="P708" s="308"/>
      <c r="Q708" s="308"/>
      <c r="R708" s="308"/>
      <c r="S708" s="308"/>
      <c r="T708" s="308"/>
      <c r="U708" s="308"/>
      <c r="V708" s="308"/>
      <c r="W708" s="308"/>
      <c r="X708" s="308"/>
      <c r="Y708" s="308"/>
      <c r="Z708" s="308"/>
    </row>
    <row r="709">
      <c r="A709" s="308"/>
      <c r="B709" s="308"/>
      <c r="C709" s="308"/>
      <c r="D709" s="308"/>
      <c r="E709" s="308"/>
      <c r="F709" s="308"/>
      <c r="G709" s="308"/>
      <c r="H709" s="308"/>
      <c r="I709" s="308"/>
      <c r="J709" s="308"/>
      <c r="K709" s="308"/>
      <c r="L709" s="308"/>
      <c r="M709" s="308"/>
      <c r="N709" s="308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  <c r="Z709" s="308"/>
    </row>
    <row r="710">
      <c r="A710" s="308"/>
      <c r="B710" s="308"/>
      <c r="C710" s="308"/>
      <c r="D710" s="308"/>
      <c r="E710" s="308"/>
      <c r="F710" s="308"/>
      <c r="G710" s="308"/>
      <c r="H710" s="308"/>
      <c r="I710" s="308"/>
      <c r="J710" s="308"/>
      <c r="K710" s="308"/>
      <c r="L710" s="308"/>
      <c r="M710" s="308"/>
      <c r="N710" s="308"/>
      <c r="O710" s="308"/>
      <c r="P710" s="308"/>
      <c r="Q710" s="308"/>
      <c r="R710" s="308"/>
      <c r="S710" s="308"/>
      <c r="T710" s="308"/>
      <c r="U710" s="308"/>
      <c r="V710" s="308"/>
      <c r="W710" s="308"/>
      <c r="X710" s="308"/>
      <c r="Y710" s="308"/>
      <c r="Z710" s="308"/>
    </row>
    <row r="711">
      <c r="A711" s="308"/>
      <c r="B711" s="308"/>
      <c r="C711" s="308"/>
      <c r="D711" s="308"/>
      <c r="E711" s="308"/>
      <c r="F711" s="308"/>
      <c r="G711" s="308"/>
      <c r="H711" s="308"/>
      <c r="I711" s="308"/>
      <c r="J711" s="308"/>
      <c r="K711" s="308"/>
      <c r="L711" s="308"/>
      <c r="M711" s="308"/>
      <c r="N711" s="308"/>
      <c r="O711" s="308"/>
      <c r="P711" s="308"/>
      <c r="Q711" s="308"/>
      <c r="R711" s="308"/>
      <c r="S711" s="308"/>
      <c r="T711" s="308"/>
      <c r="U711" s="308"/>
      <c r="V711" s="308"/>
      <c r="W711" s="308"/>
      <c r="X711" s="308"/>
      <c r="Y711" s="308"/>
      <c r="Z711" s="308"/>
    </row>
    <row r="712">
      <c r="A712" s="308"/>
      <c r="B712" s="308"/>
      <c r="C712" s="308"/>
      <c r="D712" s="308"/>
      <c r="E712" s="308"/>
      <c r="F712" s="308"/>
      <c r="G712" s="308"/>
      <c r="H712" s="308"/>
      <c r="I712" s="308"/>
      <c r="J712" s="308"/>
      <c r="K712" s="308"/>
      <c r="L712" s="308"/>
      <c r="M712" s="308"/>
      <c r="N712" s="308"/>
      <c r="O712" s="308"/>
      <c r="P712" s="308"/>
      <c r="Q712" s="308"/>
      <c r="R712" s="308"/>
      <c r="S712" s="308"/>
      <c r="T712" s="308"/>
      <c r="U712" s="308"/>
      <c r="V712" s="308"/>
      <c r="W712" s="308"/>
      <c r="X712" s="308"/>
      <c r="Y712" s="308"/>
      <c r="Z712" s="308"/>
    </row>
    <row r="713">
      <c r="A713" s="308"/>
      <c r="B713" s="308"/>
      <c r="C713" s="308"/>
      <c r="D713" s="308"/>
      <c r="E713" s="308"/>
      <c r="F713" s="308"/>
      <c r="G713" s="308"/>
      <c r="H713" s="308"/>
      <c r="I713" s="308"/>
      <c r="J713" s="308"/>
      <c r="K713" s="308"/>
      <c r="L713" s="308"/>
      <c r="M713" s="308"/>
      <c r="N713" s="308"/>
      <c r="O713" s="308"/>
      <c r="P713" s="308"/>
      <c r="Q713" s="308"/>
      <c r="R713" s="308"/>
      <c r="S713" s="308"/>
      <c r="T713" s="308"/>
      <c r="U713" s="308"/>
      <c r="V713" s="308"/>
      <c r="W713" s="308"/>
      <c r="X713" s="308"/>
      <c r="Y713" s="308"/>
      <c r="Z713" s="308"/>
    </row>
    <row r="714">
      <c r="A714" s="308"/>
      <c r="B714" s="308"/>
      <c r="C714" s="308"/>
      <c r="D714" s="308"/>
      <c r="E714" s="308"/>
      <c r="F714" s="308"/>
      <c r="G714" s="308"/>
      <c r="H714" s="308"/>
      <c r="I714" s="308"/>
      <c r="J714" s="308"/>
      <c r="K714" s="308"/>
      <c r="L714" s="308"/>
      <c r="M714" s="308"/>
      <c r="N714" s="308"/>
      <c r="O714" s="308"/>
      <c r="P714" s="308"/>
      <c r="Q714" s="308"/>
      <c r="R714" s="308"/>
      <c r="S714" s="308"/>
      <c r="T714" s="308"/>
      <c r="U714" s="308"/>
      <c r="V714" s="308"/>
      <c r="W714" s="308"/>
      <c r="X714" s="308"/>
      <c r="Y714" s="308"/>
      <c r="Z714" s="308"/>
    </row>
    <row r="715">
      <c r="A715" s="308"/>
      <c r="B715" s="308"/>
      <c r="C715" s="308"/>
      <c r="D715" s="308"/>
      <c r="E715" s="308"/>
      <c r="F715" s="308"/>
      <c r="G715" s="308"/>
      <c r="H715" s="308"/>
      <c r="I715" s="308"/>
      <c r="J715" s="308"/>
      <c r="K715" s="308"/>
      <c r="L715" s="308"/>
      <c r="M715" s="308"/>
      <c r="N715" s="308"/>
      <c r="O715" s="308"/>
      <c r="P715" s="308"/>
      <c r="Q715" s="308"/>
      <c r="R715" s="308"/>
      <c r="S715" s="308"/>
      <c r="T715" s="308"/>
      <c r="U715" s="308"/>
      <c r="V715" s="308"/>
      <c r="W715" s="308"/>
      <c r="X715" s="308"/>
      <c r="Y715" s="308"/>
      <c r="Z715" s="308"/>
    </row>
    <row r="716">
      <c r="A716" s="308"/>
      <c r="B716" s="308"/>
      <c r="C716" s="308"/>
      <c r="D716" s="308"/>
      <c r="E716" s="308"/>
      <c r="F716" s="308"/>
      <c r="G716" s="308"/>
      <c r="H716" s="308"/>
      <c r="I716" s="308"/>
      <c r="J716" s="308"/>
      <c r="K716" s="308"/>
      <c r="L716" s="308"/>
      <c r="M716" s="308"/>
      <c r="N716" s="308"/>
      <c r="O716" s="308"/>
      <c r="P716" s="308"/>
      <c r="Q716" s="308"/>
      <c r="R716" s="308"/>
      <c r="S716" s="308"/>
      <c r="T716" s="308"/>
      <c r="U716" s="308"/>
      <c r="V716" s="308"/>
      <c r="W716" s="308"/>
      <c r="X716" s="308"/>
      <c r="Y716" s="308"/>
      <c r="Z716" s="308"/>
    </row>
    <row r="717">
      <c r="A717" s="308"/>
      <c r="B717" s="308"/>
      <c r="C717" s="308"/>
      <c r="D717" s="308"/>
      <c r="E717" s="308"/>
      <c r="F717" s="308"/>
      <c r="G717" s="308"/>
      <c r="H717" s="308"/>
      <c r="I717" s="308"/>
      <c r="J717" s="308"/>
      <c r="K717" s="308"/>
      <c r="L717" s="308"/>
      <c r="M717" s="308"/>
      <c r="N717" s="308"/>
      <c r="O717" s="308"/>
      <c r="P717" s="308"/>
      <c r="Q717" s="308"/>
      <c r="R717" s="308"/>
      <c r="S717" s="308"/>
      <c r="T717" s="308"/>
      <c r="U717" s="308"/>
      <c r="V717" s="308"/>
      <c r="W717" s="308"/>
      <c r="X717" s="308"/>
      <c r="Y717" s="308"/>
      <c r="Z717" s="308"/>
    </row>
    <row r="718">
      <c r="A718" s="308"/>
      <c r="B718" s="308"/>
      <c r="C718" s="308"/>
      <c r="D718" s="308"/>
      <c r="E718" s="308"/>
      <c r="F718" s="308"/>
      <c r="G718" s="308"/>
      <c r="H718" s="308"/>
      <c r="I718" s="308"/>
      <c r="J718" s="308"/>
      <c r="K718" s="308"/>
      <c r="L718" s="308"/>
      <c r="M718" s="308"/>
      <c r="N718" s="308"/>
      <c r="O718" s="308"/>
      <c r="P718" s="308"/>
      <c r="Q718" s="308"/>
      <c r="R718" s="308"/>
      <c r="S718" s="308"/>
      <c r="T718" s="308"/>
      <c r="U718" s="308"/>
      <c r="V718" s="308"/>
      <c r="W718" s="308"/>
      <c r="X718" s="308"/>
      <c r="Y718" s="308"/>
      <c r="Z718" s="308"/>
    </row>
    <row r="719">
      <c r="A719" s="308"/>
      <c r="B719" s="308"/>
      <c r="C719" s="308"/>
      <c r="D719" s="308"/>
      <c r="E719" s="308"/>
      <c r="F719" s="308"/>
      <c r="G719" s="308"/>
      <c r="H719" s="308"/>
      <c r="I719" s="308"/>
      <c r="J719" s="308"/>
      <c r="K719" s="308"/>
      <c r="L719" s="308"/>
      <c r="M719" s="308"/>
      <c r="N719" s="308"/>
      <c r="O719" s="308"/>
      <c r="P719" s="308"/>
      <c r="Q719" s="308"/>
      <c r="R719" s="308"/>
      <c r="S719" s="308"/>
      <c r="T719" s="308"/>
      <c r="U719" s="308"/>
      <c r="V719" s="308"/>
      <c r="W719" s="308"/>
      <c r="X719" s="308"/>
      <c r="Y719" s="308"/>
      <c r="Z719" s="308"/>
    </row>
    <row r="720">
      <c r="A720" s="308"/>
      <c r="B720" s="308"/>
      <c r="C720" s="308"/>
      <c r="D720" s="308"/>
      <c r="E720" s="308"/>
      <c r="F720" s="308"/>
      <c r="G720" s="308"/>
      <c r="H720" s="308"/>
      <c r="I720" s="308"/>
      <c r="J720" s="308"/>
      <c r="K720" s="308"/>
      <c r="L720" s="308"/>
      <c r="M720" s="308"/>
      <c r="N720" s="308"/>
      <c r="O720" s="308"/>
      <c r="P720" s="308"/>
      <c r="Q720" s="308"/>
      <c r="R720" s="308"/>
      <c r="S720" s="308"/>
      <c r="T720" s="308"/>
      <c r="U720" s="308"/>
      <c r="V720" s="308"/>
      <c r="W720" s="308"/>
      <c r="X720" s="308"/>
      <c r="Y720" s="308"/>
      <c r="Z720" s="308"/>
    </row>
    <row r="721">
      <c r="A721" s="308"/>
      <c r="B721" s="308"/>
      <c r="C721" s="308"/>
      <c r="D721" s="308"/>
      <c r="E721" s="308"/>
      <c r="F721" s="308"/>
      <c r="G721" s="308"/>
      <c r="H721" s="308"/>
      <c r="I721" s="308"/>
      <c r="J721" s="308"/>
      <c r="K721" s="308"/>
      <c r="L721" s="308"/>
      <c r="M721" s="308"/>
      <c r="N721" s="308"/>
      <c r="O721" s="308"/>
      <c r="P721" s="308"/>
      <c r="Q721" s="308"/>
      <c r="R721" s="308"/>
      <c r="S721" s="308"/>
      <c r="T721" s="308"/>
      <c r="U721" s="308"/>
      <c r="V721" s="308"/>
      <c r="W721" s="308"/>
      <c r="X721" s="308"/>
      <c r="Y721" s="308"/>
      <c r="Z721" s="308"/>
    </row>
    <row r="722">
      <c r="A722" s="308"/>
      <c r="B722" s="308"/>
      <c r="C722" s="308"/>
      <c r="D722" s="308"/>
      <c r="E722" s="308"/>
      <c r="F722" s="308"/>
      <c r="G722" s="308"/>
      <c r="H722" s="308"/>
      <c r="I722" s="308"/>
      <c r="J722" s="308"/>
      <c r="K722" s="308"/>
      <c r="L722" s="308"/>
      <c r="M722" s="308"/>
      <c r="N722" s="308"/>
      <c r="O722" s="308"/>
      <c r="P722" s="308"/>
      <c r="Q722" s="308"/>
      <c r="R722" s="308"/>
      <c r="S722" s="308"/>
      <c r="T722" s="308"/>
      <c r="U722" s="308"/>
      <c r="V722" s="308"/>
      <c r="W722" s="308"/>
      <c r="X722" s="308"/>
      <c r="Y722" s="308"/>
      <c r="Z722" s="308"/>
    </row>
    <row r="723">
      <c r="A723" s="308"/>
      <c r="B723" s="308"/>
      <c r="C723" s="308"/>
      <c r="D723" s="308"/>
      <c r="E723" s="308"/>
      <c r="F723" s="308"/>
      <c r="G723" s="308"/>
      <c r="H723" s="308"/>
      <c r="I723" s="308"/>
      <c r="J723" s="308"/>
      <c r="K723" s="308"/>
      <c r="L723" s="308"/>
      <c r="M723" s="308"/>
      <c r="N723" s="308"/>
      <c r="O723" s="308"/>
      <c r="P723" s="308"/>
      <c r="Q723" s="308"/>
      <c r="R723" s="308"/>
      <c r="S723" s="308"/>
      <c r="T723" s="308"/>
      <c r="U723" s="308"/>
      <c r="V723" s="308"/>
      <c r="W723" s="308"/>
      <c r="X723" s="308"/>
      <c r="Y723" s="308"/>
      <c r="Z723" s="308"/>
    </row>
    <row r="724">
      <c r="A724" s="308"/>
      <c r="B724" s="308"/>
      <c r="C724" s="308"/>
      <c r="D724" s="308"/>
      <c r="E724" s="308"/>
      <c r="F724" s="308"/>
      <c r="G724" s="308"/>
      <c r="H724" s="308"/>
      <c r="I724" s="308"/>
      <c r="J724" s="308"/>
      <c r="K724" s="308"/>
      <c r="L724" s="308"/>
      <c r="M724" s="308"/>
      <c r="N724" s="308"/>
      <c r="O724" s="308"/>
      <c r="P724" s="308"/>
      <c r="Q724" s="308"/>
      <c r="R724" s="308"/>
      <c r="S724" s="308"/>
      <c r="T724" s="308"/>
      <c r="U724" s="308"/>
      <c r="V724" s="308"/>
      <c r="W724" s="308"/>
      <c r="X724" s="308"/>
      <c r="Y724" s="308"/>
      <c r="Z724" s="308"/>
    </row>
    <row r="725">
      <c r="A725" s="308"/>
      <c r="B725" s="308"/>
      <c r="C725" s="308"/>
      <c r="D725" s="308"/>
      <c r="E725" s="308"/>
      <c r="F725" s="308"/>
      <c r="G725" s="308"/>
      <c r="H725" s="308"/>
      <c r="I725" s="308"/>
      <c r="J725" s="308"/>
      <c r="K725" s="308"/>
      <c r="L725" s="308"/>
      <c r="M725" s="308"/>
      <c r="N725" s="308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  <c r="Z725" s="308"/>
    </row>
    <row r="726">
      <c r="A726" s="308"/>
      <c r="B726" s="308"/>
      <c r="C726" s="308"/>
      <c r="D726" s="308"/>
      <c r="E726" s="308"/>
      <c r="F726" s="308"/>
      <c r="G726" s="308"/>
      <c r="H726" s="308"/>
      <c r="I726" s="308"/>
      <c r="J726" s="308"/>
      <c r="K726" s="308"/>
      <c r="L726" s="308"/>
      <c r="M726" s="308"/>
      <c r="N726" s="308"/>
      <c r="O726" s="308"/>
      <c r="P726" s="308"/>
      <c r="Q726" s="308"/>
      <c r="R726" s="308"/>
      <c r="S726" s="308"/>
      <c r="T726" s="308"/>
      <c r="U726" s="308"/>
      <c r="V726" s="308"/>
      <c r="W726" s="308"/>
      <c r="X726" s="308"/>
      <c r="Y726" s="308"/>
      <c r="Z726" s="308"/>
    </row>
    <row r="727">
      <c r="A727" s="308"/>
      <c r="B727" s="308"/>
      <c r="C727" s="308"/>
      <c r="D727" s="308"/>
      <c r="E727" s="308"/>
      <c r="F727" s="308"/>
      <c r="G727" s="308"/>
      <c r="H727" s="308"/>
      <c r="I727" s="308"/>
      <c r="J727" s="308"/>
      <c r="K727" s="308"/>
      <c r="L727" s="308"/>
      <c r="M727" s="308"/>
      <c r="N727" s="308"/>
      <c r="O727" s="308"/>
      <c r="P727" s="308"/>
      <c r="Q727" s="308"/>
      <c r="R727" s="308"/>
      <c r="S727" s="308"/>
      <c r="T727" s="308"/>
      <c r="U727" s="308"/>
      <c r="V727" s="308"/>
      <c r="W727" s="308"/>
      <c r="X727" s="308"/>
      <c r="Y727" s="308"/>
      <c r="Z727" s="308"/>
    </row>
    <row r="728">
      <c r="A728" s="308"/>
      <c r="B728" s="308"/>
      <c r="C728" s="308"/>
      <c r="D728" s="308"/>
      <c r="E728" s="308"/>
      <c r="F728" s="308"/>
      <c r="G728" s="308"/>
      <c r="H728" s="308"/>
      <c r="I728" s="308"/>
      <c r="J728" s="308"/>
      <c r="K728" s="308"/>
      <c r="L728" s="308"/>
      <c r="M728" s="308"/>
      <c r="N728" s="308"/>
      <c r="O728" s="308"/>
      <c r="P728" s="308"/>
      <c r="Q728" s="308"/>
      <c r="R728" s="308"/>
      <c r="S728" s="308"/>
      <c r="T728" s="308"/>
      <c r="U728" s="308"/>
      <c r="V728" s="308"/>
      <c r="W728" s="308"/>
      <c r="X728" s="308"/>
      <c r="Y728" s="308"/>
      <c r="Z728" s="308"/>
    </row>
    <row r="729">
      <c r="A729" s="308"/>
      <c r="B729" s="308"/>
      <c r="C729" s="308"/>
      <c r="D729" s="308"/>
      <c r="E729" s="308"/>
      <c r="F729" s="308"/>
      <c r="G729" s="308"/>
      <c r="H729" s="308"/>
      <c r="I729" s="308"/>
      <c r="J729" s="308"/>
      <c r="K729" s="308"/>
      <c r="L729" s="308"/>
      <c r="M729" s="308"/>
      <c r="N729" s="308"/>
      <c r="O729" s="308"/>
      <c r="P729" s="308"/>
      <c r="Q729" s="308"/>
      <c r="R729" s="308"/>
      <c r="S729" s="308"/>
      <c r="T729" s="308"/>
      <c r="U729" s="308"/>
      <c r="V729" s="308"/>
      <c r="W729" s="308"/>
      <c r="X729" s="308"/>
      <c r="Y729" s="308"/>
      <c r="Z729" s="308"/>
    </row>
    <row r="730">
      <c r="A730" s="308"/>
      <c r="B730" s="308"/>
      <c r="C730" s="308"/>
      <c r="D730" s="308"/>
      <c r="E730" s="308"/>
      <c r="F730" s="308"/>
      <c r="G730" s="308"/>
      <c r="H730" s="308"/>
      <c r="I730" s="308"/>
      <c r="J730" s="308"/>
      <c r="K730" s="308"/>
      <c r="L730" s="308"/>
      <c r="M730" s="308"/>
      <c r="N730" s="308"/>
      <c r="O730" s="308"/>
      <c r="P730" s="308"/>
      <c r="Q730" s="308"/>
      <c r="R730" s="308"/>
      <c r="S730" s="308"/>
      <c r="T730" s="308"/>
      <c r="U730" s="308"/>
      <c r="V730" s="308"/>
      <c r="W730" s="308"/>
      <c r="X730" s="308"/>
      <c r="Y730" s="308"/>
      <c r="Z730" s="308"/>
    </row>
    <row r="731">
      <c r="A731" s="308"/>
      <c r="B731" s="308"/>
      <c r="C731" s="308"/>
      <c r="D731" s="308"/>
      <c r="E731" s="308"/>
      <c r="F731" s="308"/>
      <c r="G731" s="308"/>
      <c r="H731" s="308"/>
      <c r="I731" s="308"/>
      <c r="J731" s="308"/>
      <c r="K731" s="308"/>
      <c r="L731" s="308"/>
      <c r="M731" s="308"/>
      <c r="N731" s="308"/>
      <c r="O731" s="308"/>
      <c r="P731" s="308"/>
      <c r="Q731" s="308"/>
      <c r="R731" s="308"/>
      <c r="S731" s="308"/>
      <c r="T731" s="308"/>
      <c r="U731" s="308"/>
      <c r="V731" s="308"/>
      <c r="W731" s="308"/>
      <c r="X731" s="308"/>
      <c r="Y731" s="308"/>
      <c r="Z731" s="308"/>
    </row>
    <row r="732">
      <c r="A732" s="308"/>
      <c r="B732" s="308"/>
      <c r="C732" s="308"/>
      <c r="D732" s="308"/>
      <c r="E732" s="308"/>
      <c r="F732" s="308"/>
      <c r="G732" s="308"/>
      <c r="H732" s="308"/>
      <c r="I732" s="308"/>
      <c r="J732" s="308"/>
      <c r="K732" s="308"/>
      <c r="L732" s="308"/>
      <c r="M732" s="308"/>
      <c r="N732" s="308"/>
      <c r="O732" s="308"/>
      <c r="P732" s="308"/>
      <c r="Q732" s="308"/>
      <c r="R732" s="308"/>
      <c r="S732" s="308"/>
      <c r="T732" s="308"/>
      <c r="U732" s="308"/>
      <c r="V732" s="308"/>
      <c r="W732" s="308"/>
      <c r="X732" s="308"/>
      <c r="Y732" s="308"/>
      <c r="Z732" s="308"/>
    </row>
    <row r="733">
      <c r="A733" s="308"/>
      <c r="B733" s="308"/>
      <c r="C733" s="308"/>
      <c r="D733" s="308"/>
      <c r="E733" s="308"/>
      <c r="F733" s="308"/>
      <c r="G733" s="308"/>
      <c r="H733" s="308"/>
      <c r="I733" s="308"/>
      <c r="J733" s="308"/>
      <c r="K733" s="308"/>
      <c r="L733" s="308"/>
      <c r="M733" s="308"/>
      <c r="N733" s="308"/>
      <c r="O733" s="308"/>
      <c r="P733" s="308"/>
      <c r="Q733" s="308"/>
      <c r="R733" s="308"/>
      <c r="S733" s="308"/>
      <c r="T733" s="308"/>
      <c r="U733" s="308"/>
      <c r="V733" s="308"/>
      <c r="W733" s="308"/>
      <c r="X733" s="308"/>
      <c r="Y733" s="308"/>
      <c r="Z733" s="308"/>
    </row>
    <row r="734">
      <c r="A734" s="308"/>
      <c r="B734" s="308"/>
      <c r="C734" s="308"/>
      <c r="D734" s="308"/>
      <c r="E734" s="308"/>
      <c r="F734" s="308"/>
      <c r="G734" s="308"/>
      <c r="H734" s="308"/>
      <c r="I734" s="308"/>
      <c r="J734" s="308"/>
      <c r="K734" s="308"/>
      <c r="L734" s="308"/>
      <c r="M734" s="308"/>
      <c r="N734" s="308"/>
      <c r="O734" s="308"/>
      <c r="P734" s="308"/>
      <c r="Q734" s="308"/>
      <c r="R734" s="308"/>
      <c r="S734" s="308"/>
      <c r="T734" s="308"/>
      <c r="U734" s="308"/>
      <c r="V734" s="308"/>
      <c r="W734" s="308"/>
      <c r="X734" s="308"/>
      <c r="Y734" s="308"/>
      <c r="Z734" s="308"/>
    </row>
    <row r="735">
      <c r="A735" s="308"/>
      <c r="B735" s="308"/>
      <c r="C735" s="308"/>
      <c r="D735" s="308"/>
      <c r="E735" s="308"/>
      <c r="F735" s="308"/>
      <c r="G735" s="308"/>
      <c r="H735" s="308"/>
      <c r="I735" s="308"/>
      <c r="J735" s="308"/>
      <c r="K735" s="308"/>
      <c r="L735" s="308"/>
      <c r="M735" s="308"/>
      <c r="N735" s="308"/>
      <c r="O735" s="308"/>
      <c r="P735" s="308"/>
      <c r="Q735" s="308"/>
      <c r="R735" s="308"/>
      <c r="S735" s="308"/>
      <c r="T735" s="308"/>
      <c r="U735" s="308"/>
      <c r="V735" s="308"/>
      <c r="W735" s="308"/>
      <c r="X735" s="308"/>
      <c r="Y735" s="308"/>
      <c r="Z735" s="308"/>
    </row>
    <row r="736">
      <c r="A736" s="308"/>
      <c r="B736" s="308"/>
      <c r="C736" s="308"/>
      <c r="D736" s="308"/>
      <c r="E736" s="308"/>
      <c r="F736" s="308"/>
      <c r="G736" s="308"/>
      <c r="H736" s="308"/>
      <c r="I736" s="308"/>
      <c r="J736" s="308"/>
      <c r="K736" s="308"/>
      <c r="L736" s="308"/>
      <c r="M736" s="308"/>
      <c r="N736" s="308"/>
      <c r="O736" s="308"/>
      <c r="P736" s="308"/>
      <c r="Q736" s="308"/>
      <c r="R736" s="308"/>
      <c r="S736" s="308"/>
      <c r="T736" s="308"/>
      <c r="U736" s="308"/>
      <c r="V736" s="308"/>
      <c r="W736" s="308"/>
      <c r="X736" s="308"/>
      <c r="Y736" s="308"/>
      <c r="Z736" s="308"/>
    </row>
    <row r="737">
      <c r="A737" s="308"/>
      <c r="B737" s="308"/>
      <c r="C737" s="308"/>
      <c r="D737" s="308"/>
      <c r="E737" s="308"/>
      <c r="F737" s="308"/>
      <c r="G737" s="308"/>
      <c r="H737" s="308"/>
      <c r="I737" s="308"/>
      <c r="J737" s="308"/>
      <c r="K737" s="308"/>
      <c r="L737" s="308"/>
      <c r="M737" s="308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  <c r="Z737" s="308"/>
    </row>
    <row r="738">
      <c r="A738" s="308"/>
      <c r="B738" s="308"/>
      <c r="C738" s="308"/>
      <c r="D738" s="308"/>
      <c r="E738" s="308"/>
      <c r="F738" s="308"/>
      <c r="G738" s="308"/>
      <c r="H738" s="308"/>
      <c r="I738" s="308"/>
      <c r="J738" s="308"/>
      <c r="K738" s="308"/>
      <c r="L738" s="308"/>
      <c r="M738" s="308"/>
      <c r="N738" s="308"/>
      <c r="O738" s="308"/>
      <c r="P738" s="308"/>
      <c r="Q738" s="308"/>
      <c r="R738" s="308"/>
      <c r="S738" s="308"/>
      <c r="T738" s="308"/>
      <c r="U738" s="308"/>
      <c r="V738" s="308"/>
      <c r="W738" s="308"/>
      <c r="X738" s="308"/>
      <c r="Y738" s="308"/>
      <c r="Z738" s="308"/>
    </row>
    <row r="739">
      <c r="A739" s="308"/>
      <c r="B739" s="308"/>
      <c r="C739" s="308"/>
      <c r="D739" s="308"/>
      <c r="E739" s="308"/>
      <c r="F739" s="308"/>
      <c r="G739" s="308"/>
      <c r="H739" s="308"/>
      <c r="I739" s="308"/>
      <c r="J739" s="308"/>
      <c r="K739" s="308"/>
      <c r="L739" s="308"/>
      <c r="M739" s="308"/>
      <c r="N739" s="308"/>
      <c r="O739" s="308"/>
      <c r="P739" s="308"/>
      <c r="Q739" s="308"/>
      <c r="R739" s="308"/>
      <c r="S739" s="308"/>
      <c r="T739" s="308"/>
      <c r="U739" s="308"/>
      <c r="V739" s="308"/>
      <c r="W739" s="308"/>
      <c r="X739" s="308"/>
      <c r="Y739" s="308"/>
      <c r="Z739" s="308"/>
    </row>
    <row r="740">
      <c r="A740" s="308"/>
      <c r="B740" s="308"/>
      <c r="C740" s="308"/>
      <c r="D740" s="308"/>
      <c r="E740" s="308"/>
      <c r="F740" s="308"/>
      <c r="G740" s="308"/>
      <c r="H740" s="308"/>
      <c r="I740" s="308"/>
      <c r="J740" s="308"/>
      <c r="K740" s="308"/>
      <c r="L740" s="308"/>
      <c r="M740" s="308"/>
      <c r="N740" s="308"/>
      <c r="O740" s="308"/>
      <c r="P740" s="308"/>
      <c r="Q740" s="308"/>
      <c r="R740" s="308"/>
      <c r="S740" s="308"/>
      <c r="T740" s="308"/>
      <c r="U740" s="308"/>
      <c r="V740" s="308"/>
      <c r="W740" s="308"/>
      <c r="X740" s="308"/>
      <c r="Y740" s="308"/>
      <c r="Z740" s="308"/>
    </row>
    <row r="741">
      <c r="A741" s="308"/>
      <c r="B741" s="308"/>
      <c r="C741" s="308"/>
      <c r="D741" s="308"/>
      <c r="E741" s="308"/>
      <c r="F741" s="308"/>
      <c r="G741" s="308"/>
      <c r="H741" s="308"/>
      <c r="I741" s="308"/>
      <c r="J741" s="308"/>
      <c r="K741" s="308"/>
      <c r="L741" s="308"/>
      <c r="M741" s="308"/>
      <c r="N741" s="308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  <c r="Z741" s="308"/>
    </row>
    <row r="742">
      <c r="A742" s="308"/>
      <c r="B742" s="308"/>
      <c r="C742" s="308"/>
      <c r="D742" s="308"/>
      <c r="E742" s="308"/>
      <c r="F742" s="308"/>
      <c r="G742" s="308"/>
      <c r="H742" s="308"/>
      <c r="I742" s="308"/>
      <c r="J742" s="308"/>
      <c r="K742" s="308"/>
      <c r="L742" s="308"/>
      <c r="M742" s="308"/>
      <c r="N742" s="308"/>
      <c r="O742" s="308"/>
      <c r="P742" s="308"/>
      <c r="Q742" s="308"/>
      <c r="R742" s="308"/>
      <c r="S742" s="308"/>
      <c r="T742" s="308"/>
      <c r="U742" s="308"/>
      <c r="V742" s="308"/>
      <c r="W742" s="308"/>
      <c r="X742" s="308"/>
      <c r="Y742" s="308"/>
      <c r="Z742" s="308"/>
    </row>
    <row r="743">
      <c r="A743" s="308"/>
      <c r="B743" s="308"/>
      <c r="C743" s="308"/>
      <c r="D743" s="308"/>
      <c r="E743" s="308"/>
      <c r="F743" s="308"/>
      <c r="G743" s="308"/>
      <c r="H743" s="308"/>
      <c r="I743" s="308"/>
      <c r="J743" s="308"/>
      <c r="K743" s="308"/>
      <c r="L743" s="308"/>
      <c r="M743" s="308"/>
      <c r="N743" s="308"/>
      <c r="O743" s="308"/>
      <c r="P743" s="308"/>
      <c r="Q743" s="308"/>
      <c r="R743" s="308"/>
      <c r="S743" s="308"/>
      <c r="T743" s="308"/>
      <c r="U743" s="308"/>
      <c r="V743" s="308"/>
      <c r="W743" s="308"/>
      <c r="X743" s="308"/>
      <c r="Y743" s="308"/>
      <c r="Z743" s="308"/>
    </row>
    <row r="744">
      <c r="A744" s="308"/>
      <c r="B744" s="308"/>
      <c r="C744" s="308"/>
      <c r="D744" s="308"/>
      <c r="E744" s="308"/>
      <c r="F744" s="308"/>
      <c r="G744" s="308"/>
      <c r="H744" s="308"/>
      <c r="I744" s="308"/>
      <c r="J744" s="308"/>
      <c r="K744" s="308"/>
      <c r="L744" s="308"/>
      <c r="M744" s="308"/>
      <c r="N744" s="308"/>
      <c r="O744" s="308"/>
      <c r="P744" s="308"/>
      <c r="Q744" s="308"/>
      <c r="R744" s="308"/>
      <c r="S744" s="308"/>
      <c r="T744" s="308"/>
      <c r="U744" s="308"/>
      <c r="V744" s="308"/>
      <c r="W744" s="308"/>
      <c r="X744" s="308"/>
      <c r="Y744" s="308"/>
      <c r="Z744" s="308"/>
    </row>
    <row r="745">
      <c r="A745" s="308"/>
      <c r="B745" s="308"/>
      <c r="C745" s="308"/>
      <c r="D745" s="308"/>
      <c r="E745" s="308"/>
      <c r="F745" s="308"/>
      <c r="G745" s="308"/>
      <c r="H745" s="308"/>
      <c r="I745" s="308"/>
      <c r="J745" s="308"/>
      <c r="K745" s="308"/>
      <c r="L745" s="308"/>
      <c r="M745" s="308"/>
      <c r="N745" s="308"/>
      <c r="O745" s="308"/>
      <c r="P745" s="308"/>
      <c r="Q745" s="308"/>
      <c r="R745" s="308"/>
      <c r="S745" s="308"/>
      <c r="T745" s="308"/>
      <c r="U745" s="308"/>
      <c r="V745" s="308"/>
      <c r="W745" s="308"/>
      <c r="X745" s="308"/>
      <c r="Y745" s="308"/>
      <c r="Z745" s="308"/>
    </row>
    <row r="746">
      <c r="A746" s="308"/>
      <c r="B746" s="308"/>
      <c r="C746" s="308"/>
      <c r="D746" s="308"/>
      <c r="E746" s="308"/>
      <c r="F746" s="308"/>
      <c r="G746" s="308"/>
      <c r="H746" s="308"/>
      <c r="I746" s="308"/>
      <c r="J746" s="308"/>
      <c r="K746" s="308"/>
      <c r="L746" s="308"/>
      <c r="M746" s="308"/>
      <c r="N746" s="308"/>
      <c r="O746" s="308"/>
      <c r="P746" s="308"/>
      <c r="Q746" s="308"/>
      <c r="R746" s="308"/>
      <c r="S746" s="308"/>
      <c r="T746" s="308"/>
      <c r="U746" s="308"/>
      <c r="V746" s="308"/>
      <c r="W746" s="308"/>
      <c r="X746" s="308"/>
      <c r="Y746" s="308"/>
      <c r="Z746" s="308"/>
    </row>
    <row r="747">
      <c r="A747" s="308"/>
      <c r="B747" s="308"/>
      <c r="C747" s="308"/>
      <c r="D747" s="308"/>
      <c r="E747" s="308"/>
      <c r="F747" s="308"/>
      <c r="G747" s="308"/>
      <c r="H747" s="308"/>
      <c r="I747" s="308"/>
      <c r="J747" s="308"/>
      <c r="K747" s="308"/>
      <c r="L747" s="308"/>
      <c r="M747" s="308"/>
      <c r="N747" s="308"/>
      <c r="O747" s="308"/>
      <c r="P747" s="308"/>
      <c r="Q747" s="308"/>
      <c r="R747" s="308"/>
      <c r="S747" s="308"/>
      <c r="T747" s="308"/>
      <c r="U747" s="308"/>
      <c r="V747" s="308"/>
      <c r="W747" s="308"/>
      <c r="X747" s="308"/>
      <c r="Y747" s="308"/>
      <c r="Z747" s="308"/>
    </row>
    <row r="748">
      <c r="A748" s="308"/>
      <c r="B748" s="308"/>
      <c r="C748" s="308"/>
      <c r="D748" s="308"/>
      <c r="E748" s="308"/>
      <c r="F748" s="308"/>
      <c r="G748" s="308"/>
      <c r="H748" s="308"/>
      <c r="I748" s="308"/>
      <c r="J748" s="308"/>
      <c r="K748" s="308"/>
      <c r="L748" s="308"/>
      <c r="M748" s="308"/>
      <c r="N748" s="308"/>
      <c r="O748" s="308"/>
      <c r="P748" s="308"/>
      <c r="Q748" s="308"/>
      <c r="R748" s="308"/>
      <c r="S748" s="308"/>
      <c r="T748" s="308"/>
      <c r="U748" s="308"/>
      <c r="V748" s="308"/>
      <c r="W748" s="308"/>
      <c r="X748" s="308"/>
      <c r="Y748" s="308"/>
      <c r="Z748" s="308"/>
    </row>
    <row r="749">
      <c r="A749" s="308"/>
      <c r="B749" s="308"/>
      <c r="C749" s="308"/>
      <c r="D749" s="308"/>
      <c r="E749" s="308"/>
      <c r="F749" s="308"/>
      <c r="G749" s="308"/>
      <c r="H749" s="308"/>
      <c r="I749" s="308"/>
      <c r="J749" s="308"/>
      <c r="K749" s="308"/>
      <c r="L749" s="308"/>
      <c r="M749" s="308"/>
      <c r="N749" s="308"/>
      <c r="O749" s="308"/>
      <c r="P749" s="308"/>
      <c r="Q749" s="308"/>
      <c r="R749" s="308"/>
      <c r="S749" s="308"/>
      <c r="T749" s="308"/>
      <c r="U749" s="308"/>
      <c r="V749" s="308"/>
      <c r="W749" s="308"/>
      <c r="X749" s="308"/>
      <c r="Y749" s="308"/>
      <c r="Z749" s="308"/>
    </row>
    <row r="750">
      <c r="A750" s="308"/>
      <c r="B750" s="308"/>
      <c r="C750" s="308"/>
      <c r="D750" s="308"/>
      <c r="E750" s="308"/>
      <c r="F750" s="308"/>
      <c r="G750" s="308"/>
      <c r="H750" s="308"/>
      <c r="I750" s="308"/>
      <c r="J750" s="308"/>
      <c r="K750" s="308"/>
      <c r="L750" s="308"/>
      <c r="M750" s="308"/>
      <c r="N750" s="308"/>
      <c r="O750" s="308"/>
      <c r="P750" s="308"/>
      <c r="Q750" s="308"/>
      <c r="R750" s="308"/>
      <c r="S750" s="308"/>
      <c r="T750" s="308"/>
      <c r="U750" s="308"/>
      <c r="V750" s="308"/>
      <c r="W750" s="308"/>
      <c r="X750" s="308"/>
      <c r="Y750" s="308"/>
      <c r="Z750" s="308"/>
    </row>
    <row r="751">
      <c r="A751" s="308"/>
      <c r="B751" s="308"/>
      <c r="C751" s="308"/>
      <c r="D751" s="308"/>
      <c r="E751" s="308"/>
      <c r="F751" s="308"/>
      <c r="G751" s="308"/>
      <c r="H751" s="308"/>
      <c r="I751" s="308"/>
      <c r="J751" s="308"/>
      <c r="K751" s="308"/>
      <c r="L751" s="308"/>
      <c r="M751" s="308"/>
      <c r="N751" s="308"/>
      <c r="O751" s="308"/>
      <c r="P751" s="308"/>
      <c r="Q751" s="308"/>
      <c r="R751" s="308"/>
      <c r="S751" s="308"/>
      <c r="T751" s="308"/>
      <c r="U751" s="308"/>
      <c r="V751" s="308"/>
      <c r="W751" s="308"/>
      <c r="X751" s="308"/>
      <c r="Y751" s="308"/>
      <c r="Z751" s="308"/>
    </row>
    <row r="752">
      <c r="A752" s="308"/>
      <c r="B752" s="308"/>
      <c r="C752" s="308"/>
      <c r="D752" s="308"/>
      <c r="E752" s="308"/>
      <c r="F752" s="308"/>
      <c r="G752" s="308"/>
      <c r="H752" s="308"/>
      <c r="I752" s="308"/>
      <c r="J752" s="308"/>
      <c r="K752" s="308"/>
      <c r="L752" s="308"/>
      <c r="M752" s="308"/>
      <c r="N752" s="308"/>
      <c r="O752" s="308"/>
      <c r="P752" s="308"/>
      <c r="Q752" s="308"/>
      <c r="R752" s="308"/>
      <c r="S752" s="308"/>
      <c r="T752" s="308"/>
      <c r="U752" s="308"/>
      <c r="V752" s="308"/>
      <c r="W752" s="308"/>
      <c r="X752" s="308"/>
      <c r="Y752" s="308"/>
      <c r="Z752" s="308"/>
    </row>
    <row r="753">
      <c r="A753" s="308"/>
      <c r="B753" s="308"/>
      <c r="C753" s="308"/>
      <c r="D753" s="308"/>
      <c r="E753" s="308"/>
      <c r="F753" s="308"/>
      <c r="G753" s="308"/>
      <c r="H753" s="308"/>
      <c r="I753" s="308"/>
      <c r="J753" s="308"/>
      <c r="K753" s="308"/>
      <c r="L753" s="308"/>
      <c r="M753" s="308"/>
      <c r="N753" s="308"/>
      <c r="O753" s="308"/>
      <c r="P753" s="308"/>
      <c r="Q753" s="308"/>
      <c r="R753" s="308"/>
      <c r="S753" s="308"/>
      <c r="T753" s="308"/>
      <c r="U753" s="308"/>
      <c r="V753" s="308"/>
      <c r="W753" s="308"/>
      <c r="X753" s="308"/>
      <c r="Y753" s="308"/>
      <c r="Z753" s="308"/>
    </row>
    <row r="754">
      <c r="A754" s="308"/>
      <c r="B754" s="308"/>
      <c r="C754" s="308"/>
      <c r="D754" s="308"/>
      <c r="E754" s="308"/>
      <c r="F754" s="308"/>
      <c r="G754" s="308"/>
      <c r="H754" s="308"/>
      <c r="I754" s="308"/>
      <c r="J754" s="308"/>
      <c r="K754" s="308"/>
      <c r="L754" s="308"/>
      <c r="M754" s="308"/>
      <c r="N754" s="308"/>
      <c r="O754" s="308"/>
      <c r="P754" s="308"/>
      <c r="Q754" s="308"/>
      <c r="R754" s="308"/>
      <c r="S754" s="308"/>
      <c r="T754" s="308"/>
      <c r="U754" s="308"/>
      <c r="V754" s="308"/>
      <c r="W754" s="308"/>
      <c r="X754" s="308"/>
      <c r="Y754" s="308"/>
      <c r="Z754" s="308"/>
    </row>
    <row r="755">
      <c r="A755" s="308"/>
      <c r="B755" s="308"/>
      <c r="C755" s="308"/>
      <c r="D755" s="308"/>
      <c r="E755" s="308"/>
      <c r="F755" s="308"/>
      <c r="G755" s="308"/>
      <c r="H755" s="308"/>
      <c r="I755" s="308"/>
      <c r="J755" s="308"/>
      <c r="K755" s="308"/>
      <c r="L755" s="308"/>
      <c r="M755" s="308"/>
      <c r="N755" s="308"/>
      <c r="O755" s="308"/>
      <c r="P755" s="308"/>
      <c r="Q755" s="308"/>
      <c r="R755" s="308"/>
      <c r="S755" s="308"/>
      <c r="T755" s="308"/>
      <c r="U755" s="308"/>
      <c r="V755" s="308"/>
      <c r="W755" s="308"/>
      <c r="X755" s="308"/>
      <c r="Y755" s="308"/>
      <c r="Z755" s="308"/>
    </row>
    <row r="756">
      <c r="A756" s="308"/>
      <c r="B756" s="308"/>
      <c r="C756" s="308"/>
      <c r="D756" s="308"/>
      <c r="E756" s="308"/>
      <c r="F756" s="308"/>
      <c r="G756" s="308"/>
      <c r="H756" s="308"/>
      <c r="I756" s="308"/>
      <c r="J756" s="308"/>
      <c r="K756" s="308"/>
      <c r="L756" s="308"/>
      <c r="M756" s="308"/>
      <c r="N756" s="308"/>
      <c r="O756" s="308"/>
      <c r="P756" s="308"/>
      <c r="Q756" s="308"/>
      <c r="R756" s="308"/>
      <c r="S756" s="308"/>
      <c r="T756" s="308"/>
      <c r="U756" s="308"/>
      <c r="V756" s="308"/>
      <c r="W756" s="308"/>
      <c r="X756" s="308"/>
      <c r="Y756" s="308"/>
      <c r="Z756" s="308"/>
    </row>
    <row r="757">
      <c r="A757" s="308"/>
      <c r="B757" s="308"/>
      <c r="C757" s="308"/>
      <c r="D757" s="308"/>
      <c r="E757" s="308"/>
      <c r="F757" s="308"/>
      <c r="G757" s="308"/>
      <c r="H757" s="308"/>
      <c r="I757" s="308"/>
      <c r="J757" s="308"/>
      <c r="K757" s="308"/>
      <c r="L757" s="308"/>
      <c r="M757" s="308"/>
      <c r="N757" s="308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  <c r="Z757" s="308"/>
    </row>
    <row r="758">
      <c r="A758" s="308"/>
      <c r="B758" s="308"/>
      <c r="C758" s="308"/>
      <c r="D758" s="308"/>
      <c r="E758" s="308"/>
      <c r="F758" s="308"/>
      <c r="G758" s="308"/>
      <c r="H758" s="308"/>
      <c r="I758" s="308"/>
      <c r="J758" s="308"/>
      <c r="K758" s="308"/>
      <c r="L758" s="308"/>
      <c r="M758" s="308"/>
      <c r="N758" s="308"/>
      <c r="O758" s="308"/>
      <c r="P758" s="308"/>
      <c r="Q758" s="308"/>
      <c r="R758" s="308"/>
      <c r="S758" s="308"/>
      <c r="T758" s="308"/>
      <c r="U758" s="308"/>
      <c r="V758" s="308"/>
      <c r="W758" s="308"/>
      <c r="X758" s="308"/>
      <c r="Y758" s="308"/>
      <c r="Z758" s="308"/>
    </row>
    <row r="759">
      <c r="A759" s="308"/>
      <c r="B759" s="308"/>
      <c r="C759" s="308"/>
      <c r="D759" s="308"/>
      <c r="E759" s="308"/>
      <c r="F759" s="308"/>
      <c r="G759" s="308"/>
      <c r="H759" s="308"/>
      <c r="I759" s="308"/>
      <c r="J759" s="308"/>
      <c r="K759" s="308"/>
      <c r="L759" s="308"/>
      <c r="M759" s="308"/>
      <c r="N759" s="308"/>
      <c r="O759" s="308"/>
      <c r="P759" s="308"/>
      <c r="Q759" s="308"/>
      <c r="R759" s="308"/>
      <c r="S759" s="308"/>
      <c r="T759" s="308"/>
      <c r="U759" s="308"/>
      <c r="V759" s="308"/>
      <c r="W759" s="308"/>
      <c r="X759" s="308"/>
      <c r="Y759" s="308"/>
      <c r="Z759" s="308"/>
    </row>
    <row r="760">
      <c r="A760" s="308"/>
      <c r="B760" s="308"/>
      <c r="C760" s="308"/>
      <c r="D760" s="308"/>
      <c r="E760" s="308"/>
      <c r="F760" s="308"/>
      <c r="G760" s="308"/>
      <c r="H760" s="308"/>
      <c r="I760" s="308"/>
      <c r="J760" s="308"/>
      <c r="K760" s="308"/>
      <c r="L760" s="308"/>
      <c r="M760" s="308"/>
      <c r="N760" s="308"/>
      <c r="O760" s="308"/>
      <c r="P760" s="308"/>
      <c r="Q760" s="308"/>
      <c r="R760" s="308"/>
      <c r="S760" s="308"/>
      <c r="T760" s="308"/>
      <c r="U760" s="308"/>
      <c r="V760" s="308"/>
      <c r="W760" s="308"/>
      <c r="X760" s="308"/>
      <c r="Y760" s="308"/>
      <c r="Z760" s="308"/>
    </row>
    <row r="761">
      <c r="A761" s="308"/>
      <c r="B761" s="308"/>
      <c r="C761" s="308"/>
      <c r="D761" s="308"/>
      <c r="E761" s="308"/>
      <c r="F761" s="308"/>
      <c r="G761" s="308"/>
      <c r="H761" s="308"/>
      <c r="I761" s="308"/>
      <c r="J761" s="308"/>
      <c r="K761" s="308"/>
      <c r="L761" s="308"/>
      <c r="M761" s="308"/>
      <c r="N761" s="308"/>
      <c r="O761" s="308"/>
      <c r="P761" s="308"/>
      <c r="Q761" s="308"/>
      <c r="R761" s="308"/>
      <c r="S761" s="308"/>
      <c r="T761" s="308"/>
      <c r="U761" s="308"/>
      <c r="V761" s="308"/>
      <c r="W761" s="308"/>
      <c r="X761" s="308"/>
      <c r="Y761" s="308"/>
      <c r="Z761" s="308"/>
    </row>
    <row r="762">
      <c r="A762" s="308"/>
      <c r="B762" s="308"/>
      <c r="C762" s="308"/>
      <c r="D762" s="308"/>
      <c r="E762" s="308"/>
      <c r="F762" s="308"/>
      <c r="G762" s="308"/>
      <c r="H762" s="308"/>
      <c r="I762" s="308"/>
      <c r="J762" s="308"/>
      <c r="K762" s="308"/>
      <c r="L762" s="308"/>
      <c r="M762" s="308"/>
      <c r="N762" s="308"/>
      <c r="O762" s="308"/>
      <c r="P762" s="308"/>
      <c r="Q762" s="308"/>
      <c r="R762" s="308"/>
      <c r="S762" s="308"/>
      <c r="T762" s="308"/>
      <c r="U762" s="308"/>
      <c r="V762" s="308"/>
      <c r="W762" s="308"/>
      <c r="X762" s="308"/>
      <c r="Y762" s="308"/>
      <c r="Z762" s="308"/>
    </row>
    <row r="763">
      <c r="A763" s="308"/>
      <c r="B763" s="308"/>
      <c r="C763" s="308"/>
      <c r="D763" s="308"/>
      <c r="E763" s="308"/>
      <c r="F763" s="308"/>
      <c r="G763" s="308"/>
      <c r="H763" s="308"/>
      <c r="I763" s="308"/>
      <c r="J763" s="308"/>
      <c r="K763" s="308"/>
      <c r="L763" s="308"/>
      <c r="M763" s="308"/>
      <c r="N763" s="308"/>
      <c r="O763" s="308"/>
      <c r="P763" s="308"/>
      <c r="Q763" s="308"/>
      <c r="R763" s="308"/>
      <c r="S763" s="308"/>
      <c r="T763" s="308"/>
      <c r="U763" s="308"/>
      <c r="V763" s="308"/>
      <c r="W763" s="308"/>
      <c r="X763" s="308"/>
      <c r="Y763" s="308"/>
      <c r="Z763" s="308"/>
    </row>
    <row r="764">
      <c r="A764" s="308"/>
      <c r="B764" s="308"/>
      <c r="C764" s="308"/>
      <c r="D764" s="308"/>
      <c r="E764" s="308"/>
      <c r="F764" s="308"/>
      <c r="G764" s="308"/>
      <c r="H764" s="308"/>
      <c r="I764" s="308"/>
      <c r="J764" s="308"/>
      <c r="K764" s="308"/>
      <c r="L764" s="308"/>
      <c r="M764" s="308"/>
      <c r="N764" s="308"/>
      <c r="O764" s="308"/>
      <c r="P764" s="308"/>
      <c r="Q764" s="308"/>
      <c r="R764" s="308"/>
      <c r="S764" s="308"/>
      <c r="T764" s="308"/>
      <c r="U764" s="308"/>
      <c r="V764" s="308"/>
      <c r="W764" s="308"/>
      <c r="X764" s="308"/>
      <c r="Y764" s="308"/>
      <c r="Z764" s="308"/>
    </row>
    <row r="765">
      <c r="A765" s="308"/>
      <c r="B765" s="308"/>
      <c r="C765" s="308"/>
      <c r="D765" s="308"/>
      <c r="E765" s="308"/>
      <c r="F765" s="308"/>
      <c r="G765" s="308"/>
      <c r="H765" s="308"/>
      <c r="I765" s="308"/>
      <c r="J765" s="308"/>
      <c r="K765" s="308"/>
      <c r="L765" s="308"/>
      <c r="M765" s="308"/>
      <c r="N765" s="308"/>
      <c r="O765" s="308"/>
      <c r="P765" s="308"/>
      <c r="Q765" s="308"/>
      <c r="R765" s="308"/>
      <c r="S765" s="308"/>
      <c r="T765" s="308"/>
      <c r="U765" s="308"/>
      <c r="V765" s="308"/>
      <c r="W765" s="308"/>
      <c r="X765" s="308"/>
      <c r="Y765" s="308"/>
      <c r="Z765" s="308"/>
    </row>
    <row r="766">
      <c r="A766" s="308"/>
      <c r="B766" s="308"/>
      <c r="C766" s="308"/>
      <c r="D766" s="308"/>
      <c r="E766" s="308"/>
      <c r="F766" s="308"/>
      <c r="G766" s="308"/>
      <c r="H766" s="308"/>
      <c r="I766" s="308"/>
      <c r="J766" s="308"/>
      <c r="K766" s="308"/>
      <c r="L766" s="308"/>
      <c r="M766" s="308"/>
      <c r="N766" s="308"/>
      <c r="O766" s="308"/>
      <c r="P766" s="308"/>
      <c r="Q766" s="308"/>
      <c r="R766" s="308"/>
      <c r="S766" s="308"/>
      <c r="T766" s="308"/>
      <c r="U766" s="308"/>
      <c r="V766" s="308"/>
      <c r="W766" s="308"/>
      <c r="X766" s="308"/>
      <c r="Y766" s="308"/>
      <c r="Z766" s="308"/>
    </row>
    <row r="767">
      <c r="A767" s="308"/>
      <c r="B767" s="308"/>
      <c r="C767" s="308"/>
      <c r="D767" s="308"/>
      <c r="E767" s="308"/>
      <c r="F767" s="308"/>
      <c r="G767" s="308"/>
      <c r="H767" s="308"/>
      <c r="I767" s="308"/>
      <c r="J767" s="308"/>
      <c r="K767" s="308"/>
      <c r="L767" s="308"/>
      <c r="M767" s="308"/>
      <c r="N767" s="308"/>
      <c r="O767" s="308"/>
      <c r="P767" s="308"/>
      <c r="Q767" s="308"/>
      <c r="R767" s="308"/>
      <c r="S767" s="308"/>
      <c r="T767" s="308"/>
      <c r="U767" s="308"/>
      <c r="V767" s="308"/>
      <c r="W767" s="308"/>
      <c r="X767" s="308"/>
      <c r="Y767" s="308"/>
      <c r="Z767" s="308"/>
    </row>
    <row r="768">
      <c r="A768" s="308"/>
      <c r="B768" s="308"/>
      <c r="C768" s="308"/>
      <c r="D768" s="308"/>
      <c r="E768" s="308"/>
      <c r="F768" s="308"/>
      <c r="G768" s="308"/>
      <c r="H768" s="308"/>
      <c r="I768" s="308"/>
      <c r="J768" s="308"/>
      <c r="K768" s="308"/>
      <c r="L768" s="308"/>
      <c r="M768" s="308"/>
      <c r="N768" s="308"/>
      <c r="O768" s="308"/>
      <c r="P768" s="308"/>
      <c r="Q768" s="308"/>
      <c r="R768" s="308"/>
      <c r="S768" s="308"/>
      <c r="T768" s="308"/>
      <c r="U768" s="308"/>
      <c r="V768" s="308"/>
      <c r="W768" s="308"/>
      <c r="X768" s="308"/>
      <c r="Y768" s="308"/>
      <c r="Z768" s="308"/>
    </row>
    <row r="769">
      <c r="A769" s="308"/>
      <c r="B769" s="308"/>
      <c r="C769" s="308"/>
      <c r="D769" s="308"/>
      <c r="E769" s="308"/>
      <c r="F769" s="308"/>
      <c r="G769" s="308"/>
      <c r="H769" s="308"/>
      <c r="I769" s="308"/>
      <c r="J769" s="308"/>
      <c r="K769" s="308"/>
      <c r="L769" s="308"/>
      <c r="M769" s="308"/>
      <c r="N769" s="308"/>
      <c r="O769" s="308"/>
      <c r="P769" s="308"/>
      <c r="Q769" s="308"/>
      <c r="R769" s="308"/>
      <c r="S769" s="308"/>
      <c r="T769" s="308"/>
      <c r="U769" s="308"/>
      <c r="V769" s="308"/>
      <c r="W769" s="308"/>
      <c r="X769" s="308"/>
      <c r="Y769" s="308"/>
      <c r="Z769" s="308"/>
    </row>
    <row r="770">
      <c r="A770" s="308"/>
      <c r="B770" s="308"/>
      <c r="C770" s="308"/>
      <c r="D770" s="308"/>
      <c r="E770" s="308"/>
      <c r="F770" s="308"/>
      <c r="G770" s="308"/>
      <c r="H770" s="308"/>
      <c r="I770" s="308"/>
      <c r="J770" s="308"/>
      <c r="K770" s="308"/>
      <c r="L770" s="308"/>
      <c r="M770" s="308"/>
      <c r="N770" s="308"/>
      <c r="O770" s="308"/>
      <c r="P770" s="308"/>
      <c r="Q770" s="308"/>
      <c r="R770" s="308"/>
      <c r="S770" s="308"/>
      <c r="T770" s="308"/>
      <c r="U770" s="308"/>
      <c r="V770" s="308"/>
      <c r="W770" s="308"/>
      <c r="X770" s="308"/>
      <c r="Y770" s="308"/>
      <c r="Z770" s="308"/>
    </row>
    <row r="771">
      <c r="A771" s="308"/>
      <c r="B771" s="308"/>
      <c r="C771" s="308"/>
      <c r="D771" s="308"/>
      <c r="E771" s="308"/>
      <c r="F771" s="308"/>
      <c r="G771" s="308"/>
      <c r="H771" s="308"/>
      <c r="I771" s="308"/>
      <c r="J771" s="308"/>
      <c r="K771" s="308"/>
      <c r="L771" s="308"/>
      <c r="M771" s="308"/>
      <c r="N771" s="308"/>
      <c r="O771" s="308"/>
      <c r="P771" s="308"/>
      <c r="Q771" s="308"/>
      <c r="R771" s="308"/>
      <c r="S771" s="308"/>
      <c r="T771" s="308"/>
      <c r="U771" s="308"/>
      <c r="V771" s="308"/>
      <c r="W771" s="308"/>
      <c r="X771" s="308"/>
      <c r="Y771" s="308"/>
      <c r="Z771" s="308"/>
    </row>
    <row r="772">
      <c r="A772" s="308"/>
      <c r="B772" s="308"/>
      <c r="C772" s="308"/>
      <c r="D772" s="308"/>
      <c r="E772" s="308"/>
      <c r="F772" s="308"/>
      <c r="G772" s="308"/>
      <c r="H772" s="308"/>
      <c r="I772" s="308"/>
      <c r="J772" s="308"/>
      <c r="K772" s="308"/>
      <c r="L772" s="308"/>
      <c r="M772" s="308"/>
      <c r="N772" s="308"/>
      <c r="O772" s="308"/>
      <c r="P772" s="308"/>
      <c r="Q772" s="308"/>
      <c r="R772" s="308"/>
      <c r="S772" s="308"/>
      <c r="T772" s="308"/>
      <c r="U772" s="308"/>
      <c r="V772" s="308"/>
      <c r="W772" s="308"/>
      <c r="X772" s="308"/>
      <c r="Y772" s="308"/>
      <c r="Z772" s="308"/>
    </row>
    <row r="773">
      <c r="A773" s="308"/>
      <c r="B773" s="308"/>
      <c r="C773" s="308"/>
      <c r="D773" s="308"/>
      <c r="E773" s="308"/>
      <c r="F773" s="308"/>
      <c r="G773" s="308"/>
      <c r="H773" s="308"/>
      <c r="I773" s="308"/>
      <c r="J773" s="308"/>
      <c r="K773" s="308"/>
      <c r="L773" s="308"/>
      <c r="M773" s="308"/>
      <c r="N773" s="308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  <c r="Z773" s="308"/>
    </row>
    <row r="774">
      <c r="A774" s="308"/>
      <c r="B774" s="308"/>
      <c r="C774" s="308"/>
      <c r="D774" s="308"/>
      <c r="E774" s="308"/>
      <c r="F774" s="308"/>
      <c r="G774" s="308"/>
      <c r="H774" s="308"/>
      <c r="I774" s="308"/>
      <c r="J774" s="308"/>
      <c r="K774" s="308"/>
      <c r="L774" s="308"/>
      <c r="M774" s="308"/>
      <c r="N774" s="308"/>
      <c r="O774" s="308"/>
      <c r="P774" s="308"/>
      <c r="Q774" s="308"/>
      <c r="R774" s="308"/>
      <c r="S774" s="308"/>
      <c r="T774" s="308"/>
      <c r="U774" s="308"/>
      <c r="V774" s="308"/>
      <c r="W774" s="308"/>
      <c r="X774" s="308"/>
      <c r="Y774" s="308"/>
      <c r="Z774" s="308"/>
    </row>
    <row r="775">
      <c r="A775" s="308"/>
      <c r="B775" s="308"/>
      <c r="C775" s="308"/>
      <c r="D775" s="308"/>
      <c r="E775" s="308"/>
      <c r="F775" s="308"/>
      <c r="G775" s="308"/>
      <c r="H775" s="308"/>
      <c r="I775" s="308"/>
      <c r="J775" s="308"/>
      <c r="K775" s="308"/>
      <c r="L775" s="308"/>
      <c r="M775" s="308"/>
      <c r="N775" s="308"/>
      <c r="O775" s="308"/>
      <c r="P775" s="308"/>
      <c r="Q775" s="308"/>
      <c r="R775" s="308"/>
      <c r="S775" s="308"/>
      <c r="T775" s="308"/>
      <c r="U775" s="308"/>
      <c r="V775" s="308"/>
      <c r="W775" s="308"/>
      <c r="X775" s="308"/>
      <c r="Y775" s="308"/>
      <c r="Z775" s="308"/>
    </row>
    <row r="776">
      <c r="A776" s="308"/>
      <c r="B776" s="308"/>
      <c r="C776" s="308"/>
      <c r="D776" s="308"/>
      <c r="E776" s="308"/>
      <c r="F776" s="308"/>
      <c r="G776" s="308"/>
      <c r="H776" s="308"/>
      <c r="I776" s="308"/>
      <c r="J776" s="308"/>
      <c r="K776" s="308"/>
      <c r="L776" s="308"/>
      <c r="M776" s="308"/>
      <c r="N776" s="308"/>
      <c r="O776" s="308"/>
      <c r="P776" s="308"/>
      <c r="Q776" s="308"/>
      <c r="R776" s="308"/>
      <c r="S776" s="308"/>
      <c r="T776" s="308"/>
      <c r="U776" s="308"/>
      <c r="V776" s="308"/>
      <c r="W776" s="308"/>
      <c r="X776" s="308"/>
      <c r="Y776" s="308"/>
      <c r="Z776" s="308"/>
    </row>
    <row r="777">
      <c r="A777" s="308"/>
      <c r="B777" s="308"/>
      <c r="C777" s="308"/>
      <c r="D777" s="308"/>
      <c r="E777" s="308"/>
      <c r="F777" s="308"/>
      <c r="G777" s="308"/>
      <c r="H777" s="308"/>
      <c r="I777" s="308"/>
      <c r="J777" s="308"/>
      <c r="K777" s="308"/>
      <c r="L777" s="308"/>
      <c r="M777" s="308"/>
      <c r="N777" s="308"/>
      <c r="O777" s="308"/>
      <c r="P777" s="308"/>
      <c r="Q777" s="308"/>
      <c r="R777" s="308"/>
      <c r="S777" s="308"/>
      <c r="T777" s="308"/>
      <c r="U777" s="308"/>
      <c r="V777" s="308"/>
      <c r="W777" s="308"/>
      <c r="X777" s="308"/>
      <c r="Y777" s="308"/>
      <c r="Z777" s="308"/>
    </row>
    <row r="778">
      <c r="A778" s="308"/>
      <c r="B778" s="308"/>
      <c r="C778" s="308"/>
      <c r="D778" s="308"/>
      <c r="E778" s="308"/>
      <c r="F778" s="308"/>
      <c r="G778" s="308"/>
      <c r="H778" s="308"/>
      <c r="I778" s="308"/>
      <c r="J778" s="308"/>
      <c r="K778" s="308"/>
      <c r="L778" s="308"/>
      <c r="M778" s="308"/>
      <c r="N778" s="308"/>
      <c r="O778" s="308"/>
      <c r="P778" s="308"/>
      <c r="Q778" s="308"/>
      <c r="R778" s="308"/>
      <c r="S778" s="308"/>
      <c r="T778" s="308"/>
      <c r="U778" s="308"/>
      <c r="V778" s="308"/>
      <c r="W778" s="308"/>
      <c r="X778" s="308"/>
      <c r="Y778" s="308"/>
      <c r="Z778" s="308"/>
    </row>
    <row r="779">
      <c r="A779" s="308"/>
      <c r="B779" s="308"/>
      <c r="C779" s="308"/>
      <c r="D779" s="308"/>
      <c r="E779" s="308"/>
      <c r="F779" s="308"/>
      <c r="G779" s="308"/>
      <c r="H779" s="308"/>
      <c r="I779" s="308"/>
      <c r="J779" s="308"/>
      <c r="K779" s="308"/>
      <c r="L779" s="308"/>
      <c r="M779" s="308"/>
      <c r="N779" s="308"/>
      <c r="O779" s="308"/>
      <c r="P779" s="308"/>
      <c r="Q779" s="308"/>
      <c r="R779" s="308"/>
      <c r="S779" s="308"/>
      <c r="T779" s="308"/>
      <c r="U779" s="308"/>
      <c r="V779" s="308"/>
      <c r="W779" s="308"/>
      <c r="X779" s="308"/>
      <c r="Y779" s="308"/>
      <c r="Z779" s="308"/>
    </row>
    <row r="780">
      <c r="A780" s="308"/>
      <c r="B780" s="308"/>
      <c r="C780" s="308"/>
      <c r="D780" s="308"/>
      <c r="E780" s="308"/>
      <c r="F780" s="308"/>
      <c r="G780" s="308"/>
      <c r="H780" s="308"/>
      <c r="I780" s="308"/>
      <c r="J780" s="308"/>
      <c r="K780" s="308"/>
      <c r="L780" s="308"/>
      <c r="M780" s="308"/>
      <c r="N780" s="308"/>
      <c r="O780" s="308"/>
      <c r="P780" s="308"/>
      <c r="Q780" s="308"/>
      <c r="R780" s="308"/>
      <c r="S780" s="308"/>
      <c r="T780" s="308"/>
      <c r="U780" s="308"/>
      <c r="V780" s="308"/>
      <c r="W780" s="308"/>
      <c r="X780" s="308"/>
      <c r="Y780" s="308"/>
      <c r="Z780" s="308"/>
    </row>
    <row r="781">
      <c r="A781" s="308"/>
      <c r="B781" s="308"/>
      <c r="C781" s="308"/>
      <c r="D781" s="308"/>
      <c r="E781" s="308"/>
      <c r="F781" s="308"/>
      <c r="G781" s="308"/>
      <c r="H781" s="308"/>
      <c r="I781" s="308"/>
      <c r="J781" s="308"/>
      <c r="K781" s="308"/>
      <c r="L781" s="308"/>
      <c r="M781" s="308"/>
      <c r="N781" s="308"/>
      <c r="O781" s="308"/>
      <c r="P781" s="308"/>
      <c r="Q781" s="308"/>
      <c r="R781" s="308"/>
      <c r="S781" s="308"/>
      <c r="T781" s="308"/>
      <c r="U781" s="308"/>
      <c r="V781" s="308"/>
      <c r="W781" s="308"/>
      <c r="X781" s="308"/>
      <c r="Y781" s="308"/>
      <c r="Z781" s="308"/>
    </row>
    <row r="782">
      <c r="A782" s="308"/>
      <c r="B782" s="308"/>
      <c r="C782" s="308"/>
      <c r="D782" s="308"/>
      <c r="E782" s="308"/>
      <c r="F782" s="308"/>
      <c r="G782" s="308"/>
      <c r="H782" s="308"/>
      <c r="I782" s="308"/>
      <c r="J782" s="308"/>
      <c r="K782" s="308"/>
      <c r="L782" s="308"/>
      <c r="M782" s="308"/>
      <c r="N782" s="308"/>
      <c r="O782" s="308"/>
      <c r="P782" s="308"/>
      <c r="Q782" s="308"/>
      <c r="R782" s="308"/>
      <c r="S782" s="308"/>
      <c r="T782" s="308"/>
      <c r="U782" s="308"/>
      <c r="V782" s="308"/>
      <c r="W782" s="308"/>
      <c r="X782" s="308"/>
      <c r="Y782" s="308"/>
      <c r="Z782" s="308"/>
    </row>
    <row r="783">
      <c r="A783" s="308"/>
      <c r="B783" s="308"/>
      <c r="C783" s="308"/>
      <c r="D783" s="308"/>
      <c r="E783" s="308"/>
      <c r="F783" s="308"/>
      <c r="G783" s="308"/>
      <c r="H783" s="308"/>
      <c r="I783" s="308"/>
      <c r="J783" s="308"/>
      <c r="K783" s="308"/>
      <c r="L783" s="308"/>
      <c r="M783" s="308"/>
      <c r="N783" s="308"/>
      <c r="O783" s="308"/>
      <c r="P783" s="308"/>
      <c r="Q783" s="308"/>
      <c r="R783" s="308"/>
      <c r="S783" s="308"/>
      <c r="T783" s="308"/>
      <c r="U783" s="308"/>
      <c r="V783" s="308"/>
      <c r="W783" s="308"/>
      <c r="X783" s="308"/>
      <c r="Y783" s="308"/>
      <c r="Z783" s="308"/>
    </row>
    <row r="784">
      <c r="A784" s="308"/>
      <c r="B784" s="308"/>
      <c r="C784" s="308"/>
      <c r="D784" s="308"/>
      <c r="E784" s="308"/>
      <c r="F784" s="308"/>
      <c r="G784" s="308"/>
      <c r="H784" s="308"/>
      <c r="I784" s="308"/>
      <c r="J784" s="308"/>
      <c r="K784" s="308"/>
      <c r="L784" s="308"/>
      <c r="M784" s="308"/>
      <c r="N784" s="308"/>
      <c r="O784" s="308"/>
      <c r="P784" s="308"/>
      <c r="Q784" s="308"/>
      <c r="R784" s="308"/>
      <c r="S784" s="308"/>
      <c r="T784" s="308"/>
      <c r="U784" s="308"/>
      <c r="V784" s="308"/>
      <c r="W784" s="308"/>
      <c r="X784" s="308"/>
      <c r="Y784" s="308"/>
      <c r="Z784" s="308"/>
    </row>
    <row r="785">
      <c r="A785" s="308"/>
      <c r="B785" s="308"/>
      <c r="C785" s="308"/>
      <c r="D785" s="308"/>
      <c r="E785" s="308"/>
      <c r="F785" s="308"/>
      <c r="G785" s="308"/>
      <c r="H785" s="308"/>
      <c r="I785" s="308"/>
      <c r="J785" s="308"/>
      <c r="K785" s="308"/>
      <c r="L785" s="308"/>
      <c r="M785" s="308"/>
      <c r="N785" s="308"/>
      <c r="O785" s="308"/>
      <c r="P785" s="308"/>
      <c r="Q785" s="308"/>
      <c r="R785" s="308"/>
      <c r="S785" s="308"/>
      <c r="T785" s="308"/>
      <c r="U785" s="308"/>
      <c r="V785" s="308"/>
      <c r="W785" s="308"/>
      <c r="X785" s="308"/>
      <c r="Y785" s="308"/>
      <c r="Z785" s="308"/>
    </row>
    <row r="786">
      <c r="A786" s="308"/>
      <c r="B786" s="308"/>
      <c r="C786" s="308"/>
      <c r="D786" s="308"/>
      <c r="E786" s="308"/>
      <c r="F786" s="308"/>
      <c r="G786" s="308"/>
      <c r="H786" s="308"/>
      <c r="I786" s="308"/>
      <c r="J786" s="308"/>
      <c r="K786" s="308"/>
      <c r="L786" s="308"/>
      <c r="M786" s="308"/>
      <c r="N786" s="308"/>
      <c r="O786" s="308"/>
      <c r="P786" s="308"/>
      <c r="Q786" s="308"/>
      <c r="R786" s="308"/>
      <c r="S786" s="308"/>
      <c r="T786" s="308"/>
      <c r="U786" s="308"/>
      <c r="V786" s="308"/>
      <c r="W786" s="308"/>
      <c r="X786" s="308"/>
      <c r="Y786" s="308"/>
      <c r="Z786" s="308"/>
    </row>
    <row r="787">
      <c r="A787" s="308"/>
      <c r="B787" s="308"/>
      <c r="C787" s="308"/>
      <c r="D787" s="308"/>
      <c r="E787" s="308"/>
      <c r="F787" s="308"/>
      <c r="G787" s="308"/>
      <c r="H787" s="308"/>
      <c r="I787" s="308"/>
      <c r="J787" s="308"/>
      <c r="K787" s="308"/>
      <c r="L787" s="308"/>
      <c r="M787" s="308"/>
      <c r="N787" s="308"/>
      <c r="O787" s="308"/>
      <c r="P787" s="308"/>
      <c r="Q787" s="308"/>
      <c r="R787" s="308"/>
      <c r="S787" s="308"/>
      <c r="T787" s="308"/>
      <c r="U787" s="308"/>
      <c r="V787" s="308"/>
      <c r="W787" s="308"/>
      <c r="X787" s="308"/>
      <c r="Y787" s="308"/>
      <c r="Z787" s="308"/>
    </row>
    <row r="788">
      <c r="A788" s="308"/>
      <c r="B788" s="308"/>
      <c r="C788" s="308"/>
      <c r="D788" s="308"/>
      <c r="E788" s="308"/>
      <c r="F788" s="308"/>
      <c r="G788" s="308"/>
      <c r="H788" s="308"/>
      <c r="I788" s="308"/>
      <c r="J788" s="308"/>
      <c r="K788" s="308"/>
      <c r="L788" s="308"/>
      <c r="M788" s="308"/>
      <c r="N788" s="308"/>
      <c r="O788" s="308"/>
      <c r="P788" s="308"/>
      <c r="Q788" s="308"/>
      <c r="R788" s="308"/>
      <c r="S788" s="308"/>
      <c r="T788" s="308"/>
      <c r="U788" s="308"/>
      <c r="V788" s="308"/>
      <c r="W788" s="308"/>
      <c r="X788" s="308"/>
      <c r="Y788" s="308"/>
      <c r="Z788" s="308"/>
    </row>
    <row r="789">
      <c r="A789" s="308"/>
      <c r="B789" s="308"/>
      <c r="C789" s="308"/>
      <c r="D789" s="308"/>
      <c r="E789" s="308"/>
      <c r="F789" s="308"/>
      <c r="G789" s="308"/>
      <c r="H789" s="308"/>
      <c r="I789" s="308"/>
      <c r="J789" s="308"/>
      <c r="K789" s="308"/>
      <c r="L789" s="308"/>
      <c r="M789" s="308"/>
      <c r="N789" s="308"/>
      <c r="O789" s="308"/>
      <c r="P789" s="308"/>
      <c r="Q789" s="308"/>
      <c r="R789" s="308"/>
      <c r="S789" s="308"/>
      <c r="T789" s="308"/>
      <c r="U789" s="308"/>
      <c r="V789" s="308"/>
      <c r="W789" s="308"/>
      <c r="X789" s="308"/>
      <c r="Y789" s="308"/>
      <c r="Z789" s="308"/>
    </row>
    <row r="790">
      <c r="A790" s="308"/>
      <c r="B790" s="308"/>
      <c r="C790" s="308"/>
      <c r="D790" s="308"/>
      <c r="E790" s="308"/>
      <c r="F790" s="308"/>
      <c r="G790" s="308"/>
      <c r="H790" s="308"/>
      <c r="I790" s="308"/>
      <c r="J790" s="308"/>
      <c r="K790" s="308"/>
      <c r="L790" s="308"/>
      <c r="M790" s="308"/>
      <c r="N790" s="308"/>
      <c r="O790" s="308"/>
      <c r="P790" s="308"/>
      <c r="Q790" s="308"/>
      <c r="R790" s="308"/>
      <c r="S790" s="308"/>
      <c r="T790" s="308"/>
      <c r="U790" s="308"/>
      <c r="V790" s="308"/>
      <c r="W790" s="308"/>
      <c r="X790" s="308"/>
      <c r="Y790" s="308"/>
      <c r="Z790" s="308"/>
    </row>
    <row r="791">
      <c r="A791" s="308"/>
      <c r="B791" s="308"/>
      <c r="C791" s="308"/>
      <c r="D791" s="308"/>
      <c r="E791" s="308"/>
      <c r="F791" s="308"/>
      <c r="G791" s="308"/>
      <c r="H791" s="308"/>
      <c r="I791" s="308"/>
      <c r="J791" s="308"/>
      <c r="K791" s="308"/>
      <c r="L791" s="308"/>
      <c r="M791" s="308"/>
      <c r="N791" s="308"/>
      <c r="O791" s="308"/>
      <c r="P791" s="308"/>
      <c r="Q791" s="308"/>
      <c r="R791" s="308"/>
      <c r="S791" s="308"/>
      <c r="T791" s="308"/>
      <c r="U791" s="308"/>
      <c r="V791" s="308"/>
      <c r="W791" s="308"/>
      <c r="X791" s="308"/>
      <c r="Y791" s="308"/>
      <c r="Z791" s="308"/>
    </row>
    <row r="792">
      <c r="A792" s="308"/>
      <c r="B792" s="308"/>
      <c r="C792" s="308"/>
      <c r="D792" s="308"/>
      <c r="E792" s="308"/>
      <c r="F792" s="308"/>
      <c r="G792" s="308"/>
      <c r="H792" s="308"/>
      <c r="I792" s="308"/>
      <c r="J792" s="308"/>
      <c r="K792" s="308"/>
      <c r="L792" s="308"/>
      <c r="M792" s="308"/>
      <c r="N792" s="308"/>
      <c r="O792" s="308"/>
      <c r="P792" s="308"/>
      <c r="Q792" s="308"/>
      <c r="R792" s="308"/>
      <c r="S792" s="308"/>
      <c r="T792" s="308"/>
      <c r="U792" s="308"/>
      <c r="V792" s="308"/>
      <c r="W792" s="308"/>
      <c r="X792" s="308"/>
      <c r="Y792" s="308"/>
      <c r="Z792" s="308"/>
    </row>
    <row r="793">
      <c r="A793" s="308"/>
      <c r="B793" s="308"/>
      <c r="C793" s="308"/>
      <c r="D793" s="308"/>
      <c r="E793" s="308"/>
      <c r="F793" s="308"/>
      <c r="G793" s="308"/>
      <c r="H793" s="308"/>
      <c r="I793" s="308"/>
      <c r="J793" s="308"/>
      <c r="K793" s="308"/>
      <c r="L793" s="308"/>
      <c r="M793" s="308"/>
      <c r="N793" s="308"/>
      <c r="O793" s="308"/>
      <c r="P793" s="308"/>
      <c r="Q793" s="308"/>
      <c r="R793" s="308"/>
      <c r="S793" s="308"/>
      <c r="T793" s="308"/>
      <c r="U793" s="308"/>
      <c r="V793" s="308"/>
      <c r="W793" s="308"/>
      <c r="X793" s="308"/>
      <c r="Y793" s="308"/>
      <c r="Z793" s="308"/>
    </row>
    <row r="794">
      <c r="A794" s="308"/>
      <c r="B794" s="308"/>
      <c r="C794" s="308"/>
      <c r="D794" s="308"/>
      <c r="E794" s="308"/>
      <c r="F794" s="308"/>
      <c r="G794" s="308"/>
      <c r="H794" s="308"/>
      <c r="I794" s="308"/>
      <c r="J794" s="308"/>
      <c r="K794" s="308"/>
      <c r="L794" s="308"/>
      <c r="M794" s="308"/>
      <c r="N794" s="308"/>
      <c r="O794" s="308"/>
      <c r="P794" s="308"/>
      <c r="Q794" s="308"/>
      <c r="R794" s="308"/>
      <c r="S794" s="308"/>
      <c r="T794" s="308"/>
      <c r="U794" s="308"/>
      <c r="V794" s="308"/>
      <c r="W794" s="308"/>
      <c r="X794" s="308"/>
      <c r="Y794" s="308"/>
      <c r="Z794" s="308"/>
    </row>
    <row r="795">
      <c r="A795" s="308"/>
      <c r="B795" s="308"/>
      <c r="C795" s="308"/>
      <c r="D795" s="308"/>
      <c r="E795" s="308"/>
      <c r="F795" s="308"/>
      <c r="G795" s="308"/>
      <c r="H795" s="308"/>
      <c r="I795" s="308"/>
      <c r="J795" s="308"/>
      <c r="K795" s="308"/>
      <c r="L795" s="308"/>
      <c r="M795" s="308"/>
      <c r="N795" s="308"/>
      <c r="O795" s="308"/>
      <c r="P795" s="308"/>
      <c r="Q795" s="308"/>
      <c r="R795" s="308"/>
      <c r="S795" s="308"/>
      <c r="T795" s="308"/>
      <c r="U795" s="308"/>
      <c r="V795" s="308"/>
      <c r="W795" s="308"/>
      <c r="X795" s="308"/>
      <c r="Y795" s="308"/>
      <c r="Z795" s="308"/>
    </row>
    <row r="796">
      <c r="A796" s="308"/>
      <c r="B796" s="308"/>
      <c r="C796" s="308"/>
      <c r="D796" s="308"/>
      <c r="E796" s="308"/>
      <c r="F796" s="308"/>
      <c r="G796" s="308"/>
      <c r="H796" s="308"/>
      <c r="I796" s="308"/>
      <c r="J796" s="308"/>
      <c r="K796" s="308"/>
      <c r="L796" s="308"/>
      <c r="M796" s="308"/>
      <c r="N796" s="308"/>
      <c r="O796" s="308"/>
      <c r="P796" s="308"/>
      <c r="Q796" s="308"/>
      <c r="R796" s="308"/>
      <c r="S796" s="308"/>
      <c r="T796" s="308"/>
      <c r="U796" s="308"/>
      <c r="V796" s="308"/>
      <c r="W796" s="308"/>
      <c r="X796" s="308"/>
      <c r="Y796" s="308"/>
      <c r="Z796" s="308"/>
    </row>
    <row r="797">
      <c r="A797" s="308"/>
      <c r="B797" s="308"/>
      <c r="C797" s="308"/>
      <c r="D797" s="308"/>
      <c r="E797" s="308"/>
      <c r="F797" s="308"/>
      <c r="G797" s="308"/>
      <c r="H797" s="308"/>
      <c r="I797" s="308"/>
      <c r="J797" s="308"/>
      <c r="K797" s="308"/>
      <c r="L797" s="308"/>
      <c r="M797" s="308"/>
      <c r="N797" s="308"/>
      <c r="O797" s="308"/>
      <c r="P797" s="308"/>
      <c r="Q797" s="308"/>
      <c r="R797" s="308"/>
      <c r="S797" s="308"/>
      <c r="T797" s="308"/>
      <c r="U797" s="308"/>
      <c r="V797" s="308"/>
      <c r="W797" s="308"/>
      <c r="X797" s="308"/>
      <c r="Y797" s="308"/>
      <c r="Z797" s="308"/>
    </row>
    <row r="798">
      <c r="A798" s="308"/>
      <c r="B798" s="308"/>
      <c r="C798" s="308"/>
      <c r="D798" s="308"/>
      <c r="E798" s="308"/>
      <c r="F798" s="308"/>
      <c r="G798" s="308"/>
      <c r="H798" s="308"/>
      <c r="I798" s="308"/>
      <c r="J798" s="308"/>
      <c r="K798" s="308"/>
      <c r="L798" s="308"/>
      <c r="M798" s="308"/>
      <c r="N798" s="308"/>
      <c r="O798" s="308"/>
      <c r="P798" s="308"/>
      <c r="Q798" s="308"/>
      <c r="R798" s="308"/>
      <c r="S798" s="308"/>
      <c r="T798" s="308"/>
      <c r="U798" s="308"/>
      <c r="V798" s="308"/>
      <c r="W798" s="308"/>
      <c r="X798" s="308"/>
      <c r="Y798" s="308"/>
      <c r="Z798" s="308"/>
    </row>
    <row r="799">
      <c r="A799" s="308"/>
      <c r="B799" s="308"/>
      <c r="C799" s="308"/>
      <c r="D799" s="308"/>
      <c r="E799" s="308"/>
      <c r="F799" s="308"/>
      <c r="G799" s="308"/>
      <c r="H799" s="308"/>
      <c r="I799" s="308"/>
      <c r="J799" s="308"/>
      <c r="K799" s="308"/>
      <c r="L799" s="308"/>
      <c r="M799" s="308"/>
      <c r="N799" s="308"/>
      <c r="O799" s="308"/>
      <c r="P799" s="308"/>
      <c r="Q799" s="308"/>
      <c r="R799" s="308"/>
      <c r="S799" s="308"/>
      <c r="T799" s="308"/>
      <c r="U799" s="308"/>
      <c r="V799" s="308"/>
      <c r="W799" s="308"/>
      <c r="X799" s="308"/>
      <c r="Y799" s="308"/>
      <c r="Z799" s="308"/>
    </row>
    <row r="800">
      <c r="A800" s="308"/>
      <c r="B800" s="308"/>
      <c r="C800" s="308"/>
      <c r="D800" s="308"/>
      <c r="E800" s="308"/>
      <c r="F800" s="308"/>
      <c r="G800" s="308"/>
      <c r="H800" s="308"/>
      <c r="I800" s="308"/>
      <c r="J800" s="308"/>
      <c r="K800" s="308"/>
      <c r="L800" s="308"/>
      <c r="M800" s="308"/>
      <c r="N800" s="308"/>
      <c r="O800" s="308"/>
      <c r="P800" s="308"/>
      <c r="Q800" s="308"/>
      <c r="R800" s="308"/>
      <c r="S800" s="308"/>
      <c r="T800" s="308"/>
      <c r="U800" s="308"/>
      <c r="V800" s="308"/>
      <c r="W800" s="308"/>
      <c r="X800" s="308"/>
      <c r="Y800" s="308"/>
      <c r="Z800" s="308"/>
    </row>
    <row r="801">
      <c r="A801" s="308"/>
      <c r="B801" s="308"/>
      <c r="C801" s="308"/>
      <c r="D801" s="308"/>
      <c r="E801" s="308"/>
      <c r="F801" s="308"/>
      <c r="G801" s="308"/>
      <c r="H801" s="308"/>
      <c r="I801" s="308"/>
      <c r="J801" s="308"/>
      <c r="K801" s="308"/>
      <c r="L801" s="308"/>
      <c r="M801" s="308"/>
      <c r="N801" s="308"/>
      <c r="O801" s="308"/>
      <c r="P801" s="308"/>
      <c r="Q801" s="308"/>
      <c r="R801" s="308"/>
      <c r="S801" s="308"/>
      <c r="T801" s="308"/>
      <c r="U801" s="308"/>
      <c r="V801" s="308"/>
      <c r="W801" s="308"/>
      <c r="X801" s="308"/>
      <c r="Y801" s="308"/>
      <c r="Z801" s="308"/>
    </row>
    <row r="802">
      <c r="A802" s="308"/>
      <c r="B802" s="308"/>
      <c r="C802" s="308"/>
      <c r="D802" s="308"/>
      <c r="E802" s="308"/>
      <c r="F802" s="308"/>
      <c r="G802" s="308"/>
      <c r="H802" s="308"/>
      <c r="I802" s="308"/>
      <c r="J802" s="308"/>
      <c r="K802" s="308"/>
      <c r="L802" s="308"/>
      <c r="M802" s="308"/>
      <c r="N802" s="308"/>
      <c r="O802" s="308"/>
      <c r="P802" s="308"/>
      <c r="Q802" s="308"/>
      <c r="R802" s="308"/>
      <c r="S802" s="308"/>
      <c r="T802" s="308"/>
      <c r="U802" s="308"/>
      <c r="V802" s="308"/>
      <c r="W802" s="308"/>
      <c r="X802" s="308"/>
      <c r="Y802" s="308"/>
      <c r="Z802" s="308"/>
    </row>
    <row r="803">
      <c r="A803" s="308"/>
      <c r="B803" s="308"/>
      <c r="C803" s="308"/>
      <c r="D803" s="308"/>
      <c r="E803" s="308"/>
      <c r="F803" s="308"/>
      <c r="G803" s="308"/>
      <c r="H803" s="308"/>
      <c r="I803" s="308"/>
      <c r="J803" s="308"/>
      <c r="K803" s="308"/>
      <c r="L803" s="308"/>
      <c r="M803" s="308"/>
      <c r="N803" s="308"/>
      <c r="O803" s="308"/>
      <c r="P803" s="308"/>
      <c r="Q803" s="308"/>
      <c r="R803" s="308"/>
      <c r="S803" s="308"/>
      <c r="T803" s="308"/>
      <c r="U803" s="308"/>
      <c r="V803" s="308"/>
      <c r="W803" s="308"/>
      <c r="X803" s="308"/>
      <c r="Y803" s="308"/>
      <c r="Z803" s="308"/>
    </row>
    <row r="804">
      <c r="A804" s="308"/>
      <c r="B804" s="308"/>
      <c r="C804" s="308"/>
      <c r="D804" s="308"/>
      <c r="E804" s="308"/>
      <c r="F804" s="308"/>
      <c r="G804" s="308"/>
      <c r="H804" s="308"/>
      <c r="I804" s="308"/>
      <c r="J804" s="308"/>
      <c r="K804" s="308"/>
      <c r="L804" s="308"/>
      <c r="M804" s="308"/>
      <c r="N804" s="308"/>
      <c r="O804" s="308"/>
      <c r="P804" s="308"/>
      <c r="Q804" s="308"/>
      <c r="R804" s="308"/>
      <c r="S804" s="308"/>
      <c r="T804" s="308"/>
      <c r="U804" s="308"/>
      <c r="V804" s="308"/>
      <c r="W804" s="308"/>
      <c r="X804" s="308"/>
      <c r="Y804" s="308"/>
      <c r="Z804" s="308"/>
    </row>
    <row r="805">
      <c r="A805" s="308"/>
      <c r="B805" s="308"/>
      <c r="C805" s="308"/>
      <c r="D805" s="308"/>
      <c r="E805" s="308"/>
      <c r="F805" s="308"/>
      <c r="G805" s="308"/>
      <c r="H805" s="308"/>
      <c r="I805" s="308"/>
      <c r="J805" s="308"/>
      <c r="K805" s="308"/>
      <c r="L805" s="308"/>
      <c r="M805" s="308"/>
      <c r="N805" s="308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  <c r="Z805" s="308"/>
    </row>
    <row r="806">
      <c r="A806" s="308"/>
      <c r="B806" s="308"/>
      <c r="C806" s="308"/>
      <c r="D806" s="308"/>
      <c r="E806" s="308"/>
      <c r="F806" s="308"/>
      <c r="G806" s="308"/>
      <c r="H806" s="308"/>
      <c r="I806" s="308"/>
      <c r="J806" s="308"/>
      <c r="K806" s="308"/>
      <c r="L806" s="308"/>
      <c r="M806" s="308"/>
      <c r="N806" s="308"/>
      <c r="O806" s="308"/>
      <c r="P806" s="308"/>
      <c r="Q806" s="308"/>
      <c r="R806" s="308"/>
      <c r="S806" s="308"/>
      <c r="T806" s="308"/>
      <c r="U806" s="308"/>
      <c r="V806" s="308"/>
      <c r="W806" s="308"/>
      <c r="X806" s="308"/>
      <c r="Y806" s="308"/>
      <c r="Z806" s="308"/>
    </row>
    <row r="807">
      <c r="A807" s="308"/>
      <c r="B807" s="308"/>
      <c r="C807" s="308"/>
      <c r="D807" s="308"/>
      <c r="E807" s="308"/>
      <c r="F807" s="308"/>
      <c r="G807" s="308"/>
      <c r="H807" s="308"/>
      <c r="I807" s="308"/>
      <c r="J807" s="308"/>
      <c r="K807" s="308"/>
      <c r="L807" s="308"/>
      <c r="M807" s="308"/>
      <c r="N807" s="308"/>
      <c r="O807" s="308"/>
      <c r="P807" s="308"/>
      <c r="Q807" s="308"/>
      <c r="R807" s="308"/>
      <c r="S807" s="308"/>
      <c r="T807" s="308"/>
      <c r="U807" s="308"/>
      <c r="V807" s="308"/>
      <c r="W807" s="308"/>
      <c r="X807" s="308"/>
      <c r="Y807" s="308"/>
      <c r="Z807" s="308"/>
    </row>
    <row r="808">
      <c r="A808" s="308"/>
      <c r="B808" s="308"/>
      <c r="C808" s="308"/>
      <c r="D808" s="308"/>
      <c r="E808" s="308"/>
      <c r="F808" s="308"/>
      <c r="G808" s="308"/>
      <c r="H808" s="308"/>
      <c r="I808" s="308"/>
      <c r="J808" s="308"/>
      <c r="K808" s="308"/>
      <c r="L808" s="308"/>
      <c r="M808" s="308"/>
      <c r="N808" s="308"/>
      <c r="O808" s="308"/>
      <c r="P808" s="308"/>
      <c r="Q808" s="308"/>
      <c r="R808" s="308"/>
      <c r="S808" s="308"/>
      <c r="T808" s="308"/>
      <c r="U808" s="308"/>
      <c r="V808" s="308"/>
      <c r="W808" s="308"/>
      <c r="X808" s="308"/>
      <c r="Y808" s="308"/>
      <c r="Z808" s="308"/>
    </row>
    <row r="809">
      <c r="A809" s="308"/>
      <c r="B809" s="308"/>
      <c r="C809" s="308"/>
      <c r="D809" s="308"/>
      <c r="E809" s="308"/>
      <c r="F809" s="308"/>
      <c r="G809" s="308"/>
      <c r="H809" s="308"/>
      <c r="I809" s="308"/>
      <c r="J809" s="308"/>
      <c r="K809" s="308"/>
      <c r="L809" s="308"/>
      <c r="M809" s="308"/>
      <c r="N809" s="308"/>
      <c r="O809" s="308"/>
      <c r="P809" s="308"/>
      <c r="Q809" s="308"/>
      <c r="R809" s="308"/>
      <c r="S809" s="308"/>
      <c r="T809" s="308"/>
      <c r="U809" s="308"/>
      <c r="V809" s="308"/>
      <c r="W809" s="308"/>
      <c r="X809" s="308"/>
      <c r="Y809" s="308"/>
      <c r="Z809" s="308"/>
    </row>
    <row r="810">
      <c r="A810" s="308"/>
      <c r="B810" s="308"/>
      <c r="C810" s="308"/>
      <c r="D810" s="308"/>
      <c r="E810" s="308"/>
      <c r="F810" s="308"/>
      <c r="G810" s="308"/>
      <c r="H810" s="308"/>
      <c r="I810" s="308"/>
      <c r="J810" s="308"/>
      <c r="K810" s="308"/>
      <c r="L810" s="308"/>
      <c r="M810" s="308"/>
      <c r="N810" s="308"/>
      <c r="O810" s="308"/>
      <c r="P810" s="308"/>
      <c r="Q810" s="308"/>
      <c r="R810" s="308"/>
      <c r="S810" s="308"/>
      <c r="T810" s="308"/>
      <c r="U810" s="308"/>
      <c r="V810" s="308"/>
      <c r="W810" s="308"/>
      <c r="X810" s="308"/>
      <c r="Y810" s="308"/>
      <c r="Z810" s="308"/>
    </row>
    <row r="811">
      <c r="A811" s="308"/>
      <c r="B811" s="308"/>
      <c r="C811" s="308"/>
      <c r="D811" s="308"/>
      <c r="E811" s="308"/>
      <c r="F811" s="308"/>
      <c r="G811" s="308"/>
      <c r="H811" s="308"/>
      <c r="I811" s="308"/>
      <c r="J811" s="308"/>
      <c r="K811" s="308"/>
      <c r="L811" s="308"/>
      <c r="M811" s="308"/>
      <c r="N811" s="308"/>
      <c r="O811" s="308"/>
      <c r="P811" s="308"/>
      <c r="Q811" s="308"/>
      <c r="R811" s="308"/>
      <c r="S811" s="308"/>
      <c r="T811" s="308"/>
      <c r="U811" s="308"/>
      <c r="V811" s="308"/>
      <c r="W811" s="308"/>
      <c r="X811" s="308"/>
      <c r="Y811" s="308"/>
      <c r="Z811" s="308"/>
    </row>
    <row r="812">
      <c r="A812" s="308"/>
      <c r="B812" s="308"/>
      <c r="C812" s="308"/>
      <c r="D812" s="308"/>
      <c r="E812" s="308"/>
      <c r="F812" s="308"/>
      <c r="G812" s="308"/>
      <c r="H812" s="308"/>
      <c r="I812" s="308"/>
      <c r="J812" s="308"/>
      <c r="K812" s="308"/>
      <c r="L812" s="308"/>
      <c r="M812" s="308"/>
      <c r="N812" s="308"/>
      <c r="O812" s="308"/>
      <c r="P812" s="308"/>
      <c r="Q812" s="308"/>
      <c r="R812" s="308"/>
      <c r="S812" s="308"/>
      <c r="T812" s="308"/>
      <c r="U812" s="308"/>
      <c r="V812" s="308"/>
      <c r="W812" s="308"/>
      <c r="X812" s="308"/>
      <c r="Y812" s="308"/>
      <c r="Z812" s="308"/>
    </row>
    <row r="813">
      <c r="A813" s="308"/>
      <c r="B813" s="308"/>
      <c r="C813" s="308"/>
      <c r="D813" s="308"/>
      <c r="E813" s="308"/>
      <c r="F813" s="308"/>
      <c r="G813" s="308"/>
      <c r="H813" s="308"/>
      <c r="I813" s="308"/>
      <c r="J813" s="308"/>
      <c r="K813" s="308"/>
      <c r="L813" s="308"/>
      <c r="M813" s="308"/>
      <c r="N813" s="308"/>
      <c r="O813" s="308"/>
      <c r="P813" s="308"/>
      <c r="Q813" s="308"/>
      <c r="R813" s="308"/>
      <c r="S813" s="308"/>
      <c r="T813" s="308"/>
      <c r="U813" s="308"/>
      <c r="V813" s="308"/>
      <c r="W813" s="308"/>
      <c r="X813" s="308"/>
      <c r="Y813" s="308"/>
      <c r="Z813" s="308"/>
    </row>
    <row r="814">
      <c r="A814" s="308"/>
      <c r="B814" s="308"/>
      <c r="C814" s="308"/>
      <c r="D814" s="308"/>
      <c r="E814" s="308"/>
      <c r="F814" s="308"/>
      <c r="G814" s="308"/>
      <c r="H814" s="308"/>
      <c r="I814" s="308"/>
      <c r="J814" s="308"/>
      <c r="K814" s="308"/>
      <c r="L814" s="308"/>
      <c r="M814" s="308"/>
      <c r="N814" s="308"/>
      <c r="O814" s="308"/>
      <c r="P814" s="308"/>
      <c r="Q814" s="308"/>
      <c r="R814" s="308"/>
      <c r="S814" s="308"/>
      <c r="T814" s="308"/>
      <c r="U814" s="308"/>
      <c r="V814" s="308"/>
      <c r="W814" s="308"/>
      <c r="X814" s="308"/>
      <c r="Y814" s="308"/>
      <c r="Z814" s="308"/>
    </row>
    <row r="815">
      <c r="A815" s="308"/>
      <c r="B815" s="308"/>
      <c r="C815" s="308"/>
      <c r="D815" s="308"/>
      <c r="E815" s="308"/>
      <c r="F815" s="308"/>
      <c r="G815" s="308"/>
      <c r="H815" s="308"/>
      <c r="I815" s="308"/>
      <c r="J815" s="308"/>
      <c r="K815" s="308"/>
      <c r="L815" s="308"/>
      <c r="M815" s="308"/>
      <c r="N815" s="308"/>
      <c r="O815" s="308"/>
      <c r="P815" s="308"/>
      <c r="Q815" s="308"/>
      <c r="R815" s="308"/>
      <c r="S815" s="308"/>
      <c r="T815" s="308"/>
      <c r="U815" s="308"/>
      <c r="V815" s="308"/>
      <c r="W815" s="308"/>
      <c r="X815" s="308"/>
      <c r="Y815" s="308"/>
      <c r="Z815" s="308"/>
    </row>
    <row r="816">
      <c r="A816" s="308"/>
      <c r="B816" s="308"/>
      <c r="C816" s="308"/>
      <c r="D816" s="308"/>
      <c r="E816" s="308"/>
      <c r="F816" s="308"/>
      <c r="G816" s="308"/>
      <c r="H816" s="308"/>
      <c r="I816" s="308"/>
      <c r="J816" s="308"/>
      <c r="K816" s="308"/>
      <c r="L816" s="308"/>
      <c r="M816" s="308"/>
      <c r="N816" s="308"/>
      <c r="O816" s="308"/>
      <c r="P816" s="308"/>
      <c r="Q816" s="308"/>
      <c r="R816" s="308"/>
      <c r="S816" s="308"/>
      <c r="T816" s="308"/>
      <c r="U816" s="308"/>
      <c r="V816" s="308"/>
      <c r="W816" s="308"/>
      <c r="X816" s="308"/>
      <c r="Y816" s="308"/>
      <c r="Z816" s="308"/>
    </row>
    <row r="817">
      <c r="A817" s="308"/>
      <c r="B817" s="308"/>
      <c r="C817" s="308"/>
      <c r="D817" s="308"/>
      <c r="E817" s="308"/>
      <c r="F817" s="308"/>
      <c r="G817" s="308"/>
      <c r="H817" s="308"/>
      <c r="I817" s="308"/>
      <c r="J817" s="308"/>
      <c r="K817" s="308"/>
      <c r="L817" s="308"/>
      <c r="M817" s="308"/>
      <c r="N817" s="308"/>
      <c r="O817" s="308"/>
      <c r="P817" s="308"/>
      <c r="Q817" s="308"/>
      <c r="R817" s="308"/>
      <c r="S817" s="308"/>
      <c r="T817" s="308"/>
      <c r="U817" s="308"/>
      <c r="V817" s="308"/>
      <c r="W817" s="308"/>
      <c r="X817" s="308"/>
      <c r="Y817" s="308"/>
      <c r="Z817" s="308"/>
    </row>
    <row r="818">
      <c r="A818" s="308"/>
      <c r="B818" s="308"/>
      <c r="C818" s="308"/>
      <c r="D818" s="308"/>
      <c r="E818" s="308"/>
      <c r="F818" s="308"/>
      <c r="G818" s="308"/>
      <c r="H818" s="308"/>
      <c r="I818" s="308"/>
      <c r="J818" s="308"/>
      <c r="K818" s="308"/>
      <c r="L818" s="308"/>
      <c r="M818" s="308"/>
      <c r="N818" s="308"/>
      <c r="O818" s="308"/>
      <c r="P818" s="308"/>
      <c r="Q818" s="308"/>
      <c r="R818" s="308"/>
      <c r="S818" s="308"/>
      <c r="T818" s="308"/>
      <c r="U818" s="308"/>
      <c r="V818" s="308"/>
      <c r="W818" s="308"/>
      <c r="X818" s="308"/>
      <c r="Y818" s="308"/>
      <c r="Z818" s="308"/>
    </row>
    <row r="819">
      <c r="A819" s="308"/>
      <c r="B819" s="308"/>
      <c r="C819" s="308"/>
      <c r="D819" s="308"/>
      <c r="E819" s="308"/>
      <c r="F819" s="308"/>
      <c r="G819" s="308"/>
      <c r="H819" s="308"/>
      <c r="I819" s="308"/>
      <c r="J819" s="308"/>
      <c r="K819" s="308"/>
      <c r="L819" s="308"/>
      <c r="M819" s="308"/>
      <c r="N819" s="308"/>
      <c r="O819" s="308"/>
      <c r="P819" s="308"/>
      <c r="Q819" s="308"/>
      <c r="R819" s="308"/>
      <c r="S819" s="308"/>
      <c r="T819" s="308"/>
      <c r="U819" s="308"/>
      <c r="V819" s="308"/>
      <c r="W819" s="308"/>
      <c r="X819" s="308"/>
      <c r="Y819" s="308"/>
      <c r="Z819" s="308"/>
    </row>
    <row r="820">
      <c r="A820" s="308"/>
      <c r="B820" s="308"/>
      <c r="C820" s="308"/>
      <c r="D820" s="308"/>
      <c r="E820" s="308"/>
      <c r="F820" s="308"/>
      <c r="G820" s="308"/>
      <c r="H820" s="308"/>
      <c r="I820" s="308"/>
      <c r="J820" s="308"/>
      <c r="K820" s="308"/>
      <c r="L820" s="308"/>
      <c r="M820" s="308"/>
      <c r="N820" s="308"/>
      <c r="O820" s="308"/>
      <c r="P820" s="308"/>
      <c r="Q820" s="308"/>
      <c r="R820" s="308"/>
      <c r="S820" s="308"/>
      <c r="T820" s="308"/>
      <c r="U820" s="308"/>
      <c r="V820" s="308"/>
      <c r="W820" s="308"/>
      <c r="X820" s="308"/>
      <c r="Y820" s="308"/>
      <c r="Z820" s="308"/>
    </row>
    <row r="821">
      <c r="A821" s="308"/>
      <c r="B821" s="308"/>
      <c r="C821" s="308"/>
      <c r="D821" s="308"/>
      <c r="E821" s="308"/>
      <c r="F821" s="308"/>
      <c r="G821" s="308"/>
      <c r="H821" s="308"/>
      <c r="I821" s="308"/>
      <c r="J821" s="308"/>
      <c r="K821" s="308"/>
      <c r="L821" s="308"/>
      <c r="M821" s="308"/>
      <c r="N821" s="308"/>
      <c r="O821" s="308"/>
      <c r="P821" s="308"/>
      <c r="Q821" s="308"/>
      <c r="R821" s="308"/>
      <c r="S821" s="308"/>
      <c r="T821" s="308"/>
      <c r="U821" s="308"/>
      <c r="V821" s="308"/>
      <c r="W821" s="308"/>
      <c r="X821" s="308"/>
      <c r="Y821" s="308"/>
      <c r="Z821" s="308"/>
    </row>
    <row r="822">
      <c r="A822" s="308"/>
      <c r="B822" s="308"/>
      <c r="C822" s="308"/>
      <c r="D822" s="308"/>
      <c r="E822" s="308"/>
      <c r="F822" s="308"/>
      <c r="G822" s="308"/>
      <c r="H822" s="308"/>
      <c r="I822" s="308"/>
      <c r="J822" s="308"/>
      <c r="K822" s="308"/>
      <c r="L822" s="308"/>
      <c r="M822" s="308"/>
      <c r="N822" s="308"/>
      <c r="O822" s="308"/>
      <c r="P822" s="308"/>
      <c r="Q822" s="308"/>
      <c r="R822" s="308"/>
      <c r="S822" s="308"/>
      <c r="T822" s="308"/>
      <c r="U822" s="308"/>
      <c r="V822" s="308"/>
      <c r="W822" s="308"/>
      <c r="X822" s="308"/>
      <c r="Y822" s="308"/>
      <c r="Z822" s="308"/>
    </row>
    <row r="823">
      <c r="A823" s="308"/>
      <c r="B823" s="308"/>
      <c r="C823" s="308"/>
      <c r="D823" s="308"/>
      <c r="E823" s="308"/>
      <c r="F823" s="308"/>
      <c r="G823" s="308"/>
      <c r="H823" s="308"/>
      <c r="I823" s="308"/>
      <c r="J823" s="308"/>
      <c r="K823" s="308"/>
      <c r="L823" s="308"/>
      <c r="M823" s="308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  <c r="Z823" s="308"/>
    </row>
    <row r="824">
      <c r="A824" s="308"/>
      <c r="B824" s="308"/>
      <c r="C824" s="308"/>
      <c r="D824" s="308"/>
      <c r="E824" s="308"/>
      <c r="F824" s="308"/>
      <c r="G824" s="308"/>
      <c r="H824" s="308"/>
      <c r="I824" s="308"/>
      <c r="J824" s="308"/>
      <c r="K824" s="308"/>
      <c r="L824" s="308"/>
      <c r="M824" s="308"/>
      <c r="N824" s="308"/>
      <c r="O824" s="308"/>
      <c r="P824" s="308"/>
      <c r="Q824" s="308"/>
      <c r="R824" s="308"/>
      <c r="S824" s="308"/>
      <c r="T824" s="308"/>
      <c r="U824" s="308"/>
      <c r="V824" s="308"/>
      <c r="W824" s="308"/>
      <c r="X824" s="308"/>
      <c r="Y824" s="308"/>
      <c r="Z824" s="308"/>
    </row>
    <row r="825">
      <c r="A825" s="308"/>
      <c r="B825" s="308"/>
      <c r="C825" s="308"/>
      <c r="D825" s="308"/>
      <c r="E825" s="308"/>
      <c r="F825" s="308"/>
      <c r="G825" s="308"/>
      <c r="H825" s="308"/>
      <c r="I825" s="308"/>
      <c r="J825" s="308"/>
      <c r="K825" s="308"/>
      <c r="L825" s="308"/>
      <c r="M825" s="308"/>
      <c r="N825" s="308"/>
      <c r="O825" s="308"/>
      <c r="P825" s="308"/>
      <c r="Q825" s="308"/>
      <c r="R825" s="308"/>
      <c r="S825" s="308"/>
      <c r="T825" s="308"/>
      <c r="U825" s="308"/>
      <c r="V825" s="308"/>
      <c r="W825" s="308"/>
      <c r="X825" s="308"/>
      <c r="Y825" s="308"/>
      <c r="Z825" s="308"/>
    </row>
    <row r="826">
      <c r="A826" s="308"/>
      <c r="B826" s="308"/>
      <c r="C826" s="308"/>
      <c r="D826" s="308"/>
      <c r="E826" s="308"/>
      <c r="F826" s="308"/>
      <c r="G826" s="308"/>
      <c r="H826" s="308"/>
      <c r="I826" s="308"/>
      <c r="J826" s="308"/>
      <c r="K826" s="308"/>
      <c r="L826" s="308"/>
      <c r="M826" s="308"/>
      <c r="N826" s="308"/>
      <c r="O826" s="308"/>
      <c r="P826" s="308"/>
      <c r="Q826" s="308"/>
      <c r="R826" s="308"/>
      <c r="S826" s="308"/>
      <c r="T826" s="308"/>
      <c r="U826" s="308"/>
      <c r="V826" s="308"/>
      <c r="W826" s="308"/>
      <c r="X826" s="308"/>
      <c r="Y826" s="308"/>
      <c r="Z826" s="308"/>
    </row>
    <row r="827">
      <c r="A827" s="308"/>
      <c r="B827" s="308"/>
      <c r="C827" s="308"/>
      <c r="D827" s="308"/>
      <c r="E827" s="308"/>
      <c r="F827" s="308"/>
      <c r="G827" s="308"/>
      <c r="H827" s="308"/>
      <c r="I827" s="308"/>
      <c r="J827" s="308"/>
      <c r="K827" s="308"/>
      <c r="L827" s="308"/>
      <c r="M827" s="308"/>
      <c r="N827" s="308"/>
      <c r="O827" s="308"/>
      <c r="P827" s="308"/>
      <c r="Q827" s="308"/>
      <c r="R827" s="308"/>
      <c r="S827" s="308"/>
      <c r="T827" s="308"/>
      <c r="U827" s="308"/>
      <c r="V827" s="308"/>
      <c r="W827" s="308"/>
      <c r="X827" s="308"/>
      <c r="Y827" s="308"/>
      <c r="Z827" s="308"/>
    </row>
    <row r="828">
      <c r="A828" s="308"/>
      <c r="B828" s="308"/>
      <c r="C828" s="308"/>
      <c r="D828" s="308"/>
      <c r="E828" s="308"/>
      <c r="F828" s="308"/>
      <c r="G828" s="308"/>
      <c r="H828" s="308"/>
      <c r="I828" s="308"/>
      <c r="J828" s="308"/>
      <c r="K828" s="308"/>
      <c r="L828" s="308"/>
      <c r="M828" s="308"/>
      <c r="N828" s="308"/>
      <c r="O828" s="308"/>
      <c r="P828" s="308"/>
      <c r="Q828" s="308"/>
      <c r="R828" s="308"/>
      <c r="S828" s="308"/>
      <c r="T828" s="308"/>
      <c r="U828" s="308"/>
      <c r="V828" s="308"/>
      <c r="W828" s="308"/>
      <c r="X828" s="308"/>
      <c r="Y828" s="308"/>
      <c r="Z828" s="308"/>
    </row>
    <row r="829">
      <c r="A829" s="308"/>
      <c r="B829" s="308"/>
      <c r="C829" s="308"/>
      <c r="D829" s="308"/>
      <c r="E829" s="308"/>
      <c r="F829" s="308"/>
      <c r="G829" s="308"/>
      <c r="H829" s="308"/>
      <c r="I829" s="308"/>
      <c r="J829" s="308"/>
      <c r="K829" s="308"/>
      <c r="L829" s="308"/>
      <c r="M829" s="308"/>
      <c r="N829" s="308"/>
      <c r="O829" s="308"/>
      <c r="P829" s="308"/>
      <c r="Q829" s="308"/>
      <c r="R829" s="308"/>
      <c r="S829" s="308"/>
      <c r="T829" s="308"/>
      <c r="U829" s="308"/>
      <c r="V829" s="308"/>
      <c r="W829" s="308"/>
      <c r="X829" s="308"/>
      <c r="Y829" s="308"/>
      <c r="Z829" s="308"/>
    </row>
    <row r="830">
      <c r="A830" s="308"/>
      <c r="B830" s="308"/>
      <c r="C830" s="308"/>
      <c r="D830" s="308"/>
      <c r="E830" s="308"/>
      <c r="F830" s="308"/>
      <c r="G830" s="308"/>
      <c r="H830" s="308"/>
      <c r="I830" s="308"/>
      <c r="J830" s="308"/>
      <c r="K830" s="308"/>
      <c r="L830" s="308"/>
      <c r="M830" s="308"/>
      <c r="N830" s="308"/>
      <c r="O830" s="308"/>
      <c r="P830" s="308"/>
      <c r="Q830" s="308"/>
      <c r="R830" s="308"/>
      <c r="S830" s="308"/>
      <c r="T830" s="308"/>
      <c r="U830" s="308"/>
      <c r="V830" s="308"/>
      <c r="W830" s="308"/>
      <c r="X830" s="308"/>
      <c r="Y830" s="308"/>
      <c r="Z830" s="308"/>
    </row>
    <row r="831">
      <c r="A831" s="308"/>
      <c r="B831" s="308"/>
      <c r="C831" s="308"/>
      <c r="D831" s="308"/>
      <c r="E831" s="308"/>
      <c r="F831" s="308"/>
      <c r="G831" s="308"/>
      <c r="H831" s="308"/>
      <c r="I831" s="308"/>
      <c r="J831" s="308"/>
      <c r="K831" s="308"/>
      <c r="L831" s="308"/>
      <c r="M831" s="308"/>
      <c r="N831" s="308"/>
      <c r="O831" s="308"/>
      <c r="P831" s="308"/>
      <c r="Q831" s="308"/>
      <c r="R831" s="308"/>
      <c r="S831" s="308"/>
      <c r="T831" s="308"/>
      <c r="U831" s="308"/>
      <c r="V831" s="308"/>
      <c r="W831" s="308"/>
      <c r="X831" s="308"/>
      <c r="Y831" s="308"/>
      <c r="Z831" s="308"/>
    </row>
    <row r="832">
      <c r="A832" s="308"/>
      <c r="B832" s="308"/>
      <c r="C832" s="308"/>
      <c r="D832" s="308"/>
      <c r="E832" s="308"/>
      <c r="F832" s="308"/>
      <c r="G832" s="308"/>
      <c r="H832" s="308"/>
      <c r="I832" s="308"/>
      <c r="J832" s="308"/>
      <c r="K832" s="308"/>
      <c r="L832" s="308"/>
      <c r="M832" s="308"/>
      <c r="N832" s="308"/>
      <c r="O832" s="308"/>
      <c r="P832" s="308"/>
      <c r="Q832" s="308"/>
      <c r="R832" s="308"/>
      <c r="S832" s="308"/>
      <c r="T832" s="308"/>
      <c r="U832" s="308"/>
      <c r="V832" s="308"/>
      <c r="W832" s="308"/>
      <c r="X832" s="308"/>
      <c r="Y832" s="308"/>
      <c r="Z832" s="308"/>
    </row>
    <row r="833">
      <c r="A833" s="308"/>
      <c r="B833" s="308"/>
      <c r="C833" s="308"/>
      <c r="D833" s="308"/>
      <c r="E833" s="308"/>
      <c r="F833" s="308"/>
      <c r="G833" s="308"/>
      <c r="H833" s="308"/>
      <c r="I833" s="308"/>
      <c r="J833" s="308"/>
      <c r="K833" s="308"/>
      <c r="L833" s="308"/>
      <c r="M833" s="308"/>
      <c r="N833" s="308"/>
      <c r="O833" s="308"/>
      <c r="P833" s="308"/>
      <c r="Q833" s="308"/>
      <c r="R833" s="308"/>
      <c r="S833" s="308"/>
      <c r="T833" s="308"/>
      <c r="U833" s="308"/>
      <c r="V833" s="308"/>
      <c r="W833" s="308"/>
      <c r="X833" s="308"/>
      <c r="Y833" s="308"/>
      <c r="Z833" s="308"/>
    </row>
    <row r="834">
      <c r="A834" s="308"/>
      <c r="B834" s="308"/>
      <c r="C834" s="308"/>
      <c r="D834" s="308"/>
      <c r="E834" s="308"/>
      <c r="F834" s="308"/>
      <c r="G834" s="308"/>
      <c r="H834" s="308"/>
      <c r="I834" s="308"/>
      <c r="J834" s="308"/>
      <c r="K834" s="308"/>
      <c r="L834" s="308"/>
      <c r="M834" s="308"/>
      <c r="N834" s="308"/>
      <c r="O834" s="308"/>
      <c r="P834" s="308"/>
      <c r="Q834" s="308"/>
      <c r="R834" s="308"/>
      <c r="S834" s="308"/>
      <c r="T834" s="308"/>
      <c r="U834" s="308"/>
      <c r="V834" s="308"/>
      <c r="W834" s="308"/>
      <c r="X834" s="308"/>
      <c r="Y834" s="308"/>
      <c r="Z834" s="308"/>
    </row>
    <row r="835">
      <c r="A835" s="308"/>
      <c r="B835" s="308"/>
      <c r="C835" s="308"/>
      <c r="D835" s="308"/>
      <c r="E835" s="308"/>
      <c r="F835" s="308"/>
      <c r="G835" s="308"/>
      <c r="H835" s="308"/>
      <c r="I835" s="308"/>
      <c r="J835" s="308"/>
      <c r="K835" s="308"/>
      <c r="L835" s="308"/>
      <c r="M835" s="308"/>
      <c r="N835" s="308"/>
      <c r="O835" s="308"/>
      <c r="P835" s="308"/>
      <c r="Q835" s="308"/>
      <c r="R835" s="308"/>
      <c r="S835" s="308"/>
      <c r="T835" s="308"/>
      <c r="U835" s="308"/>
      <c r="V835" s="308"/>
      <c r="W835" s="308"/>
      <c r="X835" s="308"/>
      <c r="Y835" s="308"/>
      <c r="Z835" s="308"/>
    </row>
    <row r="836">
      <c r="A836" s="308"/>
      <c r="B836" s="308"/>
      <c r="C836" s="308"/>
      <c r="D836" s="308"/>
      <c r="E836" s="308"/>
      <c r="F836" s="308"/>
      <c r="G836" s="308"/>
      <c r="H836" s="308"/>
      <c r="I836" s="308"/>
      <c r="J836" s="308"/>
      <c r="K836" s="308"/>
      <c r="L836" s="308"/>
      <c r="M836" s="308"/>
      <c r="N836" s="308"/>
      <c r="O836" s="308"/>
      <c r="P836" s="308"/>
      <c r="Q836" s="308"/>
      <c r="R836" s="308"/>
      <c r="S836" s="308"/>
      <c r="T836" s="308"/>
      <c r="U836" s="308"/>
      <c r="V836" s="308"/>
      <c r="W836" s="308"/>
      <c r="X836" s="308"/>
      <c r="Y836" s="308"/>
      <c r="Z836" s="308"/>
    </row>
    <row r="837">
      <c r="A837" s="308"/>
      <c r="B837" s="308"/>
      <c r="C837" s="308"/>
      <c r="D837" s="308"/>
      <c r="E837" s="308"/>
      <c r="F837" s="308"/>
      <c r="G837" s="308"/>
      <c r="H837" s="308"/>
      <c r="I837" s="308"/>
      <c r="J837" s="308"/>
      <c r="K837" s="308"/>
      <c r="L837" s="308"/>
      <c r="M837" s="308"/>
      <c r="N837" s="308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  <c r="Z837" s="308"/>
    </row>
    <row r="838">
      <c r="A838" s="308"/>
      <c r="B838" s="308"/>
      <c r="C838" s="308"/>
      <c r="D838" s="308"/>
      <c r="E838" s="308"/>
      <c r="F838" s="308"/>
      <c r="G838" s="308"/>
      <c r="H838" s="308"/>
      <c r="I838" s="308"/>
      <c r="J838" s="308"/>
      <c r="K838" s="308"/>
      <c r="L838" s="308"/>
      <c r="M838" s="308"/>
      <c r="N838" s="308"/>
      <c r="O838" s="308"/>
      <c r="P838" s="308"/>
      <c r="Q838" s="308"/>
      <c r="R838" s="308"/>
      <c r="S838" s="308"/>
      <c r="T838" s="308"/>
      <c r="U838" s="308"/>
      <c r="V838" s="308"/>
      <c r="W838" s="308"/>
      <c r="X838" s="308"/>
      <c r="Y838" s="308"/>
      <c r="Z838" s="308"/>
    </row>
    <row r="839">
      <c r="A839" s="308"/>
      <c r="B839" s="308"/>
      <c r="C839" s="308"/>
      <c r="D839" s="308"/>
      <c r="E839" s="308"/>
      <c r="F839" s="308"/>
      <c r="G839" s="308"/>
      <c r="H839" s="308"/>
      <c r="I839" s="308"/>
      <c r="J839" s="308"/>
      <c r="K839" s="308"/>
      <c r="L839" s="308"/>
      <c r="M839" s="308"/>
      <c r="N839" s="308"/>
      <c r="O839" s="308"/>
      <c r="P839" s="308"/>
      <c r="Q839" s="308"/>
      <c r="R839" s="308"/>
      <c r="S839" s="308"/>
      <c r="T839" s="308"/>
      <c r="U839" s="308"/>
      <c r="V839" s="308"/>
      <c r="W839" s="308"/>
      <c r="X839" s="308"/>
      <c r="Y839" s="308"/>
      <c r="Z839" s="308"/>
    </row>
    <row r="840">
      <c r="A840" s="308"/>
      <c r="B840" s="308"/>
      <c r="C840" s="308"/>
      <c r="D840" s="308"/>
      <c r="E840" s="308"/>
      <c r="F840" s="308"/>
      <c r="G840" s="308"/>
      <c r="H840" s="308"/>
      <c r="I840" s="308"/>
      <c r="J840" s="308"/>
      <c r="K840" s="308"/>
      <c r="L840" s="308"/>
      <c r="M840" s="308"/>
      <c r="N840" s="308"/>
      <c r="O840" s="308"/>
      <c r="P840" s="308"/>
      <c r="Q840" s="308"/>
      <c r="R840" s="308"/>
      <c r="S840" s="308"/>
      <c r="T840" s="308"/>
      <c r="U840" s="308"/>
      <c r="V840" s="308"/>
      <c r="W840" s="308"/>
      <c r="X840" s="308"/>
      <c r="Y840" s="308"/>
      <c r="Z840" s="308"/>
    </row>
    <row r="841">
      <c r="A841" s="308"/>
      <c r="B841" s="308"/>
      <c r="C841" s="308"/>
      <c r="D841" s="308"/>
      <c r="E841" s="308"/>
      <c r="F841" s="308"/>
      <c r="G841" s="308"/>
      <c r="H841" s="308"/>
      <c r="I841" s="308"/>
      <c r="J841" s="308"/>
      <c r="K841" s="308"/>
      <c r="L841" s="308"/>
      <c r="M841" s="308"/>
      <c r="N841" s="308"/>
      <c r="O841" s="308"/>
      <c r="P841" s="308"/>
      <c r="Q841" s="308"/>
      <c r="R841" s="308"/>
      <c r="S841" s="308"/>
      <c r="T841" s="308"/>
      <c r="U841" s="308"/>
      <c r="V841" s="308"/>
      <c r="W841" s="308"/>
      <c r="X841" s="308"/>
      <c r="Y841" s="308"/>
      <c r="Z841" s="308"/>
    </row>
    <row r="842">
      <c r="A842" s="308"/>
      <c r="B842" s="308"/>
      <c r="C842" s="308"/>
      <c r="D842" s="308"/>
      <c r="E842" s="308"/>
      <c r="F842" s="308"/>
      <c r="G842" s="308"/>
      <c r="H842" s="308"/>
      <c r="I842" s="308"/>
      <c r="J842" s="308"/>
      <c r="K842" s="308"/>
      <c r="L842" s="308"/>
      <c r="M842" s="308"/>
      <c r="N842" s="308"/>
      <c r="O842" s="308"/>
      <c r="P842" s="308"/>
      <c r="Q842" s="308"/>
      <c r="R842" s="308"/>
      <c r="S842" s="308"/>
      <c r="T842" s="308"/>
      <c r="U842" s="308"/>
      <c r="V842" s="308"/>
      <c r="W842" s="308"/>
      <c r="X842" s="308"/>
      <c r="Y842" s="308"/>
      <c r="Z842" s="308"/>
    </row>
    <row r="843">
      <c r="A843" s="308"/>
      <c r="B843" s="308"/>
      <c r="C843" s="308"/>
      <c r="D843" s="308"/>
      <c r="E843" s="308"/>
      <c r="F843" s="308"/>
      <c r="G843" s="308"/>
      <c r="H843" s="308"/>
      <c r="I843" s="308"/>
      <c r="J843" s="308"/>
      <c r="K843" s="308"/>
      <c r="L843" s="308"/>
      <c r="M843" s="308"/>
      <c r="N843" s="308"/>
      <c r="O843" s="308"/>
      <c r="P843" s="308"/>
      <c r="Q843" s="308"/>
      <c r="R843" s="308"/>
      <c r="S843" s="308"/>
      <c r="T843" s="308"/>
      <c r="U843" s="308"/>
      <c r="V843" s="308"/>
      <c r="W843" s="308"/>
      <c r="X843" s="308"/>
      <c r="Y843" s="308"/>
      <c r="Z843" s="308"/>
    </row>
    <row r="844">
      <c r="A844" s="308"/>
      <c r="B844" s="308"/>
      <c r="C844" s="308"/>
      <c r="D844" s="308"/>
      <c r="E844" s="308"/>
      <c r="F844" s="308"/>
      <c r="G844" s="308"/>
      <c r="H844" s="308"/>
      <c r="I844" s="308"/>
      <c r="J844" s="308"/>
      <c r="K844" s="308"/>
      <c r="L844" s="308"/>
      <c r="M844" s="308"/>
      <c r="N844" s="308"/>
      <c r="O844" s="308"/>
      <c r="P844" s="308"/>
      <c r="Q844" s="308"/>
      <c r="R844" s="308"/>
      <c r="S844" s="308"/>
      <c r="T844" s="308"/>
      <c r="U844" s="308"/>
      <c r="V844" s="308"/>
      <c r="W844" s="308"/>
      <c r="X844" s="308"/>
      <c r="Y844" s="308"/>
      <c r="Z844" s="308"/>
    </row>
    <row r="845">
      <c r="A845" s="308"/>
      <c r="B845" s="308"/>
      <c r="C845" s="308"/>
      <c r="D845" s="308"/>
      <c r="E845" s="308"/>
      <c r="F845" s="308"/>
      <c r="G845" s="308"/>
      <c r="H845" s="308"/>
      <c r="I845" s="308"/>
      <c r="J845" s="308"/>
      <c r="K845" s="308"/>
      <c r="L845" s="308"/>
      <c r="M845" s="308"/>
      <c r="N845" s="308"/>
      <c r="O845" s="308"/>
      <c r="P845" s="308"/>
      <c r="Q845" s="308"/>
      <c r="R845" s="308"/>
      <c r="S845" s="308"/>
      <c r="T845" s="308"/>
      <c r="U845" s="308"/>
      <c r="V845" s="308"/>
      <c r="W845" s="308"/>
      <c r="X845" s="308"/>
      <c r="Y845" s="308"/>
      <c r="Z845" s="308"/>
    </row>
    <row r="846">
      <c r="A846" s="308"/>
      <c r="B846" s="308"/>
      <c r="C846" s="308"/>
      <c r="D846" s="308"/>
      <c r="E846" s="308"/>
      <c r="F846" s="308"/>
      <c r="G846" s="308"/>
      <c r="H846" s="308"/>
      <c r="I846" s="308"/>
      <c r="J846" s="308"/>
      <c r="K846" s="308"/>
      <c r="L846" s="308"/>
      <c r="M846" s="308"/>
      <c r="N846" s="308"/>
      <c r="O846" s="308"/>
      <c r="P846" s="308"/>
      <c r="Q846" s="308"/>
      <c r="R846" s="308"/>
      <c r="S846" s="308"/>
      <c r="T846" s="308"/>
      <c r="U846" s="308"/>
      <c r="V846" s="308"/>
      <c r="W846" s="308"/>
      <c r="X846" s="308"/>
      <c r="Y846" s="308"/>
      <c r="Z846" s="308"/>
    </row>
    <row r="847">
      <c r="A847" s="308"/>
      <c r="B847" s="308"/>
      <c r="C847" s="308"/>
      <c r="D847" s="308"/>
      <c r="E847" s="308"/>
      <c r="F847" s="308"/>
      <c r="G847" s="308"/>
      <c r="H847" s="308"/>
      <c r="I847" s="308"/>
      <c r="J847" s="308"/>
      <c r="K847" s="308"/>
      <c r="L847" s="308"/>
      <c r="M847" s="308"/>
      <c r="N847" s="308"/>
      <c r="O847" s="308"/>
      <c r="P847" s="308"/>
      <c r="Q847" s="308"/>
      <c r="R847" s="308"/>
      <c r="S847" s="308"/>
      <c r="T847" s="308"/>
      <c r="U847" s="308"/>
      <c r="V847" s="308"/>
      <c r="W847" s="308"/>
      <c r="X847" s="308"/>
      <c r="Y847" s="308"/>
      <c r="Z847" s="308"/>
    </row>
    <row r="848">
      <c r="A848" s="308"/>
      <c r="B848" s="308"/>
      <c r="C848" s="308"/>
      <c r="D848" s="308"/>
      <c r="E848" s="308"/>
      <c r="F848" s="308"/>
      <c r="G848" s="308"/>
      <c r="H848" s="308"/>
      <c r="I848" s="308"/>
      <c r="J848" s="308"/>
      <c r="K848" s="308"/>
      <c r="L848" s="308"/>
      <c r="M848" s="308"/>
      <c r="N848" s="308"/>
      <c r="O848" s="308"/>
      <c r="P848" s="308"/>
      <c r="Q848" s="308"/>
      <c r="R848" s="308"/>
      <c r="S848" s="308"/>
      <c r="T848" s="308"/>
      <c r="U848" s="308"/>
      <c r="V848" s="308"/>
      <c r="W848" s="308"/>
      <c r="X848" s="308"/>
      <c r="Y848" s="308"/>
      <c r="Z848" s="308"/>
    </row>
    <row r="849">
      <c r="A849" s="308"/>
      <c r="B849" s="308"/>
      <c r="C849" s="308"/>
      <c r="D849" s="308"/>
      <c r="E849" s="308"/>
      <c r="F849" s="308"/>
      <c r="G849" s="308"/>
      <c r="H849" s="308"/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  <c r="Z849" s="308"/>
    </row>
    <row r="850">
      <c r="A850" s="308"/>
      <c r="B850" s="308"/>
      <c r="C850" s="308"/>
      <c r="D850" s="308"/>
      <c r="E850" s="308"/>
      <c r="F850" s="308"/>
      <c r="G850" s="308"/>
      <c r="H850" s="308"/>
      <c r="I850" s="308"/>
      <c r="J850" s="308"/>
      <c r="K850" s="308"/>
      <c r="L850" s="308"/>
      <c r="M850" s="308"/>
      <c r="N850" s="308"/>
      <c r="O850" s="308"/>
      <c r="P850" s="308"/>
      <c r="Q850" s="308"/>
      <c r="R850" s="308"/>
      <c r="S850" s="308"/>
      <c r="T850" s="308"/>
      <c r="U850" s="308"/>
      <c r="V850" s="308"/>
      <c r="W850" s="308"/>
      <c r="X850" s="308"/>
      <c r="Y850" s="308"/>
      <c r="Z850" s="308"/>
    </row>
    <row r="851">
      <c r="A851" s="308"/>
      <c r="B851" s="308"/>
      <c r="C851" s="308"/>
      <c r="D851" s="308"/>
      <c r="E851" s="308"/>
      <c r="F851" s="308"/>
      <c r="G851" s="308"/>
      <c r="H851" s="308"/>
      <c r="I851" s="308"/>
      <c r="J851" s="308"/>
      <c r="K851" s="308"/>
      <c r="L851" s="308"/>
      <c r="M851" s="308"/>
      <c r="N851" s="308"/>
      <c r="O851" s="308"/>
      <c r="P851" s="308"/>
      <c r="Q851" s="308"/>
      <c r="R851" s="308"/>
      <c r="S851" s="308"/>
      <c r="T851" s="308"/>
      <c r="U851" s="308"/>
      <c r="V851" s="308"/>
      <c r="W851" s="308"/>
      <c r="X851" s="308"/>
      <c r="Y851" s="308"/>
      <c r="Z851" s="308"/>
    </row>
    <row r="852">
      <c r="A852" s="308"/>
      <c r="B852" s="308"/>
      <c r="C852" s="308"/>
      <c r="D852" s="308"/>
      <c r="E852" s="308"/>
      <c r="F852" s="308"/>
      <c r="G852" s="308"/>
      <c r="H852" s="308"/>
      <c r="I852" s="308"/>
      <c r="J852" s="308"/>
      <c r="K852" s="308"/>
      <c r="L852" s="308"/>
      <c r="M852" s="308"/>
      <c r="N852" s="308"/>
      <c r="O852" s="308"/>
      <c r="P852" s="308"/>
      <c r="Q852" s="308"/>
      <c r="R852" s="308"/>
      <c r="S852" s="308"/>
      <c r="T852" s="308"/>
      <c r="U852" s="308"/>
      <c r="V852" s="308"/>
      <c r="W852" s="308"/>
      <c r="X852" s="308"/>
      <c r="Y852" s="308"/>
      <c r="Z852" s="308"/>
    </row>
    <row r="853">
      <c r="A853" s="308"/>
      <c r="B853" s="308"/>
      <c r="C853" s="308"/>
      <c r="D853" s="308"/>
      <c r="E853" s="308"/>
      <c r="F853" s="308"/>
      <c r="G853" s="308"/>
      <c r="H853" s="308"/>
      <c r="I853" s="308"/>
      <c r="J853" s="308"/>
      <c r="K853" s="308"/>
      <c r="L853" s="308"/>
      <c r="M853" s="308"/>
      <c r="N853" s="308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  <c r="Z853" s="308"/>
    </row>
    <row r="854">
      <c r="A854" s="308"/>
      <c r="B854" s="308"/>
      <c r="C854" s="308"/>
      <c r="D854" s="308"/>
      <c r="E854" s="308"/>
      <c r="F854" s="308"/>
      <c r="G854" s="308"/>
      <c r="H854" s="308"/>
      <c r="I854" s="308"/>
      <c r="J854" s="308"/>
      <c r="K854" s="308"/>
      <c r="L854" s="308"/>
      <c r="M854" s="308"/>
      <c r="N854" s="308"/>
      <c r="O854" s="308"/>
      <c r="P854" s="308"/>
      <c r="Q854" s="308"/>
      <c r="R854" s="308"/>
      <c r="S854" s="308"/>
      <c r="T854" s="308"/>
      <c r="U854" s="308"/>
      <c r="V854" s="308"/>
      <c r="W854" s="308"/>
      <c r="X854" s="308"/>
      <c r="Y854" s="308"/>
      <c r="Z854" s="308"/>
    </row>
    <row r="855">
      <c r="A855" s="308"/>
      <c r="B855" s="308"/>
      <c r="C855" s="308"/>
      <c r="D855" s="308"/>
      <c r="E855" s="308"/>
      <c r="F855" s="308"/>
      <c r="G855" s="308"/>
      <c r="H855" s="308"/>
      <c r="I855" s="308"/>
      <c r="J855" s="308"/>
      <c r="K855" s="308"/>
      <c r="L855" s="308"/>
      <c r="M855" s="308"/>
      <c r="N855" s="308"/>
      <c r="O855" s="308"/>
      <c r="P855" s="308"/>
      <c r="Q855" s="308"/>
      <c r="R855" s="308"/>
      <c r="S855" s="308"/>
      <c r="T855" s="308"/>
      <c r="U855" s="308"/>
      <c r="V855" s="308"/>
      <c r="W855" s="308"/>
      <c r="X855" s="308"/>
      <c r="Y855" s="308"/>
      <c r="Z855" s="308"/>
    </row>
    <row r="856">
      <c r="A856" s="308"/>
      <c r="B856" s="308"/>
      <c r="C856" s="308"/>
      <c r="D856" s="308"/>
      <c r="E856" s="308"/>
      <c r="F856" s="308"/>
      <c r="G856" s="308"/>
      <c r="H856" s="308"/>
      <c r="I856" s="308"/>
      <c r="J856" s="308"/>
      <c r="K856" s="308"/>
      <c r="L856" s="308"/>
      <c r="M856" s="308"/>
      <c r="N856" s="308"/>
      <c r="O856" s="308"/>
      <c r="P856" s="308"/>
      <c r="Q856" s="308"/>
      <c r="R856" s="308"/>
      <c r="S856" s="308"/>
      <c r="T856" s="308"/>
      <c r="U856" s="308"/>
      <c r="V856" s="308"/>
      <c r="W856" s="308"/>
      <c r="X856" s="308"/>
      <c r="Y856" s="308"/>
      <c r="Z856" s="308"/>
    </row>
    <row r="857">
      <c r="A857" s="308"/>
      <c r="B857" s="308"/>
      <c r="C857" s="308"/>
      <c r="D857" s="308"/>
      <c r="E857" s="308"/>
      <c r="F857" s="308"/>
      <c r="G857" s="308"/>
      <c r="H857" s="308"/>
      <c r="I857" s="308"/>
      <c r="J857" s="308"/>
      <c r="K857" s="308"/>
      <c r="L857" s="308"/>
      <c r="M857" s="308"/>
      <c r="N857" s="308"/>
      <c r="O857" s="308"/>
      <c r="P857" s="308"/>
      <c r="Q857" s="308"/>
      <c r="R857" s="308"/>
      <c r="S857" s="308"/>
      <c r="T857" s="308"/>
      <c r="U857" s="308"/>
      <c r="V857" s="308"/>
      <c r="W857" s="308"/>
      <c r="X857" s="308"/>
      <c r="Y857" s="308"/>
      <c r="Z857" s="308"/>
    </row>
    <row r="858">
      <c r="A858" s="308"/>
      <c r="B858" s="308"/>
      <c r="C858" s="308"/>
      <c r="D858" s="308"/>
      <c r="E858" s="308"/>
      <c r="F858" s="308"/>
      <c r="G858" s="308"/>
      <c r="H858" s="308"/>
      <c r="I858" s="308"/>
      <c r="J858" s="308"/>
      <c r="K858" s="308"/>
      <c r="L858" s="308"/>
      <c r="M858" s="308"/>
      <c r="N858" s="308"/>
      <c r="O858" s="308"/>
      <c r="P858" s="308"/>
      <c r="Q858" s="308"/>
      <c r="R858" s="308"/>
      <c r="S858" s="308"/>
      <c r="T858" s="308"/>
      <c r="U858" s="308"/>
      <c r="V858" s="308"/>
      <c r="W858" s="308"/>
      <c r="X858" s="308"/>
      <c r="Y858" s="308"/>
      <c r="Z858" s="308"/>
    </row>
    <row r="859">
      <c r="A859" s="308"/>
      <c r="B859" s="308"/>
      <c r="C859" s="308"/>
      <c r="D859" s="308"/>
      <c r="E859" s="308"/>
      <c r="F859" s="308"/>
      <c r="G859" s="308"/>
      <c r="H859" s="308"/>
      <c r="I859" s="308"/>
      <c r="J859" s="308"/>
      <c r="K859" s="308"/>
      <c r="L859" s="308"/>
      <c r="M859" s="308"/>
      <c r="N859" s="308"/>
      <c r="O859" s="308"/>
      <c r="P859" s="308"/>
      <c r="Q859" s="308"/>
      <c r="R859" s="308"/>
      <c r="S859" s="308"/>
      <c r="T859" s="308"/>
      <c r="U859" s="308"/>
      <c r="V859" s="308"/>
      <c r="W859" s="308"/>
      <c r="X859" s="308"/>
      <c r="Y859" s="308"/>
      <c r="Z859" s="308"/>
    </row>
    <row r="860">
      <c r="A860" s="308"/>
      <c r="B860" s="308"/>
      <c r="C860" s="308"/>
      <c r="D860" s="308"/>
      <c r="E860" s="308"/>
      <c r="F860" s="308"/>
      <c r="G860" s="308"/>
      <c r="H860" s="308"/>
      <c r="I860" s="308"/>
      <c r="J860" s="308"/>
      <c r="K860" s="308"/>
      <c r="L860" s="308"/>
      <c r="M860" s="308"/>
      <c r="N860" s="308"/>
      <c r="O860" s="308"/>
      <c r="P860" s="308"/>
      <c r="Q860" s="308"/>
      <c r="R860" s="308"/>
      <c r="S860" s="308"/>
      <c r="T860" s="308"/>
      <c r="U860" s="308"/>
      <c r="V860" s="308"/>
      <c r="W860" s="308"/>
      <c r="X860" s="308"/>
      <c r="Y860" s="308"/>
      <c r="Z860" s="308"/>
    </row>
    <row r="861">
      <c r="A861" s="308"/>
      <c r="B861" s="308"/>
      <c r="C861" s="308"/>
      <c r="D861" s="308"/>
      <c r="E861" s="308"/>
      <c r="F861" s="308"/>
      <c r="G861" s="308"/>
      <c r="H861" s="308"/>
      <c r="I861" s="308"/>
      <c r="J861" s="308"/>
      <c r="K861" s="308"/>
      <c r="L861" s="308"/>
      <c r="M861" s="308"/>
      <c r="N861" s="308"/>
      <c r="O861" s="308"/>
      <c r="P861" s="308"/>
      <c r="Q861" s="308"/>
      <c r="R861" s="308"/>
      <c r="S861" s="308"/>
      <c r="T861" s="308"/>
      <c r="U861" s="308"/>
      <c r="V861" s="308"/>
      <c r="W861" s="308"/>
      <c r="X861" s="308"/>
      <c r="Y861" s="308"/>
      <c r="Z861" s="308"/>
    </row>
    <row r="862">
      <c r="A862" s="308"/>
      <c r="B862" s="308"/>
      <c r="C862" s="308"/>
      <c r="D862" s="308"/>
      <c r="E862" s="308"/>
      <c r="F862" s="308"/>
      <c r="G862" s="308"/>
      <c r="H862" s="308"/>
      <c r="I862" s="308"/>
      <c r="J862" s="308"/>
      <c r="K862" s="308"/>
      <c r="L862" s="308"/>
      <c r="M862" s="308"/>
      <c r="N862" s="308"/>
      <c r="O862" s="308"/>
      <c r="P862" s="308"/>
      <c r="Q862" s="308"/>
      <c r="R862" s="308"/>
      <c r="S862" s="308"/>
      <c r="T862" s="308"/>
      <c r="U862" s="308"/>
      <c r="V862" s="308"/>
      <c r="W862" s="308"/>
      <c r="X862" s="308"/>
      <c r="Y862" s="308"/>
      <c r="Z862" s="308"/>
    </row>
    <row r="863">
      <c r="A863" s="308"/>
      <c r="B863" s="308"/>
      <c r="C863" s="308"/>
      <c r="D863" s="308"/>
      <c r="E863" s="308"/>
      <c r="F863" s="308"/>
      <c r="G863" s="308"/>
      <c r="H863" s="308"/>
      <c r="I863" s="308"/>
      <c r="J863" s="308"/>
      <c r="K863" s="308"/>
      <c r="L863" s="308"/>
      <c r="M863" s="308"/>
      <c r="N863" s="308"/>
      <c r="O863" s="308"/>
      <c r="P863" s="308"/>
      <c r="Q863" s="308"/>
      <c r="R863" s="308"/>
      <c r="S863" s="308"/>
      <c r="T863" s="308"/>
      <c r="U863" s="308"/>
      <c r="V863" s="308"/>
      <c r="W863" s="308"/>
      <c r="X863" s="308"/>
      <c r="Y863" s="308"/>
      <c r="Z863" s="308"/>
    </row>
    <row r="864">
      <c r="A864" s="308"/>
      <c r="B864" s="308"/>
      <c r="C864" s="308"/>
      <c r="D864" s="308"/>
      <c r="E864" s="308"/>
      <c r="F864" s="308"/>
      <c r="G864" s="308"/>
      <c r="H864" s="308"/>
      <c r="I864" s="308"/>
      <c r="J864" s="308"/>
      <c r="K864" s="308"/>
      <c r="L864" s="308"/>
      <c r="M864" s="308"/>
      <c r="N864" s="308"/>
      <c r="O864" s="308"/>
      <c r="P864" s="308"/>
      <c r="Q864" s="308"/>
      <c r="R864" s="308"/>
      <c r="S864" s="308"/>
      <c r="T864" s="308"/>
      <c r="U864" s="308"/>
      <c r="V864" s="308"/>
      <c r="W864" s="308"/>
      <c r="X864" s="308"/>
      <c r="Y864" s="308"/>
      <c r="Z864" s="308"/>
    </row>
    <row r="865">
      <c r="A865" s="308"/>
      <c r="B865" s="308"/>
      <c r="C865" s="308"/>
      <c r="D865" s="308"/>
      <c r="E865" s="308"/>
      <c r="F865" s="308"/>
      <c r="G865" s="308"/>
      <c r="H865" s="308"/>
      <c r="I865" s="308"/>
      <c r="J865" s="308"/>
      <c r="K865" s="308"/>
      <c r="L865" s="308"/>
      <c r="M865" s="308"/>
      <c r="N865" s="308"/>
      <c r="O865" s="308"/>
      <c r="P865" s="308"/>
      <c r="Q865" s="308"/>
      <c r="R865" s="308"/>
      <c r="S865" s="308"/>
      <c r="T865" s="308"/>
      <c r="U865" s="308"/>
      <c r="V865" s="308"/>
      <c r="W865" s="308"/>
      <c r="X865" s="308"/>
      <c r="Y865" s="308"/>
      <c r="Z865" s="308"/>
    </row>
    <row r="866">
      <c r="A866" s="308"/>
      <c r="B866" s="308"/>
      <c r="C866" s="308"/>
      <c r="D866" s="308"/>
      <c r="E866" s="308"/>
      <c r="F866" s="308"/>
      <c r="G866" s="308"/>
      <c r="H866" s="308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  <c r="Z866" s="308"/>
    </row>
    <row r="867">
      <c r="A867" s="308"/>
      <c r="B867" s="308"/>
      <c r="C867" s="308"/>
      <c r="D867" s="308"/>
      <c r="E867" s="308"/>
      <c r="F867" s="308"/>
      <c r="G867" s="308"/>
      <c r="H867" s="308"/>
      <c r="I867" s="308"/>
      <c r="J867" s="308"/>
      <c r="K867" s="308"/>
      <c r="L867" s="308"/>
      <c r="M867" s="308"/>
      <c r="N867" s="308"/>
      <c r="O867" s="308"/>
      <c r="P867" s="308"/>
      <c r="Q867" s="308"/>
      <c r="R867" s="308"/>
      <c r="S867" s="308"/>
      <c r="T867" s="308"/>
      <c r="U867" s="308"/>
      <c r="V867" s="308"/>
      <c r="W867" s="308"/>
      <c r="X867" s="308"/>
      <c r="Y867" s="308"/>
      <c r="Z867" s="308"/>
    </row>
    <row r="868">
      <c r="A868" s="308"/>
      <c r="B868" s="308"/>
      <c r="C868" s="308"/>
      <c r="D868" s="308"/>
      <c r="E868" s="308"/>
      <c r="F868" s="308"/>
      <c r="G868" s="308"/>
      <c r="H868" s="308"/>
      <c r="I868" s="308"/>
      <c r="J868" s="308"/>
      <c r="K868" s="308"/>
      <c r="L868" s="308"/>
      <c r="M868" s="308"/>
      <c r="N868" s="308"/>
      <c r="O868" s="308"/>
      <c r="P868" s="308"/>
      <c r="Q868" s="308"/>
      <c r="R868" s="308"/>
      <c r="S868" s="308"/>
      <c r="T868" s="308"/>
      <c r="U868" s="308"/>
      <c r="V868" s="308"/>
      <c r="W868" s="308"/>
      <c r="X868" s="308"/>
      <c r="Y868" s="308"/>
      <c r="Z868" s="308"/>
    </row>
    <row r="869">
      <c r="A869" s="308"/>
      <c r="B869" s="308"/>
      <c r="C869" s="308"/>
      <c r="D869" s="308"/>
      <c r="E869" s="308"/>
      <c r="F869" s="308"/>
      <c r="G869" s="308"/>
      <c r="H869" s="308"/>
      <c r="I869" s="308"/>
      <c r="J869" s="308"/>
      <c r="K869" s="308"/>
      <c r="L869" s="308"/>
      <c r="M869" s="308"/>
      <c r="N869" s="308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  <c r="Z869" s="308"/>
    </row>
    <row r="870">
      <c r="A870" s="308"/>
      <c r="B870" s="308"/>
      <c r="C870" s="308"/>
      <c r="D870" s="308"/>
      <c r="E870" s="308"/>
      <c r="F870" s="308"/>
      <c r="G870" s="308"/>
      <c r="H870" s="308"/>
      <c r="I870" s="308"/>
      <c r="J870" s="308"/>
      <c r="K870" s="308"/>
      <c r="L870" s="308"/>
      <c r="M870" s="308"/>
      <c r="N870" s="308"/>
      <c r="O870" s="308"/>
      <c r="P870" s="308"/>
      <c r="Q870" s="308"/>
      <c r="R870" s="308"/>
      <c r="S870" s="308"/>
      <c r="T870" s="308"/>
      <c r="U870" s="308"/>
      <c r="V870" s="308"/>
      <c r="W870" s="308"/>
      <c r="X870" s="308"/>
      <c r="Y870" s="308"/>
      <c r="Z870" s="308"/>
    </row>
    <row r="871">
      <c r="A871" s="308"/>
      <c r="B871" s="308"/>
      <c r="C871" s="308"/>
      <c r="D871" s="308"/>
      <c r="E871" s="308"/>
      <c r="F871" s="308"/>
      <c r="G871" s="308"/>
      <c r="H871" s="308"/>
      <c r="I871" s="308"/>
      <c r="J871" s="308"/>
      <c r="K871" s="308"/>
      <c r="L871" s="308"/>
      <c r="M871" s="308"/>
      <c r="N871" s="308"/>
      <c r="O871" s="308"/>
      <c r="P871" s="308"/>
      <c r="Q871" s="308"/>
      <c r="R871" s="308"/>
      <c r="S871" s="308"/>
      <c r="T871" s="308"/>
      <c r="U871" s="308"/>
      <c r="V871" s="308"/>
      <c r="W871" s="308"/>
      <c r="X871" s="308"/>
      <c r="Y871" s="308"/>
      <c r="Z871" s="308"/>
    </row>
    <row r="872">
      <c r="A872" s="308"/>
      <c r="B872" s="308"/>
      <c r="C872" s="308"/>
      <c r="D872" s="308"/>
      <c r="E872" s="308"/>
      <c r="F872" s="308"/>
      <c r="G872" s="308"/>
      <c r="H872" s="308"/>
      <c r="I872" s="308"/>
      <c r="J872" s="308"/>
      <c r="K872" s="308"/>
      <c r="L872" s="308"/>
      <c r="M872" s="308"/>
      <c r="N872" s="308"/>
      <c r="O872" s="308"/>
      <c r="P872" s="308"/>
      <c r="Q872" s="308"/>
      <c r="R872" s="308"/>
      <c r="S872" s="308"/>
      <c r="T872" s="308"/>
      <c r="U872" s="308"/>
      <c r="V872" s="308"/>
      <c r="W872" s="308"/>
      <c r="X872" s="308"/>
      <c r="Y872" s="308"/>
      <c r="Z872" s="308"/>
    </row>
    <row r="873">
      <c r="A873" s="308"/>
      <c r="B873" s="308"/>
      <c r="C873" s="308"/>
      <c r="D873" s="308"/>
      <c r="E873" s="308"/>
      <c r="F873" s="308"/>
      <c r="G873" s="308"/>
      <c r="H873" s="308"/>
      <c r="I873" s="308"/>
      <c r="J873" s="308"/>
      <c r="K873" s="308"/>
      <c r="L873" s="308"/>
      <c r="M873" s="308"/>
      <c r="N873" s="308"/>
      <c r="O873" s="308"/>
      <c r="P873" s="308"/>
      <c r="Q873" s="308"/>
      <c r="R873" s="308"/>
      <c r="S873" s="308"/>
      <c r="T873" s="308"/>
      <c r="U873" s="308"/>
      <c r="V873" s="308"/>
      <c r="W873" s="308"/>
      <c r="X873" s="308"/>
      <c r="Y873" s="308"/>
      <c r="Z873" s="308"/>
    </row>
    <row r="874">
      <c r="A874" s="308"/>
      <c r="B874" s="308"/>
      <c r="C874" s="308"/>
      <c r="D874" s="308"/>
      <c r="E874" s="308"/>
      <c r="F874" s="308"/>
      <c r="G874" s="308"/>
      <c r="H874" s="308"/>
      <c r="I874" s="308"/>
      <c r="J874" s="308"/>
      <c r="K874" s="308"/>
      <c r="L874" s="308"/>
      <c r="M874" s="308"/>
      <c r="N874" s="308"/>
      <c r="O874" s="308"/>
      <c r="P874" s="308"/>
      <c r="Q874" s="308"/>
      <c r="R874" s="308"/>
      <c r="S874" s="308"/>
      <c r="T874" s="308"/>
      <c r="U874" s="308"/>
      <c r="V874" s="308"/>
      <c r="W874" s="308"/>
      <c r="X874" s="308"/>
      <c r="Y874" s="308"/>
      <c r="Z874" s="308"/>
    </row>
    <row r="875">
      <c r="A875" s="308"/>
      <c r="B875" s="308"/>
      <c r="C875" s="308"/>
      <c r="D875" s="308"/>
      <c r="E875" s="308"/>
      <c r="F875" s="308"/>
      <c r="G875" s="308"/>
      <c r="H875" s="308"/>
      <c r="I875" s="308"/>
      <c r="J875" s="308"/>
      <c r="K875" s="308"/>
      <c r="L875" s="308"/>
      <c r="M875" s="308"/>
      <c r="N875" s="308"/>
      <c r="O875" s="308"/>
      <c r="P875" s="308"/>
      <c r="Q875" s="308"/>
      <c r="R875" s="308"/>
      <c r="S875" s="308"/>
      <c r="T875" s="308"/>
      <c r="U875" s="308"/>
      <c r="V875" s="308"/>
      <c r="W875" s="308"/>
      <c r="X875" s="308"/>
      <c r="Y875" s="308"/>
      <c r="Z875" s="308"/>
    </row>
    <row r="876">
      <c r="A876" s="308"/>
      <c r="B876" s="308"/>
      <c r="C876" s="308"/>
      <c r="D876" s="308"/>
      <c r="E876" s="308"/>
      <c r="F876" s="308"/>
      <c r="G876" s="308"/>
      <c r="H876" s="308"/>
      <c r="I876" s="308"/>
      <c r="J876" s="308"/>
      <c r="K876" s="308"/>
      <c r="L876" s="308"/>
      <c r="M876" s="308"/>
      <c r="N876" s="308"/>
      <c r="O876" s="308"/>
      <c r="P876" s="308"/>
      <c r="Q876" s="308"/>
      <c r="R876" s="308"/>
      <c r="S876" s="308"/>
      <c r="T876" s="308"/>
      <c r="U876" s="308"/>
      <c r="V876" s="308"/>
      <c r="W876" s="308"/>
      <c r="X876" s="308"/>
      <c r="Y876" s="308"/>
      <c r="Z876" s="308"/>
    </row>
    <row r="877">
      <c r="A877" s="308"/>
      <c r="B877" s="308"/>
      <c r="C877" s="308"/>
      <c r="D877" s="308"/>
      <c r="E877" s="308"/>
      <c r="F877" s="308"/>
      <c r="G877" s="308"/>
      <c r="H877" s="308"/>
      <c r="I877" s="308"/>
      <c r="J877" s="308"/>
      <c r="K877" s="308"/>
      <c r="L877" s="308"/>
      <c r="M877" s="308"/>
      <c r="N877" s="308"/>
      <c r="O877" s="308"/>
      <c r="P877" s="308"/>
      <c r="Q877" s="308"/>
      <c r="R877" s="308"/>
      <c r="S877" s="308"/>
      <c r="T877" s="308"/>
      <c r="U877" s="308"/>
      <c r="V877" s="308"/>
      <c r="W877" s="308"/>
      <c r="X877" s="308"/>
      <c r="Y877" s="308"/>
      <c r="Z877" s="308"/>
    </row>
    <row r="878">
      <c r="A878" s="308"/>
      <c r="B878" s="308"/>
      <c r="C878" s="308"/>
      <c r="D878" s="308"/>
      <c r="E878" s="308"/>
      <c r="F878" s="308"/>
      <c r="G878" s="308"/>
      <c r="H878" s="308"/>
      <c r="I878" s="308"/>
      <c r="J878" s="308"/>
      <c r="K878" s="308"/>
      <c r="L878" s="308"/>
      <c r="M878" s="308"/>
      <c r="N878" s="308"/>
      <c r="O878" s="308"/>
      <c r="P878" s="308"/>
      <c r="Q878" s="308"/>
      <c r="R878" s="308"/>
      <c r="S878" s="308"/>
      <c r="T878" s="308"/>
      <c r="U878" s="308"/>
      <c r="V878" s="308"/>
      <c r="W878" s="308"/>
      <c r="X878" s="308"/>
      <c r="Y878" s="308"/>
      <c r="Z878" s="308"/>
    </row>
    <row r="879">
      <c r="A879" s="308"/>
      <c r="B879" s="308"/>
      <c r="C879" s="308"/>
      <c r="D879" s="308"/>
      <c r="E879" s="308"/>
      <c r="F879" s="308"/>
      <c r="G879" s="308"/>
      <c r="H879" s="308"/>
      <c r="I879" s="308"/>
      <c r="J879" s="308"/>
      <c r="K879" s="308"/>
      <c r="L879" s="308"/>
      <c r="M879" s="308"/>
      <c r="N879" s="308"/>
      <c r="O879" s="308"/>
      <c r="P879" s="308"/>
      <c r="Q879" s="308"/>
      <c r="R879" s="308"/>
      <c r="S879" s="308"/>
      <c r="T879" s="308"/>
      <c r="U879" s="308"/>
      <c r="V879" s="308"/>
      <c r="W879" s="308"/>
      <c r="X879" s="308"/>
      <c r="Y879" s="308"/>
      <c r="Z879" s="308"/>
    </row>
    <row r="880">
      <c r="A880" s="308"/>
      <c r="B880" s="308"/>
      <c r="C880" s="308"/>
      <c r="D880" s="308"/>
      <c r="E880" s="308"/>
      <c r="F880" s="308"/>
      <c r="G880" s="308"/>
      <c r="H880" s="308"/>
      <c r="I880" s="308"/>
      <c r="J880" s="308"/>
      <c r="K880" s="308"/>
      <c r="L880" s="308"/>
      <c r="M880" s="308"/>
      <c r="N880" s="308"/>
      <c r="O880" s="308"/>
      <c r="P880" s="308"/>
      <c r="Q880" s="308"/>
      <c r="R880" s="308"/>
      <c r="S880" s="308"/>
      <c r="T880" s="308"/>
      <c r="U880" s="308"/>
      <c r="V880" s="308"/>
      <c r="W880" s="308"/>
      <c r="X880" s="308"/>
      <c r="Y880" s="308"/>
      <c r="Z880" s="308"/>
    </row>
    <row r="881">
      <c r="A881" s="308"/>
      <c r="B881" s="308"/>
      <c r="C881" s="308"/>
      <c r="D881" s="308"/>
      <c r="E881" s="308"/>
      <c r="F881" s="308"/>
      <c r="G881" s="308"/>
      <c r="H881" s="308"/>
      <c r="I881" s="308"/>
      <c r="J881" s="308"/>
      <c r="K881" s="308"/>
      <c r="L881" s="308"/>
      <c r="M881" s="308"/>
      <c r="N881" s="308"/>
      <c r="O881" s="308"/>
      <c r="P881" s="308"/>
      <c r="Q881" s="308"/>
      <c r="R881" s="308"/>
      <c r="S881" s="308"/>
      <c r="T881" s="308"/>
      <c r="U881" s="308"/>
      <c r="V881" s="308"/>
      <c r="W881" s="308"/>
      <c r="X881" s="308"/>
      <c r="Y881" s="308"/>
      <c r="Z881" s="308"/>
    </row>
    <row r="882">
      <c r="A882" s="308"/>
      <c r="B882" s="308"/>
      <c r="C882" s="308"/>
      <c r="D882" s="308"/>
      <c r="E882" s="308"/>
      <c r="F882" s="308"/>
      <c r="G882" s="308"/>
      <c r="H882" s="308"/>
      <c r="I882" s="308"/>
      <c r="J882" s="308"/>
      <c r="K882" s="308"/>
      <c r="L882" s="308"/>
      <c r="M882" s="308"/>
      <c r="N882" s="308"/>
      <c r="O882" s="308"/>
      <c r="P882" s="308"/>
      <c r="Q882" s="308"/>
      <c r="R882" s="308"/>
      <c r="S882" s="308"/>
      <c r="T882" s="308"/>
      <c r="U882" s="308"/>
      <c r="V882" s="308"/>
      <c r="W882" s="308"/>
      <c r="X882" s="308"/>
      <c r="Y882" s="308"/>
      <c r="Z882" s="308"/>
    </row>
    <row r="883">
      <c r="A883" s="308"/>
      <c r="B883" s="308"/>
      <c r="C883" s="308"/>
      <c r="D883" s="308"/>
      <c r="E883" s="308"/>
      <c r="F883" s="308"/>
      <c r="G883" s="308"/>
      <c r="H883" s="308"/>
      <c r="I883" s="308"/>
      <c r="J883" s="308"/>
      <c r="K883" s="308"/>
      <c r="L883" s="308"/>
      <c r="M883" s="308"/>
      <c r="N883" s="308"/>
      <c r="O883" s="308"/>
      <c r="P883" s="308"/>
      <c r="Q883" s="308"/>
      <c r="R883" s="308"/>
      <c r="S883" s="308"/>
      <c r="T883" s="308"/>
      <c r="U883" s="308"/>
      <c r="V883" s="308"/>
      <c r="W883" s="308"/>
      <c r="X883" s="308"/>
      <c r="Y883" s="308"/>
      <c r="Z883" s="308"/>
    </row>
    <row r="884">
      <c r="A884" s="308"/>
      <c r="B884" s="308"/>
      <c r="C884" s="308"/>
      <c r="D884" s="308"/>
      <c r="E884" s="308"/>
      <c r="F884" s="308"/>
      <c r="G884" s="308"/>
      <c r="H884" s="308"/>
      <c r="I884" s="308"/>
      <c r="J884" s="308"/>
      <c r="K884" s="308"/>
      <c r="L884" s="308"/>
      <c r="M884" s="308"/>
      <c r="N884" s="308"/>
      <c r="O884" s="308"/>
      <c r="P884" s="308"/>
      <c r="Q884" s="308"/>
      <c r="R884" s="308"/>
      <c r="S884" s="308"/>
      <c r="T884" s="308"/>
      <c r="U884" s="308"/>
      <c r="V884" s="308"/>
      <c r="W884" s="308"/>
      <c r="X884" s="308"/>
      <c r="Y884" s="308"/>
      <c r="Z884" s="308"/>
    </row>
    <row r="885">
      <c r="A885" s="308"/>
      <c r="B885" s="308"/>
      <c r="C885" s="308"/>
      <c r="D885" s="308"/>
      <c r="E885" s="308"/>
      <c r="F885" s="308"/>
      <c r="G885" s="308"/>
      <c r="H885" s="308"/>
      <c r="I885" s="308"/>
      <c r="J885" s="308"/>
      <c r="K885" s="308"/>
      <c r="L885" s="308"/>
      <c r="M885" s="308"/>
      <c r="N885" s="308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  <c r="Z885" s="308"/>
    </row>
    <row r="886">
      <c r="A886" s="308"/>
      <c r="B886" s="308"/>
      <c r="C886" s="308"/>
      <c r="D886" s="308"/>
      <c r="E886" s="308"/>
      <c r="F886" s="308"/>
      <c r="G886" s="308"/>
      <c r="H886" s="308"/>
      <c r="I886" s="308"/>
      <c r="J886" s="308"/>
      <c r="K886" s="308"/>
      <c r="L886" s="308"/>
      <c r="M886" s="308"/>
      <c r="N886" s="308"/>
      <c r="O886" s="308"/>
      <c r="P886" s="308"/>
      <c r="Q886" s="308"/>
      <c r="R886" s="308"/>
      <c r="S886" s="308"/>
      <c r="T886" s="308"/>
      <c r="U886" s="308"/>
      <c r="V886" s="308"/>
      <c r="W886" s="308"/>
      <c r="X886" s="308"/>
      <c r="Y886" s="308"/>
      <c r="Z886" s="308"/>
    </row>
    <row r="887">
      <c r="A887" s="308"/>
      <c r="B887" s="308"/>
      <c r="C887" s="308"/>
      <c r="D887" s="308"/>
      <c r="E887" s="308"/>
      <c r="F887" s="308"/>
      <c r="G887" s="308"/>
      <c r="H887" s="308"/>
      <c r="I887" s="308"/>
      <c r="J887" s="308"/>
      <c r="K887" s="308"/>
      <c r="L887" s="308"/>
      <c r="M887" s="308"/>
      <c r="N887" s="308"/>
      <c r="O887" s="308"/>
      <c r="P887" s="308"/>
      <c r="Q887" s="308"/>
      <c r="R887" s="308"/>
      <c r="S887" s="308"/>
      <c r="T887" s="308"/>
      <c r="U887" s="308"/>
      <c r="V887" s="308"/>
      <c r="W887" s="308"/>
      <c r="X887" s="308"/>
      <c r="Y887" s="308"/>
      <c r="Z887" s="308"/>
    </row>
    <row r="888">
      <c r="A888" s="308"/>
      <c r="B888" s="308"/>
      <c r="C888" s="308"/>
      <c r="D888" s="308"/>
      <c r="E888" s="308"/>
      <c r="F888" s="308"/>
      <c r="G888" s="308"/>
      <c r="H888" s="308"/>
      <c r="I888" s="308"/>
      <c r="J888" s="308"/>
      <c r="K888" s="308"/>
      <c r="L888" s="308"/>
      <c r="M888" s="308"/>
      <c r="N888" s="308"/>
      <c r="O888" s="308"/>
      <c r="P888" s="308"/>
      <c r="Q888" s="308"/>
      <c r="R888" s="308"/>
      <c r="S888" s="308"/>
      <c r="T888" s="308"/>
      <c r="U888" s="308"/>
      <c r="V888" s="308"/>
      <c r="W888" s="308"/>
      <c r="X888" s="308"/>
      <c r="Y888" s="308"/>
      <c r="Z888" s="308"/>
    </row>
    <row r="889">
      <c r="A889" s="308"/>
      <c r="B889" s="308"/>
      <c r="C889" s="308"/>
      <c r="D889" s="308"/>
      <c r="E889" s="308"/>
      <c r="F889" s="308"/>
      <c r="G889" s="308"/>
      <c r="H889" s="308"/>
      <c r="I889" s="308"/>
      <c r="J889" s="308"/>
      <c r="K889" s="308"/>
      <c r="L889" s="308"/>
      <c r="M889" s="308"/>
      <c r="N889" s="308"/>
      <c r="O889" s="308"/>
      <c r="P889" s="308"/>
      <c r="Q889" s="308"/>
      <c r="R889" s="308"/>
      <c r="S889" s="308"/>
      <c r="T889" s="308"/>
      <c r="U889" s="308"/>
      <c r="V889" s="308"/>
      <c r="W889" s="308"/>
      <c r="X889" s="308"/>
      <c r="Y889" s="308"/>
      <c r="Z889" s="308"/>
    </row>
    <row r="890">
      <c r="A890" s="308"/>
      <c r="B890" s="308"/>
      <c r="C890" s="308"/>
      <c r="D890" s="308"/>
      <c r="E890" s="308"/>
      <c r="F890" s="308"/>
      <c r="G890" s="308"/>
      <c r="H890" s="308"/>
      <c r="I890" s="308"/>
      <c r="J890" s="308"/>
      <c r="K890" s="308"/>
      <c r="L890" s="308"/>
      <c r="M890" s="308"/>
      <c r="N890" s="308"/>
      <c r="O890" s="308"/>
      <c r="P890" s="308"/>
      <c r="Q890" s="308"/>
      <c r="R890" s="308"/>
      <c r="S890" s="308"/>
      <c r="T890" s="308"/>
      <c r="U890" s="308"/>
      <c r="V890" s="308"/>
      <c r="W890" s="308"/>
      <c r="X890" s="308"/>
      <c r="Y890" s="308"/>
      <c r="Z890" s="308"/>
    </row>
    <row r="891">
      <c r="A891" s="308"/>
      <c r="B891" s="308"/>
      <c r="C891" s="308"/>
      <c r="D891" s="308"/>
      <c r="E891" s="308"/>
      <c r="F891" s="308"/>
      <c r="G891" s="308"/>
      <c r="H891" s="308"/>
      <c r="I891" s="308"/>
      <c r="J891" s="308"/>
      <c r="K891" s="308"/>
      <c r="L891" s="308"/>
      <c r="M891" s="308"/>
      <c r="N891" s="308"/>
      <c r="O891" s="308"/>
      <c r="P891" s="308"/>
      <c r="Q891" s="308"/>
      <c r="R891" s="308"/>
      <c r="S891" s="308"/>
      <c r="T891" s="308"/>
      <c r="U891" s="308"/>
      <c r="V891" s="308"/>
      <c r="W891" s="308"/>
      <c r="X891" s="308"/>
      <c r="Y891" s="308"/>
      <c r="Z891" s="308"/>
    </row>
    <row r="892">
      <c r="A892" s="308"/>
      <c r="B892" s="308"/>
      <c r="C892" s="308"/>
      <c r="D892" s="308"/>
      <c r="E892" s="308"/>
      <c r="F892" s="308"/>
      <c r="G892" s="308"/>
      <c r="H892" s="308"/>
      <c r="I892" s="308"/>
      <c r="J892" s="308"/>
      <c r="K892" s="308"/>
      <c r="L892" s="308"/>
      <c r="M892" s="308"/>
      <c r="N892" s="308"/>
      <c r="O892" s="308"/>
      <c r="P892" s="308"/>
      <c r="Q892" s="308"/>
      <c r="R892" s="308"/>
      <c r="S892" s="308"/>
      <c r="T892" s="308"/>
      <c r="U892" s="308"/>
      <c r="V892" s="308"/>
      <c r="W892" s="308"/>
      <c r="X892" s="308"/>
      <c r="Y892" s="308"/>
      <c r="Z892" s="308"/>
    </row>
    <row r="893">
      <c r="A893" s="308"/>
      <c r="B893" s="308"/>
      <c r="C893" s="308"/>
      <c r="D893" s="308"/>
      <c r="E893" s="308"/>
      <c r="F893" s="308"/>
      <c r="G893" s="308"/>
      <c r="H893" s="308"/>
      <c r="I893" s="308"/>
      <c r="J893" s="308"/>
      <c r="K893" s="308"/>
      <c r="L893" s="308"/>
      <c r="M893" s="308"/>
      <c r="N893" s="308"/>
      <c r="O893" s="308"/>
      <c r="P893" s="308"/>
      <c r="Q893" s="308"/>
      <c r="R893" s="308"/>
      <c r="S893" s="308"/>
      <c r="T893" s="308"/>
      <c r="U893" s="308"/>
      <c r="V893" s="308"/>
      <c r="W893" s="308"/>
      <c r="X893" s="308"/>
      <c r="Y893" s="308"/>
      <c r="Z893" s="308"/>
    </row>
    <row r="894">
      <c r="A894" s="308"/>
      <c r="B894" s="308"/>
      <c r="C894" s="308"/>
      <c r="D894" s="308"/>
      <c r="E894" s="308"/>
      <c r="F894" s="308"/>
      <c r="G894" s="308"/>
      <c r="H894" s="308"/>
      <c r="I894" s="308"/>
      <c r="J894" s="308"/>
      <c r="K894" s="308"/>
      <c r="L894" s="308"/>
      <c r="M894" s="308"/>
      <c r="N894" s="308"/>
      <c r="O894" s="308"/>
      <c r="P894" s="308"/>
      <c r="Q894" s="308"/>
      <c r="R894" s="308"/>
      <c r="S894" s="308"/>
      <c r="T894" s="308"/>
      <c r="U894" s="308"/>
      <c r="V894" s="308"/>
      <c r="W894" s="308"/>
      <c r="X894" s="308"/>
      <c r="Y894" s="308"/>
      <c r="Z894" s="308"/>
    </row>
    <row r="895">
      <c r="A895" s="308"/>
      <c r="B895" s="308"/>
      <c r="C895" s="308"/>
      <c r="D895" s="308"/>
      <c r="E895" s="308"/>
      <c r="F895" s="308"/>
      <c r="G895" s="308"/>
      <c r="H895" s="308"/>
      <c r="I895" s="308"/>
      <c r="J895" s="308"/>
      <c r="K895" s="308"/>
      <c r="L895" s="308"/>
      <c r="M895" s="308"/>
      <c r="N895" s="308"/>
      <c r="O895" s="308"/>
      <c r="P895" s="308"/>
      <c r="Q895" s="308"/>
      <c r="R895" s="308"/>
      <c r="S895" s="308"/>
      <c r="T895" s="308"/>
      <c r="U895" s="308"/>
      <c r="V895" s="308"/>
      <c r="W895" s="308"/>
      <c r="X895" s="308"/>
      <c r="Y895" s="308"/>
      <c r="Z895" s="308"/>
    </row>
    <row r="896">
      <c r="A896" s="308"/>
      <c r="B896" s="308"/>
      <c r="C896" s="308"/>
      <c r="D896" s="308"/>
      <c r="E896" s="308"/>
      <c r="F896" s="308"/>
      <c r="G896" s="308"/>
      <c r="H896" s="308"/>
      <c r="I896" s="308"/>
      <c r="J896" s="308"/>
      <c r="K896" s="308"/>
      <c r="L896" s="308"/>
      <c r="M896" s="308"/>
      <c r="N896" s="308"/>
      <c r="O896" s="308"/>
      <c r="P896" s="308"/>
      <c r="Q896" s="308"/>
      <c r="R896" s="308"/>
      <c r="S896" s="308"/>
      <c r="T896" s="308"/>
      <c r="U896" s="308"/>
      <c r="V896" s="308"/>
      <c r="W896" s="308"/>
      <c r="X896" s="308"/>
      <c r="Y896" s="308"/>
      <c r="Z896" s="308"/>
    </row>
    <row r="897">
      <c r="A897" s="308"/>
      <c r="B897" s="308"/>
      <c r="C897" s="308"/>
      <c r="D897" s="308"/>
      <c r="E897" s="308"/>
      <c r="F897" s="308"/>
      <c r="G897" s="308"/>
      <c r="H897" s="308"/>
      <c r="I897" s="308"/>
      <c r="J897" s="308"/>
      <c r="K897" s="308"/>
      <c r="L897" s="308"/>
      <c r="M897" s="308"/>
      <c r="N897" s="308"/>
      <c r="O897" s="308"/>
      <c r="P897" s="308"/>
      <c r="Q897" s="308"/>
      <c r="R897" s="308"/>
      <c r="S897" s="308"/>
      <c r="T897" s="308"/>
      <c r="U897" s="308"/>
      <c r="V897" s="308"/>
      <c r="W897" s="308"/>
      <c r="X897" s="308"/>
      <c r="Y897" s="308"/>
      <c r="Z897" s="308"/>
    </row>
    <row r="898">
      <c r="A898" s="308"/>
      <c r="B898" s="308"/>
      <c r="C898" s="308"/>
      <c r="D898" s="308"/>
      <c r="E898" s="308"/>
      <c r="F898" s="308"/>
      <c r="G898" s="308"/>
      <c r="H898" s="308"/>
      <c r="I898" s="308"/>
      <c r="J898" s="308"/>
      <c r="K898" s="308"/>
      <c r="L898" s="308"/>
      <c r="M898" s="308"/>
      <c r="N898" s="308"/>
      <c r="O898" s="308"/>
      <c r="P898" s="308"/>
      <c r="Q898" s="308"/>
      <c r="R898" s="308"/>
      <c r="S898" s="308"/>
      <c r="T898" s="308"/>
      <c r="U898" s="308"/>
      <c r="V898" s="308"/>
      <c r="W898" s="308"/>
      <c r="X898" s="308"/>
      <c r="Y898" s="308"/>
      <c r="Z898" s="308"/>
    </row>
    <row r="899">
      <c r="A899" s="308"/>
      <c r="B899" s="308"/>
      <c r="C899" s="308"/>
      <c r="D899" s="308"/>
      <c r="E899" s="308"/>
      <c r="F899" s="308"/>
      <c r="G899" s="308"/>
      <c r="H899" s="308"/>
      <c r="I899" s="308"/>
      <c r="J899" s="308"/>
      <c r="K899" s="308"/>
      <c r="L899" s="308"/>
      <c r="M899" s="308"/>
      <c r="N899" s="308"/>
      <c r="O899" s="308"/>
      <c r="P899" s="308"/>
      <c r="Q899" s="308"/>
      <c r="R899" s="308"/>
      <c r="S899" s="308"/>
      <c r="T899" s="308"/>
      <c r="U899" s="308"/>
      <c r="V899" s="308"/>
      <c r="W899" s="308"/>
      <c r="X899" s="308"/>
      <c r="Y899" s="308"/>
      <c r="Z899" s="308"/>
    </row>
    <row r="900">
      <c r="A900" s="308"/>
      <c r="B900" s="308"/>
      <c r="C900" s="308"/>
      <c r="D900" s="308"/>
      <c r="E900" s="308"/>
      <c r="F900" s="308"/>
      <c r="G900" s="308"/>
      <c r="H900" s="308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  <c r="Z900" s="308"/>
    </row>
    <row r="901">
      <c r="A901" s="308"/>
      <c r="B901" s="308"/>
      <c r="C901" s="308"/>
      <c r="D901" s="308"/>
      <c r="E901" s="308"/>
      <c r="F901" s="308"/>
      <c r="G901" s="308"/>
      <c r="H901" s="308"/>
      <c r="I901" s="308"/>
      <c r="J901" s="308"/>
      <c r="K901" s="308"/>
      <c r="L901" s="308"/>
      <c r="M901" s="308"/>
      <c r="N901" s="308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  <c r="Z901" s="308"/>
    </row>
    <row r="902">
      <c r="A902" s="308"/>
      <c r="B902" s="308"/>
      <c r="C902" s="308"/>
      <c r="D902" s="308"/>
      <c r="E902" s="308"/>
      <c r="F902" s="308"/>
      <c r="G902" s="308"/>
      <c r="H902" s="308"/>
      <c r="I902" s="308"/>
      <c r="J902" s="308"/>
      <c r="K902" s="308"/>
      <c r="L902" s="308"/>
      <c r="M902" s="308"/>
      <c r="N902" s="308"/>
      <c r="O902" s="308"/>
      <c r="P902" s="308"/>
      <c r="Q902" s="308"/>
      <c r="R902" s="308"/>
      <c r="S902" s="308"/>
      <c r="T902" s="308"/>
      <c r="U902" s="308"/>
      <c r="V902" s="308"/>
      <c r="W902" s="308"/>
      <c r="X902" s="308"/>
      <c r="Y902" s="308"/>
      <c r="Z902" s="308"/>
    </row>
    <row r="903">
      <c r="A903" s="308"/>
      <c r="B903" s="308"/>
      <c r="C903" s="308"/>
      <c r="D903" s="308"/>
      <c r="E903" s="308"/>
      <c r="F903" s="308"/>
      <c r="G903" s="308"/>
      <c r="H903" s="308"/>
      <c r="I903" s="308"/>
      <c r="J903" s="308"/>
      <c r="K903" s="308"/>
      <c r="L903" s="308"/>
      <c r="M903" s="308"/>
      <c r="N903" s="308"/>
      <c r="O903" s="308"/>
      <c r="P903" s="308"/>
      <c r="Q903" s="308"/>
      <c r="R903" s="308"/>
      <c r="S903" s="308"/>
      <c r="T903" s="308"/>
      <c r="U903" s="308"/>
      <c r="V903" s="308"/>
      <c r="W903" s="308"/>
      <c r="X903" s="308"/>
      <c r="Y903" s="308"/>
      <c r="Z903" s="308"/>
    </row>
    <row r="904">
      <c r="A904" s="308"/>
      <c r="B904" s="308"/>
      <c r="C904" s="308"/>
      <c r="D904" s="308"/>
      <c r="E904" s="308"/>
      <c r="F904" s="308"/>
      <c r="G904" s="308"/>
      <c r="H904" s="308"/>
      <c r="I904" s="308"/>
      <c r="J904" s="308"/>
      <c r="K904" s="308"/>
      <c r="L904" s="308"/>
      <c r="M904" s="308"/>
      <c r="N904" s="308"/>
      <c r="O904" s="308"/>
      <c r="P904" s="308"/>
      <c r="Q904" s="308"/>
      <c r="R904" s="308"/>
      <c r="S904" s="308"/>
      <c r="T904" s="308"/>
      <c r="U904" s="308"/>
      <c r="V904" s="308"/>
      <c r="W904" s="308"/>
      <c r="X904" s="308"/>
      <c r="Y904" s="308"/>
      <c r="Z904" s="308"/>
    </row>
    <row r="905">
      <c r="A905" s="308"/>
      <c r="B905" s="308"/>
      <c r="C905" s="308"/>
      <c r="D905" s="308"/>
      <c r="E905" s="308"/>
      <c r="F905" s="308"/>
      <c r="G905" s="308"/>
      <c r="H905" s="308"/>
      <c r="I905" s="308"/>
      <c r="J905" s="308"/>
      <c r="K905" s="308"/>
      <c r="L905" s="308"/>
      <c r="M905" s="308"/>
      <c r="N905" s="308"/>
      <c r="O905" s="308"/>
      <c r="P905" s="308"/>
      <c r="Q905" s="308"/>
      <c r="R905" s="308"/>
      <c r="S905" s="308"/>
      <c r="T905" s="308"/>
      <c r="U905" s="308"/>
      <c r="V905" s="308"/>
      <c r="W905" s="308"/>
      <c r="X905" s="308"/>
      <c r="Y905" s="308"/>
      <c r="Z905" s="308"/>
    </row>
    <row r="906">
      <c r="A906" s="308"/>
      <c r="B906" s="308"/>
      <c r="C906" s="308"/>
      <c r="D906" s="308"/>
      <c r="E906" s="308"/>
      <c r="F906" s="308"/>
      <c r="G906" s="308"/>
      <c r="H906" s="308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  <c r="V906" s="308"/>
      <c r="W906" s="308"/>
      <c r="X906" s="308"/>
      <c r="Y906" s="308"/>
      <c r="Z906" s="308"/>
    </row>
    <row r="907">
      <c r="A907" s="308"/>
      <c r="B907" s="308"/>
      <c r="C907" s="308"/>
      <c r="D907" s="308"/>
      <c r="E907" s="308"/>
      <c r="F907" s="308"/>
      <c r="G907" s="308"/>
      <c r="H907" s="308"/>
      <c r="I907" s="308"/>
      <c r="J907" s="308"/>
      <c r="K907" s="308"/>
      <c r="L907" s="308"/>
      <c r="M907" s="308"/>
      <c r="N907" s="308"/>
      <c r="O907" s="308"/>
      <c r="P907" s="308"/>
      <c r="Q907" s="308"/>
      <c r="R907" s="308"/>
      <c r="S907" s="308"/>
      <c r="T907" s="308"/>
      <c r="U907" s="308"/>
      <c r="V907" s="308"/>
      <c r="W907" s="308"/>
      <c r="X907" s="308"/>
      <c r="Y907" s="308"/>
      <c r="Z907" s="308"/>
    </row>
    <row r="908">
      <c r="A908" s="308"/>
      <c r="B908" s="308"/>
      <c r="C908" s="308"/>
      <c r="D908" s="308"/>
      <c r="E908" s="308"/>
      <c r="F908" s="308"/>
      <c r="G908" s="308"/>
      <c r="H908" s="308"/>
      <c r="I908" s="308"/>
      <c r="J908" s="308"/>
      <c r="K908" s="308"/>
      <c r="L908" s="308"/>
      <c r="M908" s="308"/>
      <c r="N908" s="308"/>
      <c r="O908" s="308"/>
      <c r="P908" s="308"/>
      <c r="Q908" s="308"/>
      <c r="R908" s="308"/>
      <c r="S908" s="308"/>
      <c r="T908" s="308"/>
      <c r="U908" s="308"/>
      <c r="V908" s="308"/>
      <c r="W908" s="308"/>
      <c r="X908" s="308"/>
      <c r="Y908" s="308"/>
      <c r="Z908" s="308"/>
    </row>
    <row r="909">
      <c r="A909" s="308"/>
      <c r="B909" s="308"/>
      <c r="C909" s="308"/>
      <c r="D909" s="308"/>
      <c r="E909" s="308"/>
      <c r="F909" s="308"/>
      <c r="G909" s="308"/>
      <c r="H909" s="308"/>
      <c r="I909" s="308"/>
      <c r="J909" s="308"/>
      <c r="K909" s="308"/>
      <c r="L909" s="308"/>
      <c r="M909" s="308"/>
      <c r="N909" s="308"/>
      <c r="O909" s="308"/>
      <c r="P909" s="308"/>
      <c r="Q909" s="308"/>
      <c r="R909" s="308"/>
      <c r="S909" s="308"/>
      <c r="T909" s="308"/>
      <c r="U909" s="308"/>
      <c r="V909" s="308"/>
      <c r="W909" s="308"/>
      <c r="X909" s="308"/>
      <c r="Y909" s="308"/>
      <c r="Z909" s="308"/>
    </row>
    <row r="910">
      <c r="A910" s="308"/>
      <c r="B910" s="308"/>
      <c r="C910" s="308"/>
      <c r="D910" s="308"/>
      <c r="E910" s="308"/>
      <c r="F910" s="308"/>
      <c r="G910" s="308"/>
      <c r="H910" s="308"/>
      <c r="I910" s="308"/>
      <c r="J910" s="308"/>
      <c r="K910" s="308"/>
      <c r="L910" s="308"/>
      <c r="M910" s="308"/>
      <c r="N910" s="308"/>
      <c r="O910" s="308"/>
      <c r="P910" s="308"/>
      <c r="Q910" s="308"/>
      <c r="R910" s="308"/>
      <c r="S910" s="308"/>
      <c r="T910" s="308"/>
      <c r="U910" s="308"/>
      <c r="V910" s="308"/>
      <c r="W910" s="308"/>
      <c r="X910" s="308"/>
      <c r="Y910" s="308"/>
      <c r="Z910" s="308"/>
    </row>
    <row r="911">
      <c r="A911" s="308"/>
      <c r="B911" s="308"/>
      <c r="C911" s="308"/>
      <c r="D911" s="308"/>
      <c r="E911" s="308"/>
      <c r="F911" s="308"/>
      <c r="G911" s="308"/>
      <c r="H911" s="308"/>
      <c r="I911" s="308"/>
      <c r="J911" s="308"/>
      <c r="K911" s="308"/>
      <c r="L911" s="308"/>
      <c r="M911" s="308"/>
      <c r="N911" s="308"/>
      <c r="O911" s="308"/>
      <c r="P911" s="308"/>
      <c r="Q911" s="308"/>
      <c r="R911" s="308"/>
      <c r="S911" s="308"/>
      <c r="T911" s="308"/>
      <c r="U911" s="308"/>
      <c r="V911" s="308"/>
      <c r="W911" s="308"/>
      <c r="X911" s="308"/>
      <c r="Y911" s="308"/>
      <c r="Z911" s="308"/>
    </row>
    <row r="912">
      <c r="A912" s="308"/>
      <c r="B912" s="308"/>
      <c r="C912" s="308"/>
      <c r="D912" s="308"/>
      <c r="E912" s="308"/>
      <c r="F912" s="308"/>
      <c r="G912" s="308"/>
      <c r="H912" s="308"/>
      <c r="I912" s="308"/>
      <c r="J912" s="308"/>
      <c r="K912" s="308"/>
      <c r="L912" s="308"/>
      <c r="M912" s="308"/>
      <c r="N912" s="308"/>
      <c r="O912" s="308"/>
      <c r="P912" s="308"/>
      <c r="Q912" s="308"/>
      <c r="R912" s="308"/>
      <c r="S912" s="308"/>
      <c r="T912" s="308"/>
      <c r="U912" s="308"/>
      <c r="V912" s="308"/>
      <c r="W912" s="308"/>
      <c r="X912" s="308"/>
      <c r="Y912" s="308"/>
      <c r="Z912" s="308"/>
    </row>
    <row r="913">
      <c r="A913" s="308"/>
      <c r="B913" s="308"/>
      <c r="C913" s="308"/>
      <c r="D913" s="308"/>
      <c r="E913" s="308"/>
      <c r="F913" s="308"/>
      <c r="G913" s="308"/>
      <c r="H913" s="308"/>
      <c r="I913" s="308"/>
      <c r="J913" s="308"/>
      <c r="K913" s="308"/>
      <c r="L913" s="308"/>
      <c r="M913" s="308"/>
      <c r="N913" s="308"/>
      <c r="O913" s="308"/>
      <c r="P913" s="308"/>
      <c r="Q913" s="308"/>
      <c r="R913" s="308"/>
      <c r="S913" s="308"/>
      <c r="T913" s="308"/>
      <c r="U913" s="308"/>
      <c r="V913" s="308"/>
      <c r="W913" s="308"/>
      <c r="X913" s="308"/>
      <c r="Y913" s="308"/>
      <c r="Z913" s="308"/>
    </row>
    <row r="914">
      <c r="A914" s="308"/>
      <c r="B914" s="308"/>
      <c r="C914" s="308"/>
      <c r="D914" s="308"/>
      <c r="E914" s="308"/>
      <c r="F914" s="308"/>
      <c r="G914" s="308"/>
      <c r="H914" s="308"/>
      <c r="I914" s="308"/>
      <c r="J914" s="308"/>
      <c r="K914" s="308"/>
      <c r="L914" s="308"/>
      <c r="M914" s="308"/>
      <c r="N914" s="308"/>
      <c r="O914" s="308"/>
      <c r="P914" s="308"/>
      <c r="Q914" s="308"/>
      <c r="R914" s="308"/>
      <c r="S914" s="308"/>
      <c r="T914" s="308"/>
      <c r="U914" s="308"/>
      <c r="V914" s="308"/>
      <c r="W914" s="308"/>
      <c r="X914" s="308"/>
      <c r="Y914" s="308"/>
      <c r="Z914" s="308"/>
    </row>
    <row r="915">
      <c r="A915" s="308"/>
      <c r="B915" s="308"/>
      <c r="C915" s="308"/>
      <c r="D915" s="308"/>
      <c r="E915" s="308"/>
      <c r="F915" s="308"/>
      <c r="G915" s="308"/>
      <c r="H915" s="308"/>
      <c r="I915" s="308"/>
      <c r="J915" s="308"/>
      <c r="K915" s="308"/>
      <c r="L915" s="308"/>
      <c r="M915" s="308"/>
      <c r="N915" s="308"/>
      <c r="O915" s="308"/>
      <c r="P915" s="308"/>
      <c r="Q915" s="308"/>
      <c r="R915" s="308"/>
      <c r="S915" s="308"/>
      <c r="T915" s="308"/>
      <c r="U915" s="308"/>
      <c r="V915" s="308"/>
      <c r="W915" s="308"/>
      <c r="X915" s="308"/>
      <c r="Y915" s="308"/>
      <c r="Z915" s="308"/>
    </row>
    <row r="916">
      <c r="A916" s="308"/>
      <c r="B916" s="308"/>
      <c r="C916" s="308"/>
      <c r="D916" s="308"/>
      <c r="E916" s="308"/>
      <c r="F916" s="308"/>
      <c r="G916" s="308"/>
      <c r="H916" s="308"/>
      <c r="I916" s="308"/>
      <c r="J916" s="308"/>
      <c r="K916" s="308"/>
      <c r="L916" s="308"/>
      <c r="M916" s="308"/>
      <c r="N916" s="308"/>
      <c r="O916" s="308"/>
      <c r="P916" s="308"/>
      <c r="Q916" s="308"/>
      <c r="R916" s="308"/>
      <c r="S916" s="308"/>
      <c r="T916" s="308"/>
      <c r="U916" s="308"/>
      <c r="V916" s="308"/>
      <c r="W916" s="308"/>
      <c r="X916" s="308"/>
      <c r="Y916" s="308"/>
      <c r="Z916" s="308"/>
    </row>
    <row r="917">
      <c r="A917" s="308"/>
      <c r="B917" s="308"/>
      <c r="C917" s="308"/>
      <c r="D917" s="308"/>
      <c r="E917" s="308"/>
      <c r="F917" s="308"/>
      <c r="G917" s="308"/>
      <c r="H917" s="308"/>
      <c r="I917" s="308"/>
      <c r="J917" s="308"/>
      <c r="K917" s="308"/>
      <c r="L917" s="308"/>
      <c r="M917" s="308"/>
      <c r="N917" s="308"/>
      <c r="O917" s="308"/>
      <c r="P917" s="308"/>
      <c r="Q917" s="308"/>
      <c r="R917" s="308"/>
      <c r="S917" s="308"/>
      <c r="T917" s="308"/>
      <c r="U917" s="308"/>
      <c r="V917" s="308"/>
      <c r="W917" s="308"/>
      <c r="X917" s="308"/>
      <c r="Y917" s="308"/>
      <c r="Z917" s="308"/>
    </row>
    <row r="918">
      <c r="A918" s="308"/>
      <c r="B918" s="308"/>
      <c r="C918" s="308"/>
      <c r="D918" s="308"/>
      <c r="E918" s="308"/>
      <c r="F918" s="308"/>
      <c r="G918" s="308"/>
      <c r="H918" s="308"/>
      <c r="I918" s="308"/>
      <c r="J918" s="308"/>
      <c r="K918" s="308"/>
      <c r="L918" s="308"/>
      <c r="M918" s="308"/>
      <c r="N918" s="308"/>
      <c r="O918" s="308"/>
      <c r="P918" s="308"/>
      <c r="Q918" s="308"/>
      <c r="R918" s="308"/>
      <c r="S918" s="308"/>
      <c r="T918" s="308"/>
      <c r="U918" s="308"/>
      <c r="V918" s="308"/>
      <c r="W918" s="308"/>
      <c r="X918" s="308"/>
      <c r="Y918" s="308"/>
      <c r="Z918" s="308"/>
    </row>
    <row r="919">
      <c r="A919" s="308"/>
      <c r="B919" s="308"/>
      <c r="C919" s="308"/>
      <c r="D919" s="308"/>
      <c r="E919" s="308"/>
      <c r="F919" s="308"/>
      <c r="G919" s="308"/>
      <c r="H919" s="308"/>
      <c r="I919" s="308"/>
      <c r="J919" s="308"/>
      <c r="K919" s="308"/>
      <c r="L919" s="308"/>
      <c r="M919" s="308"/>
      <c r="N919" s="308"/>
      <c r="O919" s="308"/>
      <c r="P919" s="308"/>
      <c r="Q919" s="308"/>
      <c r="R919" s="308"/>
      <c r="S919" s="308"/>
      <c r="T919" s="308"/>
      <c r="U919" s="308"/>
      <c r="V919" s="308"/>
      <c r="W919" s="308"/>
      <c r="X919" s="308"/>
      <c r="Y919" s="308"/>
      <c r="Z919" s="308"/>
    </row>
    <row r="920">
      <c r="A920" s="308"/>
      <c r="B920" s="308"/>
      <c r="C920" s="308"/>
      <c r="D920" s="308"/>
      <c r="E920" s="308"/>
      <c r="F920" s="308"/>
      <c r="G920" s="308"/>
      <c r="H920" s="308"/>
      <c r="I920" s="308"/>
      <c r="J920" s="308"/>
      <c r="K920" s="308"/>
      <c r="L920" s="308"/>
      <c r="M920" s="308"/>
      <c r="N920" s="308"/>
      <c r="O920" s="308"/>
      <c r="P920" s="308"/>
      <c r="Q920" s="308"/>
      <c r="R920" s="308"/>
      <c r="S920" s="308"/>
      <c r="T920" s="308"/>
      <c r="U920" s="308"/>
      <c r="V920" s="308"/>
      <c r="W920" s="308"/>
      <c r="X920" s="308"/>
      <c r="Y920" s="308"/>
      <c r="Z920" s="308"/>
    </row>
    <row r="921">
      <c r="A921" s="308"/>
      <c r="B921" s="308"/>
      <c r="C921" s="308"/>
      <c r="D921" s="308"/>
      <c r="E921" s="308"/>
      <c r="F921" s="308"/>
      <c r="G921" s="308"/>
      <c r="H921" s="308"/>
      <c r="I921" s="308"/>
      <c r="J921" s="308"/>
      <c r="K921" s="308"/>
      <c r="L921" s="308"/>
      <c r="M921" s="308"/>
      <c r="N921" s="308"/>
      <c r="O921" s="308"/>
      <c r="P921" s="308"/>
      <c r="Q921" s="308"/>
      <c r="R921" s="308"/>
      <c r="S921" s="308"/>
      <c r="T921" s="308"/>
      <c r="U921" s="308"/>
      <c r="V921" s="308"/>
      <c r="W921" s="308"/>
      <c r="X921" s="308"/>
      <c r="Y921" s="308"/>
      <c r="Z921" s="308"/>
    </row>
    <row r="922">
      <c r="A922" s="308"/>
      <c r="B922" s="308"/>
      <c r="C922" s="308"/>
      <c r="D922" s="308"/>
      <c r="E922" s="308"/>
      <c r="F922" s="308"/>
      <c r="G922" s="308"/>
      <c r="H922" s="308"/>
      <c r="I922" s="308"/>
      <c r="J922" s="308"/>
      <c r="K922" s="308"/>
      <c r="L922" s="308"/>
      <c r="M922" s="308"/>
      <c r="N922" s="308"/>
      <c r="O922" s="308"/>
      <c r="P922" s="308"/>
      <c r="Q922" s="308"/>
      <c r="R922" s="308"/>
      <c r="S922" s="308"/>
      <c r="T922" s="308"/>
      <c r="U922" s="308"/>
      <c r="V922" s="308"/>
      <c r="W922" s="308"/>
      <c r="X922" s="308"/>
      <c r="Y922" s="308"/>
      <c r="Z922" s="308"/>
    </row>
    <row r="923">
      <c r="A923" s="308"/>
      <c r="B923" s="308"/>
      <c r="C923" s="308"/>
      <c r="D923" s="308"/>
      <c r="E923" s="308"/>
      <c r="F923" s="308"/>
      <c r="G923" s="308"/>
      <c r="H923" s="308"/>
      <c r="I923" s="308"/>
      <c r="J923" s="308"/>
      <c r="K923" s="308"/>
      <c r="L923" s="308"/>
      <c r="M923" s="308"/>
      <c r="N923" s="308"/>
      <c r="O923" s="308"/>
      <c r="P923" s="308"/>
      <c r="Q923" s="308"/>
      <c r="R923" s="308"/>
      <c r="S923" s="308"/>
      <c r="T923" s="308"/>
      <c r="U923" s="308"/>
      <c r="V923" s="308"/>
      <c r="W923" s="308"/>
      <c r="X923" s="308"/>
      <c r="Y923" s="308"/>
      <c r="Z923" s="308"/>
    </row>
    <row r="924">
      <c r="A924" s="308"/>
      <c r="B924" s="308"/>
      <c r="C924" s="308"/>
      <c r="D924" s="308"/>
      <c r="E924" s="308"/>
      <c r="F924" s="308"/>
      <c r="G924" s="308"/>
      <c r="H924" s="308"/>
      <c r="I924" s="308"/>
      <c r="J924" s="308"/>
      <c r="K924" s="308"/>
      <c r="L924" s="308"/>
      <c r="M924" s="308"/>
      <c r="N924" s="308"/>
      <c r="O924" s="308"/>
      <c r="P924" s="308"/>
      <c r="Q924" s="308"/>
      <c r="R924" s="308"/>
      <c r="S924" s="308"/>
      <c r="T924" s="308"/>
      <c r="U924" s="308"/>
      <c r="V924" s="308"/>
      <c r="W924" s="308"/>
      <c r="X924" s="308"/>
      <c r="Y924" s="308"/>
      <c r="Z924" s="308"/>
    </row>
    <row r="925">
      <c r="A925" s="308"/>
      <c r="B925" s="308"/>
      <c r="C925" s="308"/>
      <c r="D925" s="308"/>
      <c r="E925" s="308"/>
      <c r="F925" s="308"/>
      <c r="G925" s="308"/>
      <c r="H925" s="308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08"/>
      <c r="W925" s="308"/>
      <c r="X925" s="308"/>
      <c r="Y925" s="308"/>
      <c r="Z925" s="308"/>
    </row>
    <row r="926">
      <c r="A926" s="308"/>
      <c r="B926" s="308"/>
      <c r="C926" s="308"/>
      <c r="D926" s="308"/>
      <c r="E926" s="308"/>
      <c r="F926" s="308"/>
      <c r="G926" s="308"/>
      <c r="H926" s="308"/>
      <c r="I926" s="308"/>
      <c r="J926" s="308"/>
      <c r="K926" s="308"/>
      <c r="L926" s="308"/>
      <c r="M926" s="308"/>
      <c r="N926" s="308"/>
      <c r="O926" s="308"/>
      <c r="P926" s="308"/>
      <c r="Q926" s="308"/>
      <c r="R926" s="308"/>
      <c r="S926" s="308"/>
      <c r="T926" s="308"/>
      <c r="U926" s="308"/>
      <c r="V926" s="308"/>
      <c r="W926" s="308"/>
      <c r="X926" s="308"/>
      <c r="Y926" s="308"/>
      <c r="Z926" s="308"/>
    </row>
    <row r="927">
      <c r="A927" s="308"/>
      <c r="B927" s="308"/>
      <c r="C927" s="308"/>
      <c r="D927" s="308"/>
      <c r="E927" s="308"/>
      <c r="F927" s="308"/>
      <c r="G927" s="308"/>
      <c r="H927" s="308"/>
      <c r="I927" s="308"/>
      <c r="J927" s="308"/>
      <c r="K927" s="308"/>
      <c r="L927" s="308"/>
      <c r="M927" s="308"/>
      <c r="N927" s="308"/>
      <c r="O927" s="308"/>
      <c r="P927" s="308"/>
      <c r="Q927" s="308"/>
      <c r="R927" s="308"/>
      <c r="S927" s="308"/>
      <c r="T927" s="308"/>
      <c r="U927" s="308"/>
      <c r="V927" s="308"/>
      <c r="W927" s="308"/>
      <c r="X927" s="308"/>
      <c r="Y927" s="308"/>
      <c r="Z927" s="308"/>
    </row>
    <row r="928">
      <c r="A928" s="308"/>
      <c r="B928" s="308"/>
      <c r="C928" s="308"/>
      <c r="D928" s="308"/>
      <c r="E928" s="308"/>
      <c r="F928" s="308"/>
      <c r="G928" s="308"/>
      <c r="H928" s="308"/>
      <c r="I928" s="308"/>
      <c r="J928" s="308"/>
      <c r="K928" s="308"/>
      <c r="L928" s="308"/>
      <c r="M928" s="308"/>
      <c r="N928" s="308"/>
      <c r="O928" s="308"/>
      <c r="P928" s="308"/>
      <c r="Q928" s="308"/>
      <c r="R928" s="308"/>
      <c r="S928" s="308"/>
      <c r="T928" s="308"/>
      <c r="U928" s="308"/>
      <c r="V928" s="308"/>
      <c r="W928" s="308"/>
      <c r="X928" s="308"/>
      <c r="Y928" s="308"/>
      <c r="Z928" s="308"/>
    </row>
    <row r="929">
      <c r="A929" s="308"/>
      <c r="B929" s="308"/>
      <c r="C929" s="308"/>
      <c r="D929" s="308"/>
      <c r="E929" s="308"/>
      <c r="F929" s="308"/>
      <c r="G929" s="308"/>
      <c r="H929" s="308"/>
      <c r="I929" s="308"/>
      <c r="J929" s="308"/>
      <c r="K929" s="308"/>
      <c r="L929" s="308"/>
      <c r="M929" s="308"/>
      <c r="N929" s="308"/>
      <c r="O929" s="308"/>
      <c r="P929" s="308"/>
      <c r="Q929" s="308"/>
      <c r="R929" s="308"/>
      <c r="S929" s="308"/>
      <c r="T929" s="308"/>
      <c r="U929" s="308"/>
      <c r="V929" s="308"/>
      <c r="W929" s="308"/>
      <c r="X929" s="308"/>
      <c r="Y929" s="308"/>
      <c r="Z929" s="308"/>
    </row>
    <row r="930">
      <c r="A930" s="308"/>
      <c r="B930" s="308"/>
      <c r="C930" s="308"/>
      <c r="D930" s="308"/>
      <c r="E930" s="308"/>
      <c r="F930" s="308"/>
      <c r="G930" s="308"/>
      <c r="H930" s="308"/>
      <c r="I930" s="308"/>
      <c r="J930" s="308"/>
      <c r="K930" s="308"/>
      <c r="L930" s="308"/>
      <c r="M930" s="308"/>
      <c r="N930" s="308"/>
      <c r="O930" s="308"/>
      <c r="P930" s="308"/>
      <c r="Q930" s="308"/>
      <c r="R930" s="308"/>
      <c r="S930" s="308"/>
      <c r="T930" s="308"/>
      <c r="U930" s="308"/>
      <c r="V930" s="308"/>
      <c r="W930" s="308"/>
      <c r="X930" s="308"/>
      <c r="Y930" s="308"/>
      <c r="Z930" s="308"/>
    </row>
    <row r="931">
      <c r="A931" s="308"/>
      <c r="B931" s="308"/>
      <c r="C931" s="308"/>
      <c r="D931" s="308"/>
      <c r="E931" s="308"/>
      <c r="F931" s="308"/>
      <c r="G931" s="308"/>
      <c r="H931" s="308"/>
      <c r="I931" s="308"/>
      <c r="J931" s="308"/>
      <c r="K931" s="308"/>
      <c r="L931" s="308"/>
      <c r="M931" s="308"/>
      <c r="N931" s="308"/>
      <c r="O931" s="308"/>
      <c r="P931" s="308"/>
      <c r="Q931" s="308"/>
      <c r="R931" s="308"/>
      <c r="S931" s="308"/>
      <c r="T931" s="308"/>
      <c r="U931" s="308"/>
      <c r="V931" s="308"/>
      <c r="W931" s="308"/>
      <c r="X931" s="308"/>
      <c r="Y931" s="308"/>
      <c r="Z931" s="308"/>
    </row>
    <row r="932">
      <c r="A932" s="308"/>
      <c r="B932" s="308"/>
      <c r="C932" s="308"/>
      <c r="D932" s="308"/>
      <c r="E932" s="308"/>
      <c r="F932" s="308"/>
      <c r="G932" s="308"/>
      <c r="H932" s="308"/>
      <c r="I932" s="308"/>
      <c r="J932" s="308"/>
      <c r="K932" s="308"/>
      <c r="L932" s="308"/>
      <c r="M932" s="308"/>
      <c r="N932" s="308"/>
      <c r="O932" s="308"/>
      <c r="P932" s="308"/>
      <c r="Q932" s="308"/>
      <c r="R932" s="308"/>
      <c r="S932" s="308"/>
      <c r="T932" s="308"/>
      <c r="U932" s="308"/>
      <c r="V932" s="308"/>
      <c r="W932" s="308"/>
      <c r="X932" s="308"/>
      <c r="Y932" s="308"/>
      <c r="Z932" s="308"/>
    </row>
    <row r="933">
      <c r="A933" s="308"/>
      <c r="B933" s="308"/>
      <c r="C933" s="308"/>
      <c r="D933" s="308"/>
      <c r="E933" s="308"/>
      <c r="F933" s="308"/>
      <c r="G933" s="308"/>
      <c r="H933" s="308"/>
      <c r="I933" s="308"/>
      <c r="J933" s="308"/>
      <c r="K933" s="308"/>
      <c r="L933" s="308"/>
      <c r="M933" s="308"/>
      <c r="N933" s="308"/>
      <c r="O933" s="308"/>
      <c r="P933" s="308"/>
      <c r="Q933" s="308"/>
      <c r="R933" s="308"/>
      <c r="S933" s="308"/>
      <c r="T933" s="308"/>
      <c r="U933" s="308"/>
      <c r="V933" s="308"/>
      <c r="W933" s="308"/>
      <c r="X933" s="308"/>
      <c r="Y933" s="308"/>
      <c r="Z933" s="308"/>
    </row>
    <row r="934">
      <c r="A934" s="308"/>
      <c r="B934" s="308"/>
      <c r="C934" s="308"/>
      <c r="D934" s="308"/>
      <c r="E934" s="308"/>
      <c r="F934" s="308"/>
      <c r="G934" s="308"/>
      <c r="H934" s="308"/>
      <c r="I934" s="308"/>
      <c r="J934" s="308"/>
      <c r="K934" s="308"/>
      <c r="L934" s="308"/>
      <c r="M934" s="308"/>
      <c r="N934" s="308"/>
      <c r="O934" s="308"/>
      <c r="P934" s="308"/>
      <c r="Q934" s="308"/>
      <c r="R934" s="308"/>
      <c r="S934" s="308"/>
      <c r="T934" s="308"/>
      <c r="U934" s="308"/>
      <c r="V934" s="308"/>
      <c r="W934" s="308"/>
      <c r="X934" s="308"/>
      <c r="Y934" s="308"/>
      <c r="Z934" s="308"/>
    </row>
    <row r="935">
      <c r="A935" s="308"/>
      <c r="B935" s="308"/>
      <c r="C935" s="308"/>
      <c r="D935" s="308"/>
      <c r="E935" s="308"/>
      <c r="F935" s="308"/>
      <c r="G935" s="308"/>
      <c r="H935" s="308"/>
      <c r="I935" s="308"/>
      <c r="J935" s="308"/>
      <c r="K935" s="308"/>
      <c r="L935" s="308"/>
      <c r="M935" s="308"/>
      <c r="N935" s="308"/>
      <c r="O935" s="308"/>
      <c r="P935" s="308"/>
      <c r="Q935" s="308"/>
      <c r="R935" s="308"/>
      <c r="S935" s="308"/>
      <c r="T935" s="308"/>
      <c r="U935" s="308"/>
      <c r="V935" s="308"/>
      <c r="W935" s="308"/>
      <c r="X935" s="308"/>
      <c r="Y935" s="308"/>
      <c r="Z935" s="308"/>
    </row>
    <row r="936">
      <c r="A936" s="308"/>
      <c r="B936" s="308"/>
      <c r="C936" s="308"/>
      <c r="D936" s="308"/>
      <c r="E936" s="308"/>
      <c r="F936" s="308"/>
      <c r="G936" s="308"/>
      <c r="H936" s="308"/>
      <c r="I936" s="308"/>
      <c r="J936" s="308"/>
      <c r="K936" s="308"/>
      <c r="L936" s="308"/>
      <c r="M936" s="308"/>
      <c r="N936" s="308"/>
      <c r="O936" s="308"/>
      <c r="P936" s="308"/>
      <c r="Q936" s="308"/>
      <c r="R936" s="308"/>
      <c r="S936" s="308"/>
      <c r="T936" s="308"/>
      <c r="U936" s="308"/>
      <c r="V936" s="308"/>
      <c r="W936" s="308"/>
      <c r="X936" s="308"/>
      <c r="Y936" s="308"/>
      <c r="Z936" s="308"/>
    </row>
    <row r="937">
      <c r="A937" s="308"/>
      <c r="B937" s="308"/>
      <c r="C937" s="308"/>
      <c r="D937" s="308"/>
      <c r="E937" s="308"/>
      <c r="F937" s="308"/>
      <c r="G937" s="308"/>
      <c r="H937" s="308"/>
      <c r="I937" s="308"/>
      <c r="J937" s="308"/>
      <c r="K937" s="308"/>
      <c r="L937" s="308"/>
      <c r="M937" s="308"/>
      <c r="N937" s="308"/>
      <c r="O937" s="308"/>
      <c r="P937" s="308"/>
      <c r="Q937" s="308"/>
      <c r="R937" s="308"/>
      <c r="S937" s="308"/>
      <c r="T937" s="308"/>
      <c r="U937" s="308"/>
      <c r="V937" s="308"/>
      <c r="W937" s="308"/>
      <c r="X937" s="308"/>
      <c r="Y937" s="308"/>
      <c r="Z937" s="308"/>
    </row>
    <row r="938">
      <c r="A938" s="308"/>
      <c r="B938" s="308"/>
      <c r="C938" s="308"/>
      <c r="D938" s="308"/>
      <c r="E938" s="308"/>
      <c r="F938" s="308"/>
      <c r="G938" s="308"/>
      <c r="H938" s="308"/>
      <c r="I938" s="308"/>
      <c r="J938" s="308"/>
      <c r="K938" s="308"/>
      <c r="L938" s="308"/>
      <c r="M938" s="308"/>
      <c r="N938" s="308"/>
      <c r="O938" s="308"/>
      <c r="P938" s="308"/>
      <c r="Q938" s="308"/>
      <c r="R938" s="308"/>
      <c r="S938" s="308"/>
      <c r="T938" s="308"/>
      <c r="U938" s="308"/>
      <c r="V938" s="308"/>
      <c r="W938" s="308"/>
      <c r="X938" s="308"/>
      <c r="Y938" s="308"/>
      <c r="Z938" s="308"/>
    </row>
    <row r="939">
      <c r="A939" s="308"/>
      <c r="B939" s="308"/>
      <c r="C939" s="308"/>
      <c r="D939" s="308"/>
      <c r="E939" s="308"/>
      <c r="F939" s="308"/>
      <c r="G939" s="308"/>
      <c r="H939" s="308"/>
      <c r="I939" s="308"/>
      <c r="J939" s="308"/>
      <c r="K939" s="308"/>
      <c r="L939" s="308"/>
      <c r="M939" s="308"/>
      <c r="N939" s="308"/>
      <c r="O939" s="308"/>
      <c r="P939" s="308"/>
      <c r="Q939" s="308"/>
      <c r="R939" s="308"/>
      <c r="S939" s="308"/>
      <c r="T939" s="308"/>
      <c r="U939" s="308"/>
      <c r="V939" s="308"/>
      <c r="W939" s="308"/>
      <c r="X939" s="308"/>
      <c r="Y939" s="308"/>
      <c r="Z939" s="308"/>
    </row>
    <row r="940">
      <c r="A940" s="308"/>
      <c r="B940" s="308"/>
      <c r="C940" s="308"/>
      <c r="D940" s="308"/>
      <c r="E940" s="308"/>
      <c r="F940" s="308"/>
      <c r="G940" s="308"/>
      <c r="H940" s="308"/>
      <c r="I940" s="308"/>
      <c r="J940" s="308"/>
      <c r="K940" s="308"/>
      <c r="L940" s="308"/>
      <c r="M940" s="308"/>
      <c r="N940" s="308"/>
      <c r="O940" s="308"/>
      <c r="P940" s="308"/>
      <c r="Q940" s="308"/>
      <c r="R940" s="308"/>
      <c r="S940" s="308"/>
      <c r="T940" s="308"/>
      <c r="U940" s="308"/>
      <c r="V940" s="308"/>
      <c r="W940" s="308"/>
      <c r="X940" s="308"/>
      <c r="Y940" s="308"/>
      <c r="Z940" s="308"/>
    </row>
    <row r="941">
      <c r="A941" s="308"/>
      <c r="B941" s="308"/>
      <c r="C941" s="308"/>
      <c r="D941" s="308"/>
      <c r="E941" s="308"/>
      <c r="F941" s="308"/>
      <c r="G941" s="308"/>
      <c r="H941" s="308"/>
      <c r="I941" s="308"/>
      <c r="J941" s="308"/>
      <c r="K941" s="308"/>
      <c r="L941" s="308"/>
      <c r="M941" s="308"/>
      <c r="N941" s="308"/>
      <c r="O941" s="308"/>
      <c r="P941" s="308"/>
      <c r="Q941" s="308"/>
      <c r="R941" s="308"/>
      <c r="S941" s="308"/>
      <c r="T941" s="308"/>
      <c r="U941" s="308"/>
      <c r="V941" s="308"/>
      <c r="W941" s="308"/>
      <c r="X941" s="308"/>
      <c r="Y941" s="308"/>
      <c r="Z941" s="308"/>
    </row>
    <row r="942">
      <c r="A942" s="308"/>
      <c r="B942" s="308"/>
      <c r="C942" s="308"/>
      <c r="D942" s="308"/>
      <c r="E942" s="308"/>
      <c r="F942" s="308"/>
      <c r="G942" s="308"/>
      <c r="H942" s="308"/>
      <c r="I942" s="308"/>
      <c r="J942" s="308"/>
      <c r="K942" s="308"/>
      <c r="L942" s="308"/>
      <c r="M942" s="308"/>
      <c r="N942" s="308"/>
      <c r="O942" s="308"/>
      <c r="P942" s="308"/>
      <c r="Q942" s="308"/>
      <c r="R942" s="308"/>
      <c r="S942" s="308"/>
      <c r="T942" s="308"/>
      <c r="U942" s="308"/>
      <c r="V942" s="308"/>
      <c r="W942" s="308"/>
      <c r="X942" s="308"/>
      <c r="Y942" s="308"/>
      <c r="Z942" s="308"/>
    </row>
    <row r="943">
      <c r="A943" s="308"/>
      <c r="B943" s="308"/>
      <c r="C943" s="308"/>
      <c r="D943" s="308"/>
      <c r="E943" s="308"/>
      <c r="F943" s="308"/>
      <c r="G943" s="308"/>
      <c r="H943" s="308"/>
      <c r="I943" s="308"/>
      <c r="J943" s="308"/>
      <c r="K943" s="308"/>
      <c r="L943" s="308"/>
      <c r="M943" s="308"/>
      <c r="N943" s="308"/>
      <c r="O943" s="308"/>
      <c r="P943" s="308"/>
      <c r="Q943" s="308"/>
      <c r="R943" s="308"/>
      <c r="S943" s="308"/>
      <c r="T943" s="308"/>
      <c r="U943" s="308"/>
      <c r="V943" s="308"/>
      <c r="W943" s="308"/>
      <c r="X943" s="308"/>
      <c r="Y943" s="308"/>
      <c r="Z943" s="308"/>
    </row>
    <row r="944">
      <c r="A944" s="308"/>
      <c r="B944" s="308"/>
      <c r="C944" s="308"/>
      <c r="D944" s="308"/>
      <c r="E944" s="308"/>
      <c r="F944" s="308"/>
      <c r="G944" s="308"/>
      <c r="H944" s="308"/>
      <c r="I944" s="308"/>
      <c r="J944" s="308"/>
      <c r="K944" s="308"/>
      <c r="L944" s="308"/>
      <c r="M944" s="308"/>
      <c r="N944" s="308"/>
      <c r="O944" s="308"/>
      <c r="P944" s="308"/>
      <c r="Q944" s="308"/>
      <c r="R944" s="308"/>
      <c r="S944" s="308"/>
      <c r="T944" s="308"/>
      <c r="U944" s="308"/>
      <c r="V944" s="308"/>
      <c r="W944" s="308"/>
      <c r="X944" s="308"/>
      <c r="Y944" s="308"/>
      <c r="Z944" s="308"/>
    </row>
    <row r="945">
      <c r="A945" s="308"/>
      <c r="B945" s="308"/>
      <c r="C945" s="308"/>
      <c r="D945" s="308"/>
      <c r="E945" s="308"/>
      <c r="F945" s="308"/>
      <c r="G945" s="308"/>
      <c r="H945" s="308"/>
      <c r="I945" s="308"/>
      <c r="J945" s="308"/>
      <c r="K945" s="308"/>
      <c r="L945" s="308"/>
      <c r="M945" s="308"/>
      <c r="N945" s="308"/>
      <c r="O945" s="308"/>
      <c r="P945" s="308"/>
      <c r="Q945" s="308"/>
      <c r="R945" s="308"/>
      <c r="S945" s="308"/>
      <c r="T945" s="308"/>
      <c r="U945" s="308"/>
      <c r="V945" s="308"/>
      <c r="W945" s="308"/>
      <c r="X945" s="308"/>
      <c r="Y945" s="308"/>
      <c r="Z945" s="308"/>
    </row>
    <row r="946">
      <c r="A946" s="308"/>
      <c r="B946" s="308"/>
      <c r="C946" s="308"/>
      <c r="D946" s="308"/>
      <c r="E946" s="308"/>
      <c r="F946" s="308"/>
      <c r="G946" s="308"/>
      <c r="H946" s="308"/>
      <c r="I946" s="308"/>
      <c r="J946" s="308"/>
      <c r="K946" s="308"/>
      <c r="L946" s="308"/>
      <c r="M946" s="308"/>
      <c r="N946" s="308"/>
      <c r="O946" s="308"/>
      <c r="P946" s="308"/>
      <c r="Q946" s="308"/>
      <c r="R946" s="308"/>
      <c r="S946" s="308"/>
      <c r="T946" s="308"/>
      <c r="U946" s="308"/>
      <c r="V946" s="308"/>
      <c r="W946" s="308"/>
      <c r="X946" s="308"/>
      <c r="Y946" s="308"/>
      <c r="Z946" s="308"/>
    </row>
    <row r="947">
      <c r="A947" s="308"/>
      <c r="B947" s="308"/>
      <c r="C947" s="308"/>
      <c r="D947" s="308"/>
      <c r="E947" s="308"/>
      <c r="F947" s="308"/>
      <c r="G947" s="308"/>
      <c r="H947" s="308"/>
      <c r="I947" s="308"/>
      <c r="J947" s="308"/>
      <c r="K947" s="308"/>
      <c r="L947" s="308"/>
      <c r="M947" s="308"/>
      <c r="N947" s="308"/>
      <c r="O947" s="308"/>
      <c r="P947" s="308"/>
      <c r="Q947" s="308"/>
      <c r="R947" s="308"/>
      <c r="S947" s="308"/>
      <c r="T947" s="308"/>
      <c r="U947" s="308"/>
      <c r="V947" s="308"/>
      <c r="W947" s="308"/>
      <c r="X947" s="308"/>
      <c r="Y947" s="308"/>
      <c r="Z947" s="308"/>
    </row>
    <row r="948">
      <c r="A948" s="308"/>
      <c r="B948" s="308"/>
      <c r="C948" s="308"/>
      <c r="D948" s="308"/>
      <c r="E948" s="308"/>
      <c r="F948" s="308"/>
      <c r="G948" s="308"/>
      <c r="H948" s="308"/>
      <c r="I948" s="308"/>
      <c r="J948" s="308"/>
      <c r="K948" s="308"/>
      <c r="L948" s="308"/>
      <c r="M948" s="308"/>
      <c r="N948" s="308"/>
      <c r="O948" s="308"/>
      <c r="P948" s="308"/>
      <c r="Q948" s="308"/>
      <c r="R948" s="308"/>
      <c r="S948" s="308"/>
      <c r="T948" s="308"/>
      <c r="U948" s="308"/>
      <c r="V948" s="308"/>
      <c r="W948" s="308"/>
      <c r="X948" s="308"/>
      <c r="Y948" s="308"/>
      <c r="Z948" s="308"/>
    </row>
    <row r="949">
      <c r="A949" s="308"/>
      <c r="B949" s="308"/>
      <c r="C949" s="308"/>
      <c r="D949" s="308"/>
      <c r="E949" s="308"/>
      <c r="F949" s="308"/>
      <c r="G949" s="308"/>
      <c r="H949" s="308"/>
      <c r="I949" s="308"/>
      <c r="J949" s="308"/>
      <c r="K949" s="308"/>
      <c r="L949" s="308"/>
      <c r="M949" s="308"/>
      <c r="N949" s="308"/>
      <c r="O949" s="308"/>
      <c r="P949" s="308"/>
      <c r="Q949" s="308"/>
      <c r="R949" s="308"/>
      <c r="S949" s="308"/>
      <c r="T949" s="308"/>
      <c r="U949" s="308"/>
      <c r="V949" s="308"/>
      <c r="W949" s="308"/>
      <c r="X949" s="308"/>
      <c r="Y949" s="308"/>
      <c r="Z949" s="308"/>
    </row>
    <row r="950">
      <c r="A950" s="308"/>
      <c r="B950" s="308"/>
      <c r="C950" s="308"/>
      <c r="D950" s="308"/>
      <c r="E950" s="308"/>
      <c r="F950" s="308"/>
      <c r="G950" s="308"/>
      <c r="H950" s="308"/>
      <c r="I950" s="308"/>
      <c r="J950" s="308"/>
      <c r="K950" s="308"/>
      <c r="L950" s="308"/>
      <c r="M950" s="308"/>
      <c r="N950" s="308"/>
      <c r="O950" s="308"/>
      <c r="P950" s="308"/>
      <c r="Q950" s="308"/>
      <c r="R950" s="308"/>
      <c r="S950" s="308"/>
      <c r="T950" s="308"/>
      <c r="U950" s="308"/>
      <c r="V950" s="308"/>
      <c r="W950" s="308"/>
      <c r="X950" s="308"/>
      <c r="Y950" s="308"/>
      <c r="Z950" s="308"/>
    </row>
    <row r="951">
      <c r="A951" s="308"/>
      <c r="B951" s="308"/>
      <c r="C951" s="308"/>
      <c r="D951" s="308"/>
      <c r="E951" s="308"/>
      <c r="F951" s="308"/>
      <c r="G951" s="308"/>
      <c r="H951" s="308"/>
      <c r="I951" s="308"/>
      <c r="J951" s="308"/>
      <c r="K951" s="308"/>
      <c r="L951" s="308"/>
      <c r="M951" s="308"/>
      <c r="N951" s="308"/>
      <c r="O951" s="308"/>
      <c r="P951" s="308"/>
      <c r="Q951" s="308"/>
      <c r="R951" s="308"/>
      <c r="S951" s="308"/>
      <c r="T951" s="308"/>
      <c r="U951" s="308"/>
      <c r="V951" s="308"/>
      <c r="W951" s="308"/>
      <c r="X951" s="308"/>
      <c r="Y951" s="308"/>
      <c r="Z951" s="308"/>
    </row>
    <row r="952">
      <c r="A952" s="308"/>
      <c r="B952" s="308"/>
      <c r="C952" s="308"/>
      <c r="D952" s="308"/>
      <c r="E952" s="308"/>
      <c r="F952" s="308"/>
      <c r="G952" s="308"/>
      <c r="H952" s="308"/>
      <c r="I952" s="308"/>
      <c r="J952" s="308"/>
      <c r="K952" s="308"/>
      <c r="L952" s="308"/>
      <c r="M952" s="308"/>
      <c r="N952" s="308"/>
      <c r="O952" s="308"/>
      <c r="P952" s="308"/>
      <c r="Q952" s="308"/>
      <c r="R952" s="308"/>
      <c r="S952" s="308"/>
      <c r="T952" s="308"/>
      <c r="U952" s="308"/>
      <c r="V952" s="308"/>
      <c r="W952" s="308"/>
      <c r="X952" s="308"/>
      <c r="Y952" s="308"/>
      <c r="Z952" s="308"/>
    </row>
    <row r="953">
      <c r="A953" s="308"/>
      <c r="B953" s="308"/>
      <c r="C953" s="308"/>
      <c r="D953" s="308"/>
      <c r="E953" s="308"/>
      <c r="F953" s="308"/>
      <c r="G953" s="308"/>
      <c r="H953" s="308"/>
      <c r="I953" s="308"/>
      <c r="J953" s="308"/>
      <c r="K953" s="308"/>
      <c r="L953" s="308"/>
      <c r="M953" s="308"/>
      <c r="N953" s="308"/>
      <c r="O953" s="308"/>
      <c r="P953" s="308"/>
      <c r="Q953" s="308"/>
      <c r="R953" s="308"/>
      <c r="S953" s="308"/>
      <c r="T953" s="308"/>
      <c r="U953" s="308"/>
      <c r="V953" s="308"/>
      <c r="W953" s="308"/>
      <c r="X953" s="308"/>
      <c r="Y953" s="308"/>
      <c r="Z953" s="308"/>
    </row>
    <row r="954">
      <c r="A954" s="308"/>
      <c r="B954" s="308"/>
      <c r="C954" s="308"/>
      <c r="D954" s="308"/>
      <c r="E954" s="308"/>
      <c r="F954" s="308"/>
      <c r="G954" s="308"/>
      <c r="H954" s="308"/>
      <c r="I954" s="308"/>
      <c r="J954" s="308"/>
      <c r="K954" s="308"/>
      <c r="L954" s="308"/>
      <c r="M954" s="308"/>
      <c r="N954" s="308"/>
      <c r="O954" s="308"/>
      <c r="P954" s="308"/>
      <c r="Q954" s="308"/>
      <c r="R954" s="308"/>
      <c r="S954" s="308"/>
      <c r="T954" s="308"/>
      <c r="U954" s="308"/>
      <c r="V954" s="308"/>
      <c r="W954" s="308"/>
      <c r="X954" s="308"/>
      <c r="Y954" s="308"/>
      <c r="Z954" s="308"/>
    </row>
    <row r="955">
      <c r="A955" s="308"/>
      <c r="B955" s="308"/>
      <c r="C955" s="308"/>
      <c r="D955" s="308"/>
      <c r="E955" s="308"/>
      <c r="F955" s="308"/>
      <c r="G955" s="308"/>
      <c r="H955" s="308"/>
      <c r="I955" s="308"/>
      <c r="J955" s="308"/>
      <c r="K955" s="308"/>
      <c r="L955" s="308"/>
      <c r="M955" s="308"/>
      <c r="N955" s="308"/>
      <c r="O955" s="308"/>
      <c r="P955" s="308"/>
      <c r="Q955" s="308"/>
      <c r="R955" s="308"/>
      <c r="S955" s="308"/>
      <c r="T955" s="308"/>
      <c r="U955" s="308"/>
      <c r="V955" s="308"/>
      <c r="W955" s="308"/>
      <c r="X955" s="308"/>
      <c r="Y955" s="308"/>
      <c r="Z955" s="308"/>
    </row>
    <row r="956">
      <c r="A956" s="308"/>
      <c r="B956" s="308"/>
      <c r="C956" s="308"/>
      <c r="D956" s="308"/>
      <c r="E956" s="308"/>
      <c r="F956" s="308"/>
      <c r="G956" s="308"/>
      <c r="H956" s="308"/>
      <c r="I956" s="308"/>
      <c r="J956" s="308"/>
      <c r="K956" s="308"/>
      <c r="L956" s="308"/>
      <c r="M956" s="308"/>
      <c r="N956" s="308"/>
      <c r="O956" s="308"/>
      <c r="P956" s="308"/>
      <c r="Q956" s="308"/>
      <c r="R956" s="308"/>
      <c r="S956" s="308"/>
      <c r="T956" s="308"/>
      <c r="U956" s="308"/>
      <c r="V956" s="308"/>
      <c r="W956" s="308"/>
      <c r="X956" s="308"/>
      <c r="Y956" s="308"/>
      <c r="Z956" s="308"/>
    </row>
    <row r="957">
      <c r="A957" s="308"/>
      <c r="B957" s="308"/>
      <c r="C957" s="308"/>
      <c r="D957" s="308"/>
      <c r="E957" s="308"/>
      <c r="F957" s="308"/>
      <c r="G957" s="308"/>
      <c r="H957" s="308"/>
      <c r="I957" s="308"/>
      <c r="J957" s="308"/>
      <c r="K957" s="308"/>
      <c r="L957" s="308"/>
      <c r="M957" s="308"/>
      <c r="N957" s="308"/>
      <c r="O957" s="308"/>
      <c r="P957" s="308"/>
      <c r="Q957" s="308"/>
      <c r="R957" s="308"/>
      <c r="S957" s="308"/>
      <c r="T957" s="308"/>
      <c r="U957" s="308"/>
      <c r="V957" s="308"/>
      <c r="W957" s="308"/>
      <c r="X957" s="308"/>
      <c r="Y957" s="308"/>
      <c r="Z957" s="308"/>
    </row>
    <row r="958">
      <c r="A958" s="308"/>
      <c r="B958" s="308"/>
      <c r="C958" s="308"/>
      <c r="D958" s="308"/>
      <c r="E958" s="308"/>
      <c r="F958" s="308"/>
      <c r="G958" s="308"/>
      <c r="H958" s="308"/>
      <c r="I958" s="308"/>
      <c r="J958" s="308"/>
      <c r="K958" s="308"/>
      <c r="L958" s="308"/>
      <c r="M958" s="308"/>
      <c r="N958" s="308"/>
      <c r="O958" s="308"/>
      <c r="P958" s="308"/>
      <c r="Q958" s="308"/>
      <c r="R958" s="308"/>
      <c r="S958" s="308"/>
      <c r="T958" s="308"/>
      <c r="U958" s="308"/>
      <c r="V958" s="308"/>
      <c r="W958" s="308"/>
      <c r="X958" s="308"/>
      <c r="Y958" s="308"/>
      <c r="Z958" s="308"/>
    </row>
    <row r="959">
      <c r="A959" s="308"/>
      <c r="B959" s="308"/>
      <c r="C959" s="308"/>
      <c r="D959" s="308"/>
      <c r="E959" s="308"/>
      <c r="F959" s="308"/>
      <c r="G959" s="308"/>
      <c r="H959" s="308"/>
      <c r="I959" s="308"/>
      <c r="J959" s="308"/>
      <c r="K959" s="308"/>
      <c r="L959" s="308"/>
      <c r="M959" s="308"/>
      <c r="N959" s="308"/>
      <c r="O959" s="308"/>
      <c r="P959" s="308"/>
      <c r="Q959" s="308"/>
      <c r="R959" s="308"/>
      <c r="S959" s="308"/>
      <c r="T959" s="308"/>
      <c r="U959" s="308"/>
      <c r="V959" s="308"/>
      <c r="W959" s="308"/>
      <c r="X959" s="308"/>
      <c r="Y959" s="308"/>
      <c r="Z959" s="308"/>
    </row>
    <row r="960">
      <c r="A960" s="308"/>
      <c r="B960" s="308"/>
      <c r="C960" s="308"/>
      <c r="D960" s="308"/>
      <c r="E960" s="308"/>
      <c r="F960" s="308"/>
      <c r="G960" s="308"/>
      <c r="H960" s="308"/>
      <c r="I960" s="308"/>
      <c r="J960" s="308"/>
      <c r="K960" s="308"/>
      <c r="L960" s="308"/>
      <c r="M960" s="308"/>
      <c r="N960" s="308"/>
      <c r="O960" s="308"/>
      <c r="P960" s="308"/>
      <c r="Q960" s="308"/>
      <c r="R960" s="308"/>
      <c r="S960" s="308"/>
      <c r="T960" s="308"/>
      <c r="U960" s="308"/>
      <c r="V960" s="308"/>
      <c r="W960" s="308"/>
      <c r="X960" s="308"/>
      <c r="Y960" s="308"/>
      <c r="Z960" s="308"/>
    </row>
    <row r="961">
      <c r="A961" s="308"/>
      <c r="B961" s="308"/>
      <c r="C961" s="308"/>
      <c r="D961" s="308"/>
      <c r="E961" s="308"/>
      <c r="F961" s="308"/>
      <c r="G961" s="308"/>
      <c r="H961" s="308"/>
      <c r="I961" s="308"/>
      <c r="J961" s="308"/>
      <c r="K961" s="308"/>
      <c r="L961" s="308"/>
      <c r="M961" s="308"/>
      <c r="N961" s="308"/>
      <c r="O961" s="308"/>
      <c r="P961" s="308"/>
      <c r="Q961" s="308"/>
      <c r="R961" s="308"/>
      <c r="S961" s="308"/>
      <c r="T961" s="308"/>
      <c r="U961" s="308"/>
      <c r="V961" s="308"/>
      <c r="W961" s="308"/>
      <c r="X961" s="308"/>
      <c r="Y961" s="308"/>
      <c r="Z961" s="308"/>
    </row>
    <row r="962">
      <c r="A962" s="308"/>
      <c r="B962" s="308"/>
      <c r="C962" s="308"/>
      <c r="D962" s="308"/>
      <c r="E962" s="308"/>
      <c r="F962" s="308"/>
      <c r="G962" s="308"/>
      <c r="H962" s="308"/>
      <c r="I962" s="308"/>
      <c r="J962" s="308"/>
      <c r="K962" s="308"/>
      <c r="L962" s="308"/>
      <c r="M962" s="308"/>
      <c r="N962" s="308"/>
      <c r="O962" s="308"/>
      <c r="P962" s="308"/>
      <c r="Q962" s="308"/>
      <c r="R962" s="308"/>
      <c r="S962" s="308"/>
      <c r="T962" s="308"/>
      <c r="U962" s="308"/>
      <c r="V962" s="308"/>
      <c r="W962" s="308"/>
      <c r="X962" s="308"/>
      <c r="Y962" s="308"/>
      <c r="Z962" s="308"/>
    </row>
    <row r="963">
      <c r="A963" s="308"/>
      <c r="B963" s="308"/>
      <c r="C963" s="308"/>
      <c r="D963" s="308"/>
      <c r="E963" s="308"/>
      <c r="F963" s="308"/>
      <c r="G963" s="308"/>
      <c r="H963" s="308"/>
      <c r="I963" s="308"/>
      <c r="J963" s="308"/>
      <c r="K963" s="308"/>
      <c r="L963" s="308"/>
      <c r="M963" s="308"/>
      <c r="N963" s="308"/>
      <c r="O963" s="308"/>
      <c r="P963" s="308"/>
      <c r="Q963" s="308"/>
      <c r="R963" s="308"/>
      <c r="S963" s="308"/>
      <c r="T963" s="308"/>
      <c r="U963" s="308"/>
      <c r="V963" s="308"/>
      <c r="W963" s="308"/>
      <c r="X963" s="308"/>
      <c r="Y963" s="308"/>
      <c r="Z963" s="308"/>
    </row>
    <row r="964">
      <c r="A964" s="308"/>
      <c r="B964" s="308"/>
      <c r="C964" s="308"/>
      <c r="D964" s="308"/>
      <c r="E964" s="308"/>
      <c r="F964" s="308"/>
      <c r="G964" s="308"/>
      <c r="H964" s="308"/>
      <c r="I964" s="308"/>
      <c r="J964" s="308"/>
      <c r="K964" s="308"/>
      <c r="L964" s="308"/>
      <c r="M964" s="308"/>
      <c r="N964" s="308"/>
      <c r="O964" s="308"/>
      <c r="P964" s="308"/>
      <c r="Q964" s="308"/>
      <c r="R964" s="308"/>
      <c r="S964" s="308"/>
      <c r="T964" s="308"/>
      <c r="U964" s="308"/>
      <c r="V964" s="308"/>
      <c r="W964" s="308"/>
      <c r="X964" s="308"/>
      <c r="Y964" s="308"/>
      <c r="Z964" s="308"/>
    </row>
    <row r="965">
      <c r="A965" s="308"/>
      <c r="B965" s="308"/>
      <c r="C965" s="308"/>
      <c r="D965" s="308"/>
      <c r="E965" s="308"/>
      <c r="F965" s="308"/>
      <c r="G965" s="308"/>
      <c r="H965" s="308"/>
      <c r="I965" s="308"/>
      <c r="J965" s="308"/>
      <c r="K965" s="308"/>
      <c r="L965" s="308"/>
      <c r="M965" s="308"/>
      <c r="N965" s="308"/>
      <c r="O965" s="308"/>
      <c r="P965" s="308"/>
      <c r="Q965" s="308"/>
      <c r="R965" s="308"/>
      <c r="S965" s="308"/>
      <c r="T965" s="308"/>
      <c r="U965" s="308"/>
      <c r="V965" s="308"/>
      <c r="W965" s="308"/>
      <c r="X965" s="308"/>
      <c r="Y965" s="308"/>
      <c r="Z965" s="308"/>
    </row>
    <row r="966">
      <c r="A966" s="308"/>
      <c r="B966" s="308"/>
      <c r="C966" s="308"/>
      <c r="D966" s="308"/>
      <c r="E966" s="308"/>
      <c r="F966" s="308"/>
      <c r="G966" s="308"/>
      <c r="H966" s="308"/>
      <c r="I966" s="308"/>
      <c r="J966" s="308"/>
      <c r="K966" s="308"/>
      <c r="L966" s="308"/>
      <c r="M966" s="308"/>
      <c r="N966" s="308"/>
      <c r="O966" s="308"/>
      <c r="P966" s="308"/>
      <c r="Q966" s="308"/>
      <c r="R966" s="308"/>
      <c r="S966" s="308"/>
      <c r="T966" s="308"/>
      <c r="U966" s="308"/>
      <c r="V966" s="308"/>
      <c r="W966" s="308"/>
      <c r="X966" s="308"/>
      <c r="Y966" s="308"/>
      <c r="Z966" s="308"/>
    </row>
    <row r="967">
      <c r="A967" s="308"/>
      <c r="B967" s="308"/>
      <c r="C967" s="308"/>
      <c r="D967" s="308"/>
      <c r="E967" s="308"/>
      <c r="F967" s="308"/>
      <c r="G967" s="308"/>
      <c r="H967" s="308"/>
      <c r="I967" s="308"/>
      <c r="J967" s="308"/>
      <c r="K967" s="308"/>
      <c r="L967" s="308"/>
      <c r="M967" s="308"/>
      <c r="N967" s="308"/>
      <c r="O967" s="308"/>
      <c r="P967" s="308"/>
      <c r="Q967" s="308"/>
      <c r="R967" s="308"/>
      <c r="S967" s="308"/>
      <c r="T967" s="308"/>
      <c r="U967" s="308"/>
      <c r="V967" s="308"/>
      <c r="W967" s="308"/>
      <c r="X967" s="308"/>
      <c r="Y967" s="308"/>
      <c r="Z967" s="308"/>
    </row>
    <row r="968">
      <c r="A968" s="308"/>
      <c r="B968" s="308"/>
      <c r="C968" s="308"/>
      <c r="D968" s="308"/>
      <c r="E968" s="308"/>
      <c r="F968" s="308"/>
      <c r="G968" s="308"/>
      <c r="H968" s="308"/>
      <c r="I968" s="308"/>
      <c r="J968" s="308"/>
      <c r="K968" s="308"/>
      <c r="L968" s="308"/>
      <c r="M968" s="308"/>
      <c r="N968" s="308"/>
      <c r="O968" s="308"/>
      <c r="P968" s="308"/>
      <c r="Q968" s="308"/>
      <c r="R968" s="308"/>
      <c r="S968" s="308"/>
      <c r="T968" s="308"/>
      <c r="U968" s="308"/>
      <c r="V968" s="308"/>
      <c r="W968" s="308"/>
      <c r="X968" s="308"/>
      <c r="Y968" s="308"/>
      <c r="Z968" s="308"/>
    </row>
    <row r="969">
      <c r="A969" s="308"/>
      <c r="B969" s="308"/>
      <c r="C969" s="308"/>
      <c r="D969" s="308"/>
      <c r="E969" s="308"/>
      <c r="F969" s="308"/>
      <c r="G969" s="308"/>
      <c r="H969" s="308"/>
      <c r="I969" s="308"/>
      <c r="J969" s="308"/>
      <c r="K969" s="308"/>
      <c r="L969" s="308"/>
      <c r="M969" s="308"/>
      <c r="N969" s="308"/>
      <c r="O969" s="308"/>
      <c r="P969" s="308"/>
      <c r="Q969" s="308"/>
      <c r="R969" s="308"/>
      <c r="S969" s="308"/>
      <c r="T969" s="308"/>
      <c r="U969" s="308"/>
      <c r="V969" s="308"/>
      <c r="W969" s="308"/>
      <c r="X969" s="308"/>
      <c r="Y969" s="308"/>
      <c r="Z969" s="308"/>
    </row>
    <row r="970">
      <c r="A970" s="308"/>
      <c r="B970" s="308"/>
      <c r="C970" s="308"/>
      <c r="D970" s="308"/>
      <c r="E970" s="308"/>
      <c r="F970" s="308"/>
      <c r="G970" s="308"/>
      <c r="H970" s="308"/>
      <c r="I970" s="308"/>
      <c r="J970" s="308"/>
      <c r="K970" s="308"/>
      <c r="L970" s="308"/>
      <c r="M970" s="308"/>
      <c r="N970" s="308"/>
      <c r="O970" s="308"/>
      <c r="P970" s="308"/>
      <c r="Q970" s="308"/>
      <c r="R970" s="308"/>
      <c r="S970" s="308"/>
      <c r="T970" s="308"/>
      <c r="U970" s="308"/>
      <c r="V970" s="308"/>
      <c r="W970" s="308"/>
      <c r="X970" s="308"/>
      <c r="Y970" s="308"/>
      <c r="Z970" s="308"/>
    </row>
    <row r="971">
      <c r="A971" s="308"/>
      <c r="B971" s="308"/>
      <c r="C971" s="308"/>
      <c r="D971" s="308"/>
      <c r="E971" s="308"/>
      <c r="F971" s="308"/>
      <c r="G971" s="308"/>
      <c r="H971" s="308"/>
      <c r="I971" s="308"/>
      <c r="J971" s="308"/>
      <c r="K971" s="308"/>
      <c r="L971" s="308"/>
      <c r="M971" s="308"/>
      <c r="N971" s="308"/>
      <c r="O971" s="308"/>
      <c r="P971" s="308"/>
      <c r="Q971" s="308"/>
      <c r="R971" s="308"/>
      <c r="S971" s="308"/>
      <c r="T971" s="308"/>
      <c r="U971" s="308"/>
      <c r="V971" s="308"/>
      <c r="W971" s="308"/>
      <c r="X971" s="308"/>
      <c r="Y971" s="308"/>
      <c r="Z971" s="308"/>
    </row>
    <row r="972">
      <c r="A972" s="308"/>
      <c r="B972" s="308"/>
      <c r="C972" s="308"/>
      <c r="D972" s="308"/>
      <c r="E972" s="308"/>
      <c r="F972" s="308"/>
      <c r="G972" s="308"/>
      <c r="H972" s="308"/>
      <c r="I972" s="308"/>
      <c r="J972" s="308"/>
      <c r="K972" s="308"/>
      <c r="L972" s="308"/>
      <c r="M972" s="308"/>
      <c r="N972" s="308"/>
      <c r="O972" s="308"/>
      <c r="P972" s="308"/>
      <c r="Q972" s="308"/>
      <c r="R972" s="308"/>
      <c r="S972" s="308"/>
      <c r="T972" s="308"/>
      <c r="U972" s="308"/>
      <c r="V972" s="308"/>
      <c r="W972" s="308"/>
      <c r="X972" s="308"/>
      <c r="Y972" s="308"/>
      <c r="Z972" s="308"/>
    </row>
    <row r="973">
      <c r="A973" s="308"/>
      <c r="B973" s="308"/>
      <c r="C973" s="308"/>
      <c r="D973" s="308"/>
      <c r="E973" s="308"/>
      <c r="F973" s="308"/>
      <c r="G973" s="308"/>
      <c r="H973" s="308"/>
      <c r="I973" s="308"/>
      <c r="J973" s="308"/>
      <c r="K973" s="308"/>
      <c r="L973" s="308"/>
      <c r="M973" s="308"/>
      <c r="N973" s="308"/>
      <c r="O973" s="308"/>
      <c r="P973" s="308"/>
      <c r="Q973" s="308"/>
      <c r="R973" s="308"/>
      <c r="S973" s="308"/>
      <c r="T973" s="308"/>
      <c r="U973" s="308"/>
      <c r="V973" s="308"/>
      <c r="W973" s="308"/>
      <c r="X973" s="308"/>
      <c r="Y973" s="308"/>
      <c r="Z973" s="308"/>
    </row>
    <row r="974">
      <c r="A974" s="308"/>
      <c r="B974" s="308"/>
      <c r="C974" s="308"/>
      <c r="D974" s="308"/>
      <c r="E974" s="308"/>
      <c r="F974" s="308"/>
      <c r="G974" s="308"/>
      <c r="H974" s="308"/>
      <c r="I974" s="308"/>
      <c r="J974" s="308"/>
      <c r="K974" s="308"/>
      <c r="L974" s="308"/>
      <c r="M974" s="308"/>
      <c r="N974" s="308"/>
      <c r="O974" s="308"/>
      <c r="P974" s="308"/>
      <c r="Q974" s="308"/>
      <c r="R974" s="308"/>
      <c r="S974" s="308"/>
      <c r="T974" s="308"/>
      <c r="U974" s="308"/>
      <c r="V974" s="308"/>
      <c r="W974" s="308"/>
      <c r="X974" s="308"/>
      <c r="Y974" s="308"/>
      <c r="Z974" s="308"/>
    </row>
    <row r="975">
      <c r="A975" s="308"/>
      <c r="B975" s="308"/>
      <c r="C975" s="308"/>
      <c r="D975" s="308"/>
      <c r="E975" s="308"/>
      <c r="F975" s="308"/>
      <c r="G975" s="308"/>
      <c r="H975" s="308"/>
      <c r="I975" s="308"/>
      <c r="J975" s="308"/>
      <c r="K975" s="308"/>
      <c r="L975" s="308"/>
      <c r="M975" s="308"/>
      <c r="N975" s="308"/>
      <c r="O975" s="308"/>
      <c r="P975" s="308"/>
      <c r="Q975" s="308"/>
      <c r="R975" s="308"/>
      <c r="S975" s="308"/>
      <c r="T975" s="308"/>
      <c r="U975" s="308"/>
      <c r="V975" s="308"/>
      <c r="W975" s="308"/>
      <c r="X975" s="308"/>
      <c r="Y975" s="308"/>
      <c r="Z975" s="308"/>
    </row>
    <row r="976">
      <c r="A976" s="308"/>
      <c r="B976" s="308"/>
      <c r="C976" s="308"/>
      <c r="D976" s="308"/>
      <c r="E976" s="308"/>
      <c r="F976" s="308"/>
      <c r="G976" s="308"/>
      <c r="H976" s="308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08"/>
      <c r="W976" s="308"/>
      <c r="X976" s="308"/>
      <c r="Y976" s="308"/>
      <c r="Z976" s="308"/>
    </row>
    <row r="977">
      <c r="A977" s="308"/>
      <c r="B977" s="308"/>
      <c r="C977" s="308"/>
      <c r="D977" s="308"/>
      <c r="E977" s="308"/>
      <c r="F977" s="308"/>
      <c r="G977" s="308"/>
      <c r="H977" s="308"/>
      <c r="I977" s="308"/>
      <c r="J977" s="308"/>
      <c r="K977" s="308"/>
      <c r="L977" s="308"/>
      <c r="M977" s="308"/>
      <c r="N977" s="308"/>
      <c r="O977" s="308"/>
      <c r="P977" s="308"/>
      <c r="Q977" s="308"/>
      <c r="R977" s="308"/>
      <c r="S977" s="308"/>
      <c r="T977" s="308"/>
      <c r="U977" s="308"/>
      <c r="V977" s="308"/>
      <c r="W977" s="308"/>
      <c r="X977" s="308"/>
      <c r="Y977" s="308"/>
      <c r="Z977" s="308"/>
    </row>
    <row r="978">
      <c r="A978" s="308"/>
      <c r="B978" s="308"/>
      <c r="C978" s="308"/>
      <c r="D978" s="308"/>
      <c r="E978" s="308"/>
      <c r="F978" s="308"/>
      <c r="G978" s="308"/>
      <c r="H978" s="308"/>
      <c r="I978" s="308"/>
      <c r="J978" s="308"/>
      <c r="K978" s="308"/>
      <c r="L978" s="308"/>
      <c r="M978" s="308"/>
      <c r="N978" s="308"/>
      <c r="O978" s="308"/>
      <c r="P978" s="308"/>
      <c r="Q978" s="308"/>
      <c r="R978" s="308"/>
      <c r="S978" s="308"/>
      <c r="T978" s="308"/>
      <c r="U978" s="308"/>
      <c r="V978" s="308"/>
      <c r="W978" s="308"/>
      <c r="X978" s="308"/>
      <c r="Y978" s="308"/>
      <c r="Z978" s="308"/>
    </row>
    <row r="979">
      <c r="A979" s="308"/>
      <c r="B979" s="308"/>
      <c r="C979" s="308"/>
      <c r="D979" s="308"/>
      <c r="E979" s="308"/>
      <c r="F979" s="308"/>
      <c r="G979" s="308"/>
      <c r="H979" s="308"/>
      <c r="I979" s="308"/>
      <c r="J979" s="308"/>
      <c r="K979" s="308"/>
      <c r="L979" s="308"/>
      <c r="M979" s="308"/>
      <c r="N979" s="308"/>
      <c r="O979" s="308"/>
      <c r="P979" s="308"/>
      <c r="Q979" s="308"/>
      <c r="R979" s="308"/>
      <c r="S979" s="308"/>
      <c r="T979" s="308"/>
      <c r="U979" s="308"/>
      <c r="V979" s="308"/>
      <c r="W979" s="308"/>
      <c r="X979" s="308"/>
      <c r="Y979" s="308"/>
      <c r="Z979" s="308"/>
    </row>
    <row r="980">
      <c r="A980" s="308"/>
      <c r="B980" s="308"/>
      <c r="C980" s="308"/>
      <c r="D980" s="308"/>
      <c r="E980" s="308"/>
      <c r="F980" s="308"/>
      <c r="G980" s="308"/>
      <c r="H980" s="308"/>
      <c r="I980" s="308"/>
      <c r="J980" s="308"/>
      <c r="K980" s="308"/>
      <c r="L980" s="308"/>
      <c r="M980" s="308"/>
      <c r="N980" s="308"/>
      <c r="O980" s="308"/>
      <c r="P980" s="308"/>
      <c r="Q980" s="308"/>
      <c r="R980" s="308"/>
      <c r="S980" s="308"/>
      <c r="T980" s="308"/>
      <c r="U980" s="308"/>
      <c r="V980" s="308"/>
      <c r="W980" s="308"/>
      <c r="X980" s="308"/>
      <c r="Y980" s="308"/>
      <c r="Z980" s="308"/>
    </row>
    <row r="981">
      <c r="A981" s="308"/>
      <c r="B981" s="308"/>
      <c r="C981" s="308"/>
      <c r="D981" s="308"/>
      <c r="E981" s="308"/>
      <c r="F981" s="308"/>
      <c r="G981" s="308"/>
      <c r="H981" s="308"/>
      <c r="I981" s="308"/>
      <c r="J981" s="308"/>
      <c r="K981" s="308"/>
      <c r="L981" s="308"/>
      <c r="M981" s="308"/>
      <c r="N981" s="308"/>
      <c r="O981" s="308"/>
      <c r="P981" s="308"/>
      <c r="Q981" s="308"/>
      <c r="R981" s="308"/>
      <c r="S981" s="308"/>
      <c r="T981" s="308"/>
      <c r="U981" s="308"/>
      <c r="V981" s="308"/>
      <c r="W981" s="308"/>
      <c r="X981" s="308"/>
      <c r="Y981" s="308"/>
      <c r="Z981" s="308"/>
    </row>
    <row r="982">
      <c r="A982" s="308"/>
      <c r="B982" s="308"/>
      <c r="C982" s="308"/>
      <c r="D982" s="308"/>
      <c r="E982" s="308"/>
      <c r="F982" s="308"/>
      <c r="G982" s="308"/>
      <c r="H982" s="308"/>
      <c r="I982" s="308"/>
      <c r="J982" s="308"/>
      <c r="K982" s="308"/>
      <c r="L982" s="308"/>
      <c r="M982" s="308"/>
      <c r="N982" s="308"/>
      <c r="O982" s="308"/>
      <c r="P982" s="308"/>
      <c r="Q982" s="308"/>
      <c r="R982" s="308"/>
      <c r="S982" s="308"/>
      <c r="T982" s="308"/>
      <c r="U982" s="308"/>
      <c r="V982" s="308"/>
      <c r="W982" s="308"/>
      <c r="X982" s="308"/>
      <c r="Y982" s="308"/>
      <c r="Z982" s="308"/>
    </row>
    <row r="983">
      <c r="A983" s="308"/>
      <c r="B983" s="308"/>
      <c r="C983" s="308"/>
      <c r="D983" s="308"/>
      <c r="E983" s="308"/>
      <c r="F983" s="308"/>
      <c r="G983" s="308"/>
      <c r="H983" s="308"/>
      <c r="I983" s="308"/>
      <c r="J983" s="308"/>
      <c r="K983" s="308"/>
      <c r="L983" s="308"/>
      <c r="M983" s="308"/>
      <c r="N983" s="308"/>
      <c r="O983" s="308"/>
      <c r="P983" s="308"/>
      <c r="Q983" s="308"/>
      <c r="R983" s="308"/>
      <c r="S983" s="308"/>
      <c r="T983" s="308"/>
      <c r="U983" s="308"/>
      <c r="V983" s="308"/>
      <c r="W983" s="308"/>
      <c r="X983" s="308"/>
      <c r="Y983" s="308"/>
      <c r="Z983" s="308"/>
    </row>
    <row r="984">
      <c r="A984" s="308"/>
      <c r="B984" s="308"/>
      <c r="C984" s="308"/>
      <c r="D984" s="308"/>
      <c r="E984" s="308"/>
      <c r="F984" s="308"/>
      <c r="G984" s="308"/>
      <c r="H984" s="308"/>
      <c r="I984" s="308"/>
      <c r="J984" s="308"/>
      <c r="K984" s="308"/>
      <c r="L984" s="308"/>
      <c r="M984" s="308"/>
      <c r="N984" s="308"/>
      <c r="O984" s="308"/>
      <c r="P984" s="308"/>
      <c r="Q984" s="308"/>
      <c r="R984" s="308"/>
      <c r="S984" s="308"/>
      <c r="T984" s="308"/>
      <c r="U984" s="308"/>
      <c r="V984" s="308"/>
      <c r="W984" s="308"/>
      <c r="X984" s="308"/>
      <c r="Y984" s="308"/>
      <c r="Z984" s="308"/>
    </row>
    <row r="985">
      <c r="A985" s="308"/>
      <c r="B985" s="308"/>
      <c r="C985" s="308"/>
      <c r="D985" s="308"/>
      <c r="E985" s="308"/>
      <c r="F985" s="308"/>
      <c r="G985" s="308"/>
      <c r="H985" s="308"/>
      <c r="I985" s="308"/>
      <c r="J985" s="308"/>
      <c r="K985" s="308"/>
      <c r="L985" s="308"/>
      <c r="M985" s="308"/>
      <c r="N985" s="308"/>
      <c r="O985" s="308"/>
      <c r="P985" s="308"/>
      <c r="Q985" s="308"/>
      <c r="R985" s="308"/>
      <c r="S985" s="308"/>
      <c r="T985" s="308"/>
      <c r="U985" s="308"/>
      <c r="V985" s="308"/>
      <c r="W985" s="308"/>
      <c r="X985" s="308"/>
      <c r="Y985" s="308"/>
      <c r="Z985" s="308"/>
    </row>
    <row r="986">
      <c r="A986" s="308"/>
      <c r="B986" s="308"/>
      <c r="C986" s="308"/>
      <c r="D986" s="308"/>
      <c r="E986" s="308"/>
      <c r="F986" s="308"/>
      <c r="G986" s="308"/>
      <c r="H986" s="308"/>
      <c r="I986" s="308"/>
      <c r="J986" s="308"/>
      <c r="K986" s="308"/>
      <c r="L986" s="308"/>
      <c r="M986" s="308"/>
      <c r="N986" s="308"/>
      <c r="O986" s="308"/>
      <c r="P986" s="308"/>
      <c r="Q986" s="308"/>
      <c r="R986" s="308"/>
      <c r="S986" s="308"/>
      <c r="T986" s="308"/>
      <c r="U986" s="308"/>
      <c r="V986" s="308"/>
      <c r="W986" s="308"/>
      <c r="X986" s="308"/>
      <c r="Y986" s="308"/>
      <c r="Z986" s="308"/>
    </row>
    <row r="987">
      <c r="A987" s="308"/>
      <c r="B987" s="308"/>
      <c r="C987" s="308"/>
      <c r="D987" s="308"/>
      <c r="E987" s="308"/>
      <c r="F987" s="308"/>
      <c r="G987" s="308"/>
      <c r="H987" s="308"/>
      <c r="I987" s="308"/>
      <c r="J987" s="308"/>
      <c r="K987" s="308"/>
      <c r="L987" s="308"/>
      <c r="M987" s="308"/>
      <c r="N987" s="308"/>
      <c r="O987" s="308"/>
      <c r="P987" s="308"/>
      <c r="Q987" s="308"/>
      <c r="R987" s="308"/>
      <c r="S987" s="308"/>
      <c r="T987" s="308"/>
      <c r="U987" s="308"/>
      <c r="V987" s="308"/>
      <c r="W987" s="308"/>
      <c r="X987" s="308"/>
      <c r="Y987" s="308"/>
      <c r="Z987" s="308"/>
    </row>
    <row r="988">
      <c r="A988" s="308"/>
      <c r="B988" s="308"/>
      <c r="C988" s="308"/>
      <c r="D988" s="308"/>
      <c r="E988" s="308"/>
      <c r="F988" s="308"/>
      <c r="G988" s="308"/>
      <c r="H988" s="308"/>
      <c r="I988" s="308"/>
      <c r="J988" s="308"/>
      <c r="K988" s="308"/>
      <c r="L988" s="308"/>
      <c r="M988" s="308"/>
      <c r="N988" s="308"/>
      <c r="O988" s="308"/>
      <c r="P988" s="308"/>
      <c r="Q988" s="308"/>
      <c r="R988" s="308"/>
      <c r="S988" s="308"/>
      <c r="T988" s="308"/>
      <c r="U988" s="308"/>
      <c r="V988" s="308"/>
      <c r="W988" s="308"/>
      <c r="X988" s="308"/>
      <c r="Y988" s="308"/>
      <c r="Z988" s="308"/>
    </row>
    <row r="989">
      <c r="A989" s="308"/>
      <c r="B989" s="308"/>
      <c r="C989" s="308"/>
      <c r="D989" s="308"/>
      <c r="E989" s="308"/>
      <c r="F989" s="308"/>
      <c r="G989" s="308"/>
      <c r="H989" s="308"/>
      <c r="I989" s="308"/>
      <c r="J989" s="308"/>
      <c r="K989" s="308"/>
      <c r="L989" s="308"/>
      <c r="M989" s="308"/>
      <c r="N989" s="308"/>
      <c r="O989" s="308"/>
      <c r="P989" s="308"/>
      <c r="Q989" s="308"/>
      <c r="R989" s="308"/>
      <c r="S989" s="308"/>
      <c r="T989" s="308"/>
      <c r="U989" s="308"/>
      <c r="V989" s="308"/>
      <c r="W989" s="308"/>
      <c r="X989" s="308"/>
      <c r="Y989" s="308"/>
      <c r="Z989" s="308"/>
    </row>
    <row r="990">
      <c r="A990" s="308"/>
      <c r="B990" s="308"/>
      <c r="C990" s="308"/>
      <c r="D990" s="308"/>
      <c r="E990" s="308"/>
      <c r="F990" s="308"/>
      <c r="G990" s="308"/>
      <c r="H990" s="308"/>
      <c r="I990" s="308"/>
      <c r="J990" s="308"/>
      <c r="K990" s="308"/>
      <c r="L990" s="308"/>
      <c r="M990" s="308"/>
      <c r="N990" s="308"/>
      <c r="O990" s="308"/>
      <c r="P990" s="308"/>
      <c r="Q990" s="308"/>
      <c r="R990" s="308"/>
      <c r="S990" s="308"/>
      <c r="T990" s="308"/>
      <c r="U990" s="308"/>
      <c r="V990" s="308"/>
      <c r="W990" s="308"/>
      <c r="X990" s="308"/>
      <c r="Y990" s="308"/>
      <c r="Z990" s="308"/>
    </row>
    <row r="991">
      <c r="A991" s="308"/>
      <c r="B991" s="308"/>
      <c r="C991" s="308"/>
      <c r="D991" s="308"/>
      <c r="E991" s="308"/>
      <c r="F991" s="308"/>
      <c r="G991" s="308"/>
      <c r="H991" s="308"/>
      <c r="I991" s="308"/>
      <c r="J991" s="308"/>
      <c r="K991" s="308"/>
      <c r="L991" s="308"/>
      <c r="M991" s="308"/>
      <c r="N991" s="308"/>
      <c r="O991" s="308"/>
      <c r="P991" s="308"/>
      <c r="Q991" s="308"/>
      <c r="R991" s="308"/>
      <c r="S991" s="308"/>
      <c r="T991" s="308"/>
      <c r="U991" s="308"/>
      <c r="V991" s="308"/>
      <c r="W991" s="308"/>
      <c r="X991" s="308"/>
      <c r="Y991" s="308"/>
      <c r="Z991" s="308"/>
    </row>
    <row r="992">
      <c r="A992" s="308"/>
      <c r="B992" s="308"/>
      <c r="C992" s="308"/>
      <c r="D992" s="308"/>
      <c r="E992" s="308"/>
      <c r="F992" s="308"/>
      <c r="G992" s="308"/>
      <c r="H992" s="308"/>
      <c r="I992" s="308"/>
      <c r="J992" s="308"/>
      <c r="K992" s="308"/>
      <c r="L992" s="308"/>
      <c r="M992" s="308"/>
      <c r="N992" s="308"/>
      <c r="O992" s="308"/>
      <c r="P992" s="308"/>
      <c r="Q992" s="308"/>
      <c r="R992" s="308"/>
      <c r="S992" s="308"/>
      <c r="T992" s="308"/>
      <c r="U992" s="308"/>
      <c r="V992" s="308"/>
      <c r="W992" s="308"/>
      <c r="X992" s="308"/>
      <c r="Y992" s="308"/>
      <c r="Z992" s="308"/>
    </row>
    <row r="993">
      <c r="A993" s="308"/>
      <c r="B993" s="308"/>
      <c r="C993" s="308"/>
      <c r="D993" s="308"/>
      <c r="E993" s="308"/>
      <c r="F993" s="308"/>
      <c r="G993" s="308"/>
      <c r="H993" s="308"/>
      <c r="I993" s="308"/>
      <c r="J993" s="308"/>
      <c r="K993" s="308"/>
      <c r="L993" s="308"/>
      <c r="M993" s="308"/>
      <c r="N993" s="308"/>
      <c r="O993" s="308"/>
      <c r="P993" s="308"/>
      <c r="Q993" s="308"/>
      <c r="R993" s="308"/>
      <c r="S993" s="308"/>
      <c r="T993" s="308"/>
      <c r="U993" s="308"/>
      <c r="V993" s="308"/>
      <c r="W993" s="308"/>
      <c r="X993" s="308"/>
      <c r="Y993" s="308"/>
      <c r="Z993" s="308"/>
    </row>
    <row r="994">
      <c r="A994" s="308"/>
      <c r="B994" s="308"/>
      <c r="C994" s="308"/>
      <c r="D994" s="308"/>
      <c r="E994" s="308"/>
      <c r="F994" s="308"/>
      <c r="G994" s="308"/>
      <c r="H994" s="308"/>
      <c r="I994" s="308"/>
      <c r="J994" s="308"/>
      <c r="K994" s="308"/>
      <c r="L994" s="308"/>
      <c r="M994" s="308"/>
      <c r="N994" s="308"/>
      <c r="O994" s="308"/>
      <c r="P994" s="308"/>
      <c r="Q994" s="308"/>
      <c r="R994" s="308"/>
      <c r="S994" s="308"/>
      <c r="T994" s="308"/>
      <c r="U994" s="308"/>
      <c r="V994" s="308"/>
      <c r="W994" s="308"/>
      <c r="X994" s="308"/>
      <c r="Y994" s="308"/>
      <c r="Z994" s="308"/>
    </row>
    <row r="995">
      <c r="A995" s="308"/>
      <c r="B995" s="308"/>
      <c r="C995" s="308"/>
      <c r="D995" s="308"/>
      <c r="E995" s="308"/>
      <c r="F995" s="308"/>
      <c r="G995" s="308"/>
      <c r="H995" s="308"/>
      <c r="I995" s="308"/>
      <c r="J995" s="308"/>
      <c r="K995" s="308"/>
      <c r="L995" s="308"/>
      <c r="M995" s="308"/>
      <c r="N995" s="308"/>
      <c r="O995" s="308"/>
      <c r="P995" s="308"/>
      <c r="Q995" s="308"/>
      <c r="R995" s="308"/>
      <c r="S995" s="308"/>
      <c r="T995" s="308"/>
      <c r="U995" s="308"/>
      <c r="V995" s="308"/>
      <c r="W995" s="308"/>
      <c r="X995" s="308"/>
      <c r="Y995" s="308"/>
      <c r="Z995" s="308"/>
    </row>
    <row r="996">
      <c r="A996" s="308"/>
      <c r="B996" s="308"/>
      <c r="C996" s="308"/>
      <c r="D996" s="308"/>
      <c r="E996" s="308"/>
      <c r="F996" s="308"/>
      <c r="G996" s="308"/>
      <c r="H996" s="308"/>
      <c r="I996" s="308"/>
      <c r="J996" s="308"/>
      <c r="K996" s="308"/>
      <c r="L996" s="308"/>
      <c r="M996" s="308"/>
      <c r="N996" s="308"/>
      <c r="O996" s="308"/>
      <c r="P996" s="308"/>
      <c r="Q996" s="308"/>
      <c r="R996" s="308"/>
      <c r="S996" s="308"/>
      <c r="T996" s="308"/>
      <c r="U996" s="308"/>
      <c r="V996" s="308"/>
      <c r="W996" s="308"/>
      <c r="X996" s="308"/>
      <c r="Y996" s="308"/>
      <c r="Z996" s="308"/>
    </row>
    <row r="997">
      <c r="A997" s="308"/>
      <c r="B997" s="308"/>
      <c r="C997" s="308"/>
      <c r="D997" s="308"/>
      <c r="E997" s="308"/>
      <c r="F997" s="308"/>
      <c r="G997" s="308"/>
      <c r="H997" s="308"/>
      <c r="I997" s="308"/>
      <c r="J997" s="308"/>
      <c r="K997" s="308"/>
      <c r="L997" s="308"/>
      <c r="M997" s="308"/>
      <c r="N997" s="308"/>
      <c r="O997" s="308"/>
      <c r="P997" s="308"/>
      <c r="Q997" s="308"/>
      <c r="R997" s="308"/>
      <c r="S997" s="308"/>
      <c r="T997" s="308"/>
      <c r="U997" s="308"/>
      <c r="V997" s="308"/>
      <c r="W997" s="308"/>
      <c r="X997" s="308"/>
      <c r="Y997" s="308"/>
      <c r="Z997" s="308"/>
    </row>
    <row r="998">
      <c r="A998" s="308"/>
      <c r="B998" s="308"/>
      <c r="C998" s="308"/>
      <c r="D998" s="308"/>
      <c r="E998" s="308"/>
      <c r="F998" s="308"/>
      <c r="G998" s="308"/>
      <c r="H998" s="308"/>
      <c r="I998" s="308"/>
      <c r="J998" s="308"/>
      <c r="K998" s="308"/>
      <c r="L998" s="308"/>
      <c r="M998" s="308"/>
      <c r="N998" s="308"/>
      <c r="O998" s="308"/>
      <c r="P998" s="308"/>
      <c r="Q998" s="308"/>
      <c r="R998" s="308"/>
      <c r="S998" s="308"/>
      <c r="T998" s="308"/>
      <c r="U998" s="308"/>
      <c r="V998" s="308"/>
      <c r="W998" s="308"/>
      <c r="X998" s="308"/>
      <c r="Y998" s="308"/>
      <c r="Z998" s="308"/>
    </row>
    <row r="999">
      <c r="A999" s="308"/>
      <c r="B999" s="308"/>
      <c r="C999" s="308"/>
      <c r="D999" s="308"/>
      <c r="E999" s="308"/>
      <c r="F999" s="308"/>
      <c r="G999" s="308"/>
      <c r="H999" s="308"/>
      <c r="I999" s="308"/>
      <c r="J999" s="308"/>
      <c r="K999" s="308"/>
      <c r="L999" s="308"/>
      <c r="M999" s="308"/>
      <c r="N999" s="308"/>
      <c r="O999" s="308"/>
      <c r="P999" s="308"/>
      <c r="Q999" s="308"/>
      <c r="R999" s="308"/>
      <c r="S999" s="308"/>
      <c r="T999" s="308"/>
      <c r="U999" s="308"/>
      <c r="V999" s="308"/>
      <c r="W999" s="308"/>
      <c r="X999" s="308"/>
      <c r="Y999" s="308"/>
      <c r="Z999" s="308"/>
    </row>
    <row r="1000">
      <c r="A1000" s="308"/>
      <c r="B1000" s="308"/>
      <c r="C1000" s="308"/>
      <c r="D1000" s="308"/>
      <c r="E1000" s="308"/>
      <c r="F1000" s="308"/>
      <c r="G1000" s="308"/>
      <c r="H1000" s="308"/>
      <c r="I1000" s="308"/>
      <c r="J1000" s="308"/>
      <c r="K1000" s="308"/>
      <c r="L1000" s="308"/>
      <c r="M1000" s="308"/>
      <c r="N1000" s="308"/>
      <c r="O1000" s="308"/>
      <c r="P1000" s="308"/>
      <c r="Q1000" s="308"/>
      <c r="R1000" s="308"/>
      <c r="S1000" s="308"/>
      <c r="T1000" s="308"/>
      <c r="U1000" s="308"/>
      <c r="V1000" s="308"/>
      <c r="W1000" s="308"/>
      <c r="X1000" s="308"/>
      <c r="Y1000" s="308"/>
      <c r="Z1000" s="308"/>
    </row>
    <row r="1001">
      <c r="A1001" s="308"/>
      <c r="B1001" s="308"/>
      <c r="C1001" s="308"/>
      <c r="D1001" s="308"/>
      <c r="E1001" s="308"/>
      <c r="F1001" s="308"/>
      <c r="G1001" s="308"/>
      <c r="H1001" s="308"/>
      <c r="I1001" s="308"/>
      <c r="J1001" s="308"/>
      <c r="K1001" s="308"/>
      <c r="L1001" s="308"/>
      <c r="M1001" s="308"/>
      <c r="N1001" s="308"/>
      <c r="O1001" s="308"/>
      <c r="P1001" s="308"/>
      <c r="Q1001" s="308"/>
      <c r="R1001" s="308"/>
      <c r="S1001" s="308"/>
      <c r="T1001" s="308"/>
      <c r="U1001" s="308"/>
      <c r="V1001" s="308"/>
      <c r="W1001" s="308"/>
      <c r="X1001" s="308"/>
      <c r="Y1001" s="308"/>
      <c r="Z1001" s="308"/>
    </row>
    <row r="1002">
      <c r="A1002" s="308"/>
      <c r="B1002" s="308"/>
      <c r="C1002" s="308"/>
      <c r="D1002" s="308"/>
      <c r="E1002" s="308"/>
      <c r="F1002" s="308"/>
      <c r="G1002" s="308"/>
      <c r="H1002" s="308"/>
      <c r="I1002" s="308"/>
      <c r="J1002" s="308"/>
      <c r="K1002" s="308"/>
      <c r="L1002" s="308"/>
      <c r="M1002" s="308"/>
      <c r="N1002" s="308"/>
      <c r="O1002" s="308"/>
      <c r="P1002" s="308"/>
      <c r="Q1002" s="308"/>
      <c r="R1002" s="308"/>
      <c r="S1002" s="308"/>
      <c r="T1002" s="308"/>
      <c r="U1002" s="308"/>
      <c r="V1002" s="308"/>
      <c r="W1002" s="308"/>
      <c r="X1002" s="308"/>
      <c r="Y1002" s="308"/>
      <c r="Z1002" s="308"/>
    </row>
    <row r="1003">
      <c r="A1003" s="308"/>
      <c r="B1003" s="308"/>
      <c r="C1003" s="308"/>
      <c r="D1003" s="308"/>
      <c r="E1003" s="308"/>
      <c r="F1003" s="308"/>
      <c r="G1003" s="308"/>
      <c r="H1003" s="308"/>
      <c r="I1003" s="308"/>
      <c r="J1003" s="308"/>
      <c r="K1003" s="308"/>
      <c r="L1003" s="308"/>
      <c r="M1003" s="308"/>
      <c r="N1003" s="308"/>
      <c r="O1003" s="308"/>
      <c r="P1003" s="308"/>
      <c r="Q1003" s="308"/>
      <c r="R1003" s="308"/>
      <c r="S1003" s="308"/>
      <c r="T1003" s="308"/>
      <c r="U1003" s="308"/>
      <c r="V1003" s="308"/>
      <c r="W1003" s="308"/>
      <c r="X1003" s="308"/>
      <c r="Y1003" s="308"/>
      <c r="Z1003" s="308"/>
    </row>
    <row r="1004">
      <c r="A1004" s="308"/>
      <c r="B1004" s="308"/>
      <c r="C1004" s="308"/>
      <c r="D1004" s="308"/>
      <c r="E1004" s="308"/>
      <c r="F1004" s="308"/>
      <c r="G1004" s="308"/>
      <c r="H1004" s="308"/>
      <c r="I1004" s="308"/>
      <c r="J1004" s="308"/>
      <c r="K1004" s="308"/>
      <c r="L1004" s="308"/>
      <c r="M1004" s="308"/>
      <c r="N1004" s="308"/>
      <c r="O1004" s="308"/>
      <c r="P1004" s="308"/>
      <c r="Q1004" s="308"/>
      <c r="R1004" s="308"/>
      <c r="S1004" s="308"/>
      <c r="T1004" s="308"/>
      <c r="U1004" s="308"/>
      <c r="V1004" s="308"/>
      <c r="W1004" s="308"/>
      <c r="X1004" s="308"/>
      <c r="Y1004" s="308"/>
      <c r="Z1004" s="308"/>
    </row>
    <row r="1005">
      <c r="A1005" s="308"/>
      <c r="B1005" s="308"/>
      <c r="C1005" s="308"/>
      <c r="D1005" s="308"/>
      <c r="E1005" s="308"/>
      <c r="F1005" s="308"/>
      <c r="G1005" s="308"/>
      <c r="H1005" s="308"/>
      <c r="I1005" s="308"/>
      <c r="J1005" s="308"/>
      <c r="K1005" s="308"/>
      <c r="L1005" s="308"/>
      <c r="M1005" s="308"/>
      <c r="N1005" s="308"/>
      <c r="O1005" s="308"/>
      <c r="P1005" s="308"/>
      <c r="Q1005" s="308"/>
      <c r="R1005" s="308"/>
      <c r="S1005" s="308"/>
      <c r="T1005" s="308"/>
      <c r="U1005" s="308"/>
      <c r="V1005" s="308"/>
      <c r="W1005" s="308"/>
      <c r="X1005" s="308"/>
      <c r="Y1005" s="308"/>
      <c r="Z1005" s="308"/>
    </row>
    <row r="1006">
      <c r="A1006" s="308"/>
      <c r="B1006" s="308"/>
      <c r="C1006" s="308"/>
      <c r="D1006" s="308"/>
      <c r="E1006" s="308"/>
      <c r="F1006" s="308"/>
      <c r="G1006" s="308"/>
      <c r="H1006" s="308"/>
      <c r="I1006" s="308"/>
      <c r="J1006" s="308"/>
      <c r="K1006" s="308"/>
      <c r="L1006" s="308"/>
      <c r="M1006" s="308"/>
      <c r="N1006" s="308"/>
      <c r="O1006" s="308"/>
      <c r="P1006" s="308"/>
      <c r="Q1006" s="308"/>
      <c r="R1006" s="308"/>
      <c r="S1006" s="308"/>
      <c r="T1006" s="308"/>
      <c r="U1006" s="308"/>
      <c r="V1006" s="308"/>
      <c r="W1006" s="308"/>
      <c r="X1006" s="308"/>
      <c r="Y1006" s="308"/>
      <c r="Z1006" s="308"/>
    </row>
    <row r="1007">
      <c r="A1007" s="308"/>
      <c r="B1007" s="308"/>
      <c r="C1007" s="308"/>
      <c r="D1007" s="308"/>
      <c r="E1007" s="308"/>
      <c r="F1007" s="308"/>
      <c r="G1007" s="308"/>
      <c r="H1007" s="308"/>
      <c r="I1007" s="308"/>
      <c r="J1007" s="308"/>
      <c r="K1007" s="308"/>
      <c r="L1007" s="308"/>
      <c r="M1007" s="308"/>
      <c r="N1007" s="308"/>
      <c r="O1007" s="308"/>
      <c r="P1007" s="308"/>
      <c r="Q1007" s="308"/>
      <c r="R1007" s="308"/>
      <c r="S1007" s="308"/>
      <c r="T1007" s="308"/>
      <c r="U1007" s="308"/>
      <c r="V1007" s="308"/>
      <c r="W1007" s="308"/>
      <c r="X1007" s="308"/>
      <c r="Y1007" s="308"/>
      <c r="Z1007" s="308"/>
    </row>
    <row r="1008">
      <c r="A1008" s="308"/>
      <c r="B1008" s="308"/>
      <c r="C1008" s="308"/>
      <c r="D1008" s="308"/>
      <c r="E1008" s="308"/>
      <c r="F1008" s="308"/>
      <c r="G1008" s="308"/>
      <c r="H1008" s="308"/>
      <c r="I1008" s="308"/>
      <c r="J1008" s="308"/>
      <c r="K1008" s="308"/>
      <c r="L1008" s="308"/>
      <c r="M1008" s="308"/>
      <c r="N1008" s="308"/>
      <c r="O1008" s="308"/>
      <c r="P1008" s="308"/>
      <c r="Q1008" s="308"/>
      <c r="R1008" s="308"/>
      <c r="S1008" s="308"/>
      <c r="T1008" s="308"/>
      <c r="U1008" s="308"/>
      <c r="V1008" s="308"/>
      <c r="W1008" s="308"/>
      <c r="X1008" s="308"/>
      <c r="Y1008" s="308"/>
      <c r="Z1008" s="308"/>
    </row>
    <row r="1009">
      <c r="A1009" s="308"/>
      <c r="B1009" s="308"/>
      <c r="C1009" s="308"/>
      <c r="D1009" s="308"/>
      <c r="E1009" s="308"/>
      <c r="F1009" s="308"/>
      <c r="G1009" s="308"/>
      <c r="H1009" s="308"/>
      <c r="I1009" s="308"/>
      <c r="J1009" s="308"/>
      <c r="K1009" s="308"/>
      <c r="L1009" s="308"/>
      <c r="M1009" s="308"/>
      <c r="N1009" s="308"/>
      <c r="O1009" s="308"/>
      <c r="P1009" s="308"/>
      <c r="Q1009" s="308"/>
      <c r="R1009" s="308"/>
      <c r="S1009" s="308"/>
      <c r="T1009" s="308"/>
      <c r="U1009" s="308"/>
      <c r="V1009" s="308"/>
      <c r="W1009" s="308"/>
      <c r="X1009" s="308"/>
      <c r="Y1009" s="308"/>
      <c r="Z1009" s="308"/>
    </row>
    <row r="1010">
      <c r="A1010" s="308"/>
      <c r="B1010" s="308"/>
      <c r="C1010" s="308"/>
      <c r="D1010" s="308"/>
      <c r="E1010" s="308"/>
      <c r="F1010" s="308"/>
      <c r="G1010" s="308"/>
      <c r="H1010" s="308"/>
      <c r="I1010" s="308"/>
      <c r="J1010" s="308"/>
      <c r="K1010" s="308"/>
      <c r="L1010" s="308"/>
      <c r="M1010" s="308"/>
      <c r="N1010" s="308"/>
      <c r="O1010" s="308"/>
      <c r="P1010" s="308"/>
      <c r="Q1010" s="308"/>
      <c r="R1010" s="308"/>
      <c r="S1010" s="308"/>
      <c r="T1010" s="308"/>
      <c r="U1010" s="308"/>
      <c r="V1010" s="308"/>
      <c r="W1010" s="308"/>
      <c r="X1010" s="308"/>
      <c r="Y1010" s="308"/>
      <c r="Z1010" s="308"/>
    </row>
    <row r="1011">
      <c r="A1011" s="308"/>
      <c r="B1011" s="308"/>
      <c r="C1011" s="308"/>
      <c r="D1011" s="308"/>
      <c r="E1011" s="308"/>
      <c r="F1011" s="308"/>
      <c r="G1011" s="308"/>
      <c r="H1011" s="308"/>
      <c r="I1011" s="308"/>
      <c r="J1011" s="308"/>
      <c r="K1011" s="308"/>
      <c r="L1011" s="308"/>
      <c r="M1011" s="308"/>
      <c r="N1011" s="308"/>
      <c r="O1011" s="308"/>
      <c r="P1011" s="308"/>
      <c r="Q1011" s="308"/>
      <c r="R1011" s="308"/>
      <c r="S1011" s="308"/>
      <c r="T1011" s="308"/>
      <c r="U1011" s="308"/>
      <c r="V1011" s="308"/>
      <c r="W1011" s="308"/>
      <c r="X1011" s="308"/>
      <c r="Y1011" s="308"/>
      <c r="Z1011" s="308"/>
    </row>
    <row r="1012">
      <c r="A1012" s="308"/>
      <c r="B1012" s="308"/>
      <c r="C1012" s="308"/>
      <c r="D1012" s="308"/>
      <c r="E1012" s="308"/>
      <c r="F1012" s="308"/>
      <c r="G1012" s="308"/>
      <c r="H1012" s="308"/>
      <c r="I1012" s="308"/>
      <c r="J1012" s="308"/>
      <c r="K1012" s="308"/>
      <c r="L1012" s="308"/>
      <c r="M1012" s="308"/>
      <c r="N1012" s="308"/>
      <c r="O1012" s="308"/>
      <c r="P1012" s="308"/>
      <c r="Q1012" s="308"/>
      <c r="R1012" s="308"/>
      <c r="S1012" s="308"/>
      <c r="T1012" s="308"/>
      <c r="U1012" s="308"/>
      <c r="V1012" s="308"/>
      <c r="W1012" s="308"/>
      <c r="X1012" s="308"/>
      <c r="Y1012" s="308"/>
      <c r="Z1012" s="308"/>
    </row>
    <row r="1013">
      <c r="A1013" s="308"/>
      <c r="B1013" s="308"/>
      <c r="C1013" s="308"/>
      <c r="D1013" s="308"/>
      <c r="E1013" s="308"/>
      <c r="F1013" s="308"/>
      <c r="G1013" s="308"/>
      <c r="H1013" s="308"/>
      <c r="I1013" s="308"/>
      <c r="J1013" s="308"/>
      <c r="K1013" s="308"/>
      <c r="L1013" s="308"/>
      <c r="M1013" s="308"/>
      <c r="N1013" s="308"/>
      <c r="O1013" s="308"/>
      <c r="P1013" s="308"/>
      <c r="Q1013" s="308"/>
      <c r="R1013" s="308"/>
      <c r="S1013" s="308"/>
      <c r="T1013" s="308"/>
      <c r="U1013" s="308"/>
      <c r="V1013" s="308"/>
      <c r="W1013" s="308"/>
      <c r="X1013" s="308"/>
      <c r="Y1013" s="308"/>
      <c r="Z1013" s="308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13"/>
    <col customWidth="1" min="2" max="2" width="17.75"/>
    <col customWidth="1" min="3" max="3" width="14.5"/>
    <col customWidth="1" min="4" max="4" width="22.25"/>
  </cols>
  <sheetData>
    <row r="1">
      <c r="A1" s="419" t="s">
        <v>721</v>
      </c>
      <c r="B1" s="419" t="s">
        <v>722</v>
      </c>
      <c r="C1" s="419" t="s">
        <v>1291</v>
      </c>
      <c r="D1" s="419" t="s">
        <v>1292</v>
      </c>
      <c r="E1" s="419" t="s">
        <v>1293</v>
      </c>
      <c r="F1" s="419" t="s">
        <v>1294</v>
      </c>
      <c r="G1" s="484" t="s">
        <v>1494</v>
      </c>
      <c r="H1" s="182" t="s">
        <v>8</v>
      </c>
      <c r="I1" s="182" t="s">
        <v>1495</v>
      </c>
      <c r="J1" s="182" t="s">
        <v>10</v>
      </c>
      <c r="K1" s="182" t="s">
        <v>1496</v>
      </c>
    </row>
    <row r="2">
      <c r="A2" s="182">
        <v>1.0</v>
      </c>
      <c r="B2" s="182" t="s">
        <v>1497</v>
      </c>
      <c r="C2" s="182">
        <v>1.727618159E9</v>
      </c>
      <c r="D2" s="485">
        <v>45097.0</v>
      </c>
      <c r="E2" s="182">
        <v>1500.0</v>
      </c>
      <c r="F2" s="182">
        <v>1500.0</v>
      </c>
      <c r="H2" s="182">
        <v>1500.0</v>
      </c>
      <c r="I2" s="182">
        <v>1500.0</v>
      </c>
      <c r="J2" s="182">
        <v>1500.0</v>
      </c>
      <c r="K2" s="486" t="s">
        <v>1498</v>
      </c>
    </row>
    <row r="3">
      <c r="B3" s="471" t="s">
        <v>1499</v>
      </c>
      <c r="C3" s="487"/>
      <c r="D3" s="487"/>
      <c r="E3" s="487"/>
      <c r="F3" s="471">
        <v>1500.0</v>
      </c>
    </row>
    <row r="4">
      <c r="A4" s="182"/>
      <c r="B4" s="182" t="s">
        <v>7</v>
      </c>
      <c r="C4" s="182"/>
      <c r="D4" s="485"/>
      <c r="E4" s="182"/>
      <c r="F4" s="182"/>
      <c r="G4" s="182"/>
    </row>
    <row r="5">
      <c r="A5" s="182">
        <v>2.0</v>
      </c>
      <c r="B5" s="182" t="s">
        <v>1500</v>
      </c>
      <c r="C5" s="182">
        <v>1.764341444E9</v>
      </c>
      <c r="D5" s="485">
        <v>45129.0</v>
      </c>
      <c r="E5" s="182">
        <v>1500.0</v>
      </c>
      <c r="F5" s="182" t="s">
        <v>47</v>
      </c>
      <c r="G5" s="182">
        <v>2000.0</v>
      </c>
      <c r="H5" s="182">
        <v>1500.0</v>
      </c>
      <c r="I5" s="182">
        <v>1500.0</v>
      </c>
      <c r="J5" s="182">
        <v>1500.0</v>
      </c>
    </row>
    <row r="6">
      <c r="A6" s="182">
        <v>3.0</v>
      </c>
      <c r="B6" s="182" t="s">
        <v>1501</v>
      </c>
      <c r="C6" s="182">
        <v>1.764341444E9</v>
      </c>
      <c r="D6" s="485">
        <v>45129.0</v>
      </c>
      <c r="E6" s="182">
        <v>1500.0</v>
      </c>
      <c r="F6" s="182" t="s">
        <v>47</v>
      </c>
      <c r="G6" s="182">
        <v>2000.0</v>
      </c>
      <c r="H6" s="182">
        <v>1500.0</v>
      </c>
      <c r="I6" s="182">
        <v>1500.0</v>
      </c>
      <c r="J6" s="182">
        <v>1500.0</v>
      </c>
    </row>
    <row r="8">
      <c r="B8" s="389"/>
      <c r="C8" s="389"/>
      <c r="D8" s="389"/>
      <c r="E8" s="389"/>
      <c r="F8" s="389"/>
    </row>
    <row r="9">
      <c r="B9" s="389"/>
      <c r="C9" s="389"/>
      <c r="D9" s="389"/>
      <c r="E9" s="389"/>
      <c r="F9" s="38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488" t="s">
        <v>33</v>
      </c>
      <c r="B1" s="467" t="s">
        <v>1452</v>
      </c>
      <c r="C1" s="488" t="s">
        <v>90</v>
      </c>
      <c r="D1" s="488" t="s">
        <v>91</v>
      </c>
      <c r="E1" s="182" t="s">
        <v>92</v>
      </c>
    </row>
    <row r="2">
      <c r="A2" s="182" t="s">
        <v>18</v>
      </c>
      <c r="B2" s="185" t="s">
        <v>1497</v>
      </c>
      <c r="D2" s="182">
        <v>1500.0</v>
      </c>
      <c r="E2" s="182">
        <v>1500.0</v>
      </c>
    </row>
    <row r="3">
      <c r="A3" s="487"/>
      <c r="B3" s="471" t="s">
        <v>1502</v>
      </c>
      <c r="C3" s="471">
        <v>1500.0</v>
      </c>
      <c r="D3" s="487"/>
      <c r="E3" s="398">
        <f>E2-C3</f>
        <v>0</v>
      </c>
    </row>
    <row r="4">
      <c r="A4" s="485">
        <v>45130.0</v>
      </c>
      <c r="B4" s="185" t="s">
        <v>1500</v>
      </c>
      <c r="D4" s="182">
        <v>2000.0</v>
      </c>
      <c r="E4" s="182">
        <v>2000.0</v>
      </c>
    </row>
    <row r="5">
      <c r="A5" s="485">
        <v>45130.0</v>
      </c>
      <c r="B5" s="471" t="s">
        <v>1501</v>
      </c>
      <c r="C5" s="487"/>
      <c r="D5" s="471">
        <v>2000.0</v>
      </c>
      <c r="E5" s="487">
        <f>E4+D5</f>
        <v>4000</v>
      </c>
    </row>
    <row r="7">
      <c r="B7" s="182" t="s">
        <v>137</v>
      </c>
    </row>
    <row r="8">
      <c r="A8" s="489"/>
      <c r="B8" s="489"/>
      <c r="C8" s="489"/>
      <c r="D8" s="489"/>
      <c r="E8" s="489"/>
      <c r="F8" s="489"/>
      <c r="G8" s="489"/>
    </row>
    <row r="9">
      <c r="B9" s="182" t="s">
        <v>1503</v>
      </c>
      <c r="D9" s="182">
        <v>4000.0</v>
      </c>
      <c r="E9" s="182">
        <v>4000.0</v>
      </c>
    </row>
    <row r="10">
      <c r="A10" s="485">
        <v>45174.0</v>
      </c>
      <c r="B10" s="182" t="s">
        <v>1500</v>
      </c>
      <c r="D10" s="182">
        <v>1500.0</v>
      </c>
      <c r="E10" s="398">
        <f t="shared" ref="E10:E18" si="1">E9+D10</f>
        <v>5500</v>
      </c>
      <c r="F10" s="182" t="s">
        <v>1395</v>
      </c>
    </row>
    <row r="11">
      <c r="A11" s="485">
        <v>45175.0</v>
      </c>
      <c r="B11" s="182" t="s">
        <v>1501</v>
      </c>
      <c r="D11" s="182">
        <v>1500.0</v>
      </c>
      <c r="E11" s="398">
        <f t="shared" si="1"/>
        <v>7000</v>
      </c>
      <c r="F11" s="182" t="s">
        <v>1395</v>
      </c>
    </row>
    <row r="12">
      <c r="B12" s="182" t="s">
        <v>1497</v>
      </c>
      <c r="D12" s="182">
        <v>1500.0</v>
      </c>
      <c r="E12" s="398">
        <f t="shared" si="1"/>
        <v>8500</v>
      </c>
      <c r="F12" s="182" t="s">
        <v>1395</v>
      </c>
    </row>
    <row r="13">
      <c r="B13" s="182" t="s">
        <v>1497</v>
      </c>
      <c r="D13" s="182">
        <v>1500.0</v>
      </c>
      <c r="E13" s="398">
        <f t="shared" si="1"/>
        <v>10000</v>
      </c>
    </row>
    <row r="14">
      <c r="B14" s="182" t="s">
        <v>1504</v>
      </c>
      <c r="D14" s="182">
        <v>2000.0</v>
      </c>
      <c r="E14" s="398">
        <f t="shared" si="1"/>
        <v>12000</v>
      </c>
      <c r="F14" s="182" t="s">
        <v>1505</v>
      </c>
    </row>
    <row r="15">
      <c r="B15" s="182" t="s">
        <v>1500</v>
      </c>
      <c r="D15" s="182">
        <v>1500.0</v>
      </c>
      <c r="E15" s="398">
        <f t="shared" si="1"/>
        <v>13500</v>
      </c>
    </row>
    <row r="16">
      <c r="B16" s="471" t="s">
        <v>1501</v>
      </c>
      <c r="C16" s="487"/>
      <c r="D16" s="471">
        <v>1500.0</v>
      </c>
      <c r="E16" s="487">
        <f t="shared" si="1"/>
        <v>15000</v>
      </c>
    </row>
    <row r="17">
      <c r="B17" s="490" t="s">
        <v>1500</v>
      </c>
      <c r="C17" s="491"/>
      <c r="D17" s="490">
        <v>1500.0</v>
      </c>
      <c r="E17" s="491">
        <f t="shared" si="1"/>
        <v>16500</v>
      </c>
    </row>
    <row r="18">
      <c r="B18" s="490" t="s">
        <v>1501</v>
      </c>
      <c r="C18" s="491"/>
      <c r="D18" s="490">
        <v>1500.0</v>
      </c>
      <c r="E18" s="491">
        <f t="shared" si="1"/>
        <v>18000</v>
      </c>
    </row>
    <row r="20">
      <c r="A20" s="489"/>
      <c r="B20" s="492" t="s">
        <v>1506</v>
      </c>
      <c r="C20" s="489"/>
      <c r="D20" s="489"/>
      <c r="E20" s="489"/>
      <c r="F20" s="489"/>
      <c r="G20" s="489"/>
    </row>
    <row r="22">
      <c r="A22" s="485">
        <v>45223.0</v>
      </c>
      <c r="B22" s="182" t="s">
        <v>1507</v>
      </c>
      <c r="D22" s="182">
        <v>1500.0</v>
      </c>
      <c r="E22" s="182">
        <v>1500.0</v>
      </c>
      <c r="F22" s="182" t="s">
        <v>39</v>
      </c>
    </row>
    <row r="23">
      <c r="A23" s="485">
        <v>45224.0</v>
      </c>
      <c r="B23" s="182" t="s">
        <v>1500</v>
      </c>
      <c r="D23" s="182">
        <v>1500.0</v>
      </c>
      <c r="E23" s="398">
        <f t="shared" ref="E23:E24" si="2">E22+D23</f>
        <v>3000</v>
      </c>
    </row>
    <row r="24">
      <c r="A24" s="485">
        <v>45225.0</v>
      </c>
      <c r="B24" s="182" t="s">
        <v>1501</v>
      </c>
      <c r="D24" s="182">
        <v>1500.0</v>
      </c>
      <c r="E24" s="398">
        <f t="shared" si="2"/>
        <v>4500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5"/>
    <col customWidth="1" min="3" max="3" width="13.63"/>
    <col customWidth="1" min="4" max="4" width="14.0"/>
    <col customWidth="1" min="5" max="5" width="14.38"/>
    <col customWidth="1" min="6" max="6" width="15.63"/>
    <col customWidth="1" min="7" max="7" width="7.38"/>
    <col customWidth="1" min="8" max="8" width="8.5"/>
    <col customWidth="1" min="9" max="9" width="8.38"/>
  </cols>
  <sheetData>
    <row r="1">
      <c r="A1" s="370"/>
      <c r="B1" s="493"/>
      <c r="C1" s="370"/>
      <c r="D1" s="370"/>
      <c r="E1" s="370"/>
      <c r="F1" s="389"/>
    </row>
    <row r="2">
      <c r="A2" s="449" t="s">
        <v>1352</v>
      </c>
      <c r="B2" s="449" t="s">
        <v>722</v>
      </c>
      <c r="C2" s="449" t="s">
        <v>1291</v>
      </c>
      <c r="D2" s="449" t="s">
        <v>1292</v>
      </c>
      <c r="E2" s="449" t="s">
        <v>1293</v>
      </c>
      <c r="F2" s="449" t="s">
        <v>1353</v>
      </c>
      <c r="G2" s="185" t="s">
        <v>7</v>
      </c>
      <c r="H2" s="185" t="s">
        <v>8</v>
      </c>
      <c r="I2" s="185" t="s">
        <v>9</v>
      </c>
    </row>
    <row r="3">
      <c r="A3" s="454">
        <v>1.0</v>
      </c>
      <c r="B3" s="451" t="s">
        <v>1354</v>
      </c>
      <c r="C3" s="409">
        <v>1.810017637E9</v>
      </c>
      <c r="D3" s="452">
        <v>45046.0</v>
      </c>
      <c r="E3" s="409" t="s">
        <v>746</v>
      </c>
      <c r="F3" s="185">
        <v>3000.0</v>
      </c>
      <c r="G3" s="185">
        <v>2500.0</v>
      </c>
      <c r="H3" s="389"/>
      <c r="I3" s="389"/>
    </row>
    <row r="4">
      <c r="A4" s="409">
        <v>2.0</v>
      </c>
      <c r="B4" s="185" t="s">
        <v>1355</v>
      </c>
      <c r="C4" s="409">
        <v>1.883894697E9</v>
      </c>
      <c r="D4" s="452">
        <v>45048.0</v>
      </c>
      <c r="E4" s="409" t="s">
        <v>746</v>
      </c>
      <c r="F4" s="185">
        <v>3000.0</v>
      </c>
      <c r="G4" s="185">
        <v>3000.0</v>
      </c>
      <c r="H4" s="389"/>
      <c r="I4" s="389"/>
    </row>
    <row r="5">
      <c r="A5" s="454">
        <v>3.0</v>
      </c>
      <c r="B5" s="185" t="s">
        <v>1356</v>
      </c>
      <c r="C5" s="409">
        <v>1.62610021E9</v>
      </c>
      <c r="D5" s="452">
        <v>45048.0</v>
      </c>
      <c r="E5" s="409" t="s">
        <v>746</v>
      </c>
      <c r="F5" s="185">
        <v>3000.0</v>
      </c>
      <c r="G5" s="185" t="s">
        <v>35</v>
      </c>
      <c r="H5" s="389"/>
      <c r="I5" s="389"/>
    </row>
    <row r="6">
      <c r="A6" s="409">
        <v>4.0</v>
      </c>
      <c r="B6" s="453" t="s">
        <v>1325</v>
      </c>
      <c r="C6" s="454">
        <v>1.302674848E9</v>
      </c>
      <c r="D6" s="452">
        <v>45060.0</v>
      </c>
      <c r="E6" s="409" t="s">
        <v>746</v>
      </c>
      <c r="F6" s="185">
        <v>3000.0</v>
      </c>
      <c r="G6" s="185">
        <v>3000.0</v>
      </c>
      <c r="H6" s="185" t="s">
        <v>37</v>
      </c>
      <c r="I6" s="389"/>
    </row>
    <row r="7">
      <c r="A7" s="454">
        <v>5.0</v>
      </c>
      <c r="B7" s="185" t="s">
        <v>1455</v>
      </c>
      <c r="C7" s="409">
        <v>1.919825252E9</v>
      </c>
      <c r="D7" s="452">
        <v>45069.0</v>
      </c>
      <c r="E7" s="289"/>
      <c r="F7" s="185">
        <v>3000.0</v>
      </c>
      <c r="G7" s="455">
        <v>2500.0</v>
      </c>
      <c r="H7" s="185">
        <v>2500.0</v>
      </c>
      <c r="I7" s="389"/>
    </row>
    <row r="8">
      <c r="A8" s="409">
        <v>6.0</v>
      </c>
      <c r="B8" s="185" t="s">
        <v>1363</v>
      </c>
      <c r="C8" s="409">
        <v>1.957523138E9</v>
      </c>
      <c r="D8" s="452">
        <v>45074.0</v>
      </c>
      <c r="E8" s="409" t="s">
        <v>746</v>
      </c>
      <c r="F8" s="185">
        <v>3000.0</v>
      </c>
      <c r="G8" s="185" t="s">
        <v>35</v>
      </c>
      <c r="H8" s="389"/>
      <c r="I8" s="389"/>
    </row>
    <row r="9">
      <c r="A9" s="454">
        <v>7.0</v>
      </c>
      <c r="B9" s="185" t="s">
        <v>1364</v>
      </c>
      <c r="C9" s="409">
        <v>1.552601037E9</v>
      </c>
      <c r="D9" s="452">
        <v>45075.0</v>
      </c>
      <c r="E9" s="409" t="s">
        <v>746</v>
      </c>
      <c r="F9" s="185">
        <v>3000.0</v>
      </c>
      <c r="G9" s="409">
        <v>3000.0</v>
      </c>
      <c r="H9" s="389"/>
      <c r="I9" s="389"/>
    </row>
    <row r="10">
      <c r="A10" s="409">
        <v>8.0</v>
      </c>
      <c r="B10" s="185" t="s">
        <v>1365</v>
      </c>
      <c r="C10" s="409">
        <v>1.73057597E9</v>
      </c>
      <c r="D10" s="452">
        <v>45076.0</v>
      </c>
      <c r="E10" s="409" t="s">
        <v>746</v>
      </c>
      <c r="F10" s="185">
        <v>3000.0</v>
      </c>
      <c r="G10" s="185" t="s">
        <v>35</v>
      </c>
      <c r="H10" s="389"/>
      <c r="I10" s="389"/>
    </row>
    <row r="11">
      <c r="A11" s="454">
        <v>9.0</v>
      </c>
      <c r="B11" s="185" t="s">
        <v>1366</v>
      </c>
      <c r="C11" s="409"/>
      <c r="D11" s="456">
        <v>45081.0</v>
      </c>
      <c r="E11" s="409" t="s">
        <v>746</v>
      </c>
      <c r="F11" s="185">
        <v>3000.0</v>
      </c>
      <c r="G11" s="185" t="s">
        <v>35</v>
      </c>
      <c r="H11" s="389"/>
      <c r="I11" s="389"/>
    </row>
    <row r="12">
      <c r="A12" s="409">
        <v>10.0</v>
      </c>
      <c r="B12" s="185" t="s">
        <v>1367</v>
      </c>
      <c r="C12" s="409">
        <v>1.794625819E9</v>
      </c>
      <c r="D12" s="456">
        <v>45084.0</v>
      </c>
      <c r="E12" s="409" t="s">
        <v>1368</v>
      </c>
      <c r="F12" s="185">
        <v>2000.0</v>
      </c>
      <c r="G12" s="185">
        <v>2000.0</v>
      </c>
      <c r="H12" s="389"/>
      <c r="I12" s="389"/>
    </row>
    <row r="13">
      <c r="A13" s="454">
        <v>11.0</v>
      </c>
      <c r="B13" s="185" t="s">
        <v>1371</v>
      </c>
      <c r="C13" s="409">
        <v>1.673597548E9</v>
      </c>
      <c r="D13" s="456">
        <v>45085.0</v>
      </c>
      <c r="E13" s="409" t="s">
        <v>1368</v>
      </c>
      <c r="F13" s="185">
        <v>3000.0</v>
      </c>
      <c r="G13" s="185">
        <v>2500.0</v>
      </c>
      <c r="H13" s="185">
        <v>2500.0</v>
      </c>
      <c r="I13" s="389"/>
    </row>
    <row r="14">
      <c r="A14" s="409">
        <v>12.0</v>
      </c>
      <c r="B14" s="185" t="s">
        <v>1372</v>
      </c>
      <c r="C14" s="409">
        <v>1.552426976E9</v>
      </c>
      <c r="D14" s="456">
        <v>45086.0</v>
      </c>
      <c r="E14" s="409" t="s">
        <v>746</v>
      </c>
      <c r="F14" s="185">
        <v>2500.0</v>
      </c>
      <c r="G14" s="185">
        <v>2500.0</v>
      </c>
      <c r="H14" s="185">
        <v>2500.0</v>
      </c>
      <c r="I14" s="389"/>
    </row>
    <row r="15">
      <c r="A15" s="454">
        <v>13.0</v>
      </c>
      <c r="B15" s="185" t="s">
        <v>1373</v>
      </c>
      <c r="C15" s="409">
        <v>1.841855687E9</v>
      </c>
      <c r="D15" s="452">
        <v>45088.0</v>
      </c>
      <c r="E15" s="409" t="s">
        <v>1374</v>
      </c>
      <c r="F15" s="185">
        <v>9000.0</v>
      </c>
      <c r="G15" s="185" t="s">
        <v>1272</v>
      </c>
      <c r="H15" s="389"/>
      <c r="I15" s="389"/>
    </row>
    <row r="16">
      <c r="A16" s="409">
        <v>14.0</v>
      </c>
      <c r="B16" s="185" t="s">
        <v>1375</v>
      </c>
      <c r="C16" s="409">
        <v>1.93515623E9</v>
      </c>
      <c r="D16" s="458">
        <v>45091.0</v>
      </c>
      <c r="E16" s="409" t="s">
        <v>1376</v>
      </c>
      <c r="F16" s="185">
        <v>9000.0</v>
      </c>
      <c r="G16" s="185">
        <v>4000.0</v>
      </c>
      <c r="H16" s="389"/>
      <c r="I16" s="389"/>
    </row>
    <row r="17">
      <c r="A17" s="454">
        <v>15.0</v>
      </c>
      <c r="B17" s="185" t="s">
        <v>1377</v>
      </c>
      <c r="C17" s="409">
        <v>1.722966485E9</v>
      </c>
      <c r="D17" s="452">
        <v>45092.0</v>
      </c>
      <c r="E17" s="409" t="s">
        <v>746</v>
      </c>
      <c r="F17" s="185">
        <v>3000.0</v>
      </c>
      <c r="G17" s="185">
        <v>2500.0</v>
      </c>
      <c r="H17" s="185" t="s">
        <v>1378</v>
      </c>
      <c r="I17" s="389"/>
    </row>
    <row r="18">
      <c r="A18" s="409">
        <v>16.0</v>
      </c>
      <c r="B18" s="185" t="s">
        <v>1379</v>
      </c>
      <c r="C18" s="289"/>
      <c r="D18" s="289"/>
      <c r="E18" s="409" t="s">
        <v>746</v>
      </c>
      <c r="F18" s="185">
        <v>2500.0</v>
      </c>
      <c r="G18" s="185">
        <v>2500.0</v>
      </c>
      <c r="H18" s="185">
        <v>2500.0</v>
      </c>
      <c r="I18" s="389"/>
    </row>
    <row r="19">
      <c r="A19" s="454">
        <v>17.0</v>
      </c>
      <c r="B19" s="185" t="s">
        <v>1380</v>
      </c>
      <c r="C19" s="409">
        <v>1.733239731E9</v>
      </c>
      <c r="D19" s="452">
        <v>45097.0</v>
      </c>
      <c r="E19" s="409" t="s">
        <v>746</v>
      </c>
      <c r="F19" s="185">
        <v>2500.0</v>
      </c>
      <c r="G19" s="185">
        <v>2500.0</v>
      </c>
      <c r="H19" s="389"/>
      <c r="I19" s="389"/>
    </row>
    <row r="20">
      <c r="A20" s="409">
        <v>18.0</v>
      </c>
      <c r="B20" s="185" t="s">
        <v>1381</v>
      </c>
      <c r="C20" s="409">
        <v>1.671162438E9</v>
      </c>
      <c r="D20" s="452">
        <v>45103.0</v>
      </c>
      <c r="E20" s="409" t="s">
        <v>782</v>
      </c>
      <c r="F20" s="185">
        <v>8000.0</v>
      </c>
      <c r="G20" s="185">
        <v>4000.0</v>
      </c>
      <c r="H20" s="389"/>
      <c r="I20" s="389"/>
    </row>
    <row r="21">
      <c r="A21" s="454">
        <v>19.0</v>
      </c>
      <c r="B21" s="185" t="s">
        <v>1382</v>
      </c>
      <c r="C21" s="409">
        <v>1.678339922E9</v>
      </c>
      <c r="D21" s="452">
        <v>45103.0</v>
      </c>
      <c r="E21" s="409" t="s">
        <v>911</v>
      </c>
      <c r="F21" s="185">
        <v>8000.0</v>
      </c>
      <c r="G21" s="185">
        <v>4000.0</v>
      </c>
      <c r="H21" s="389"/>
      <c r="I21" s="389"/>
    </row>
    <row r="22">
      <c r="A22" s="409">
        <v>20.0</v>
      </c>
      <c r="B22" s="185" t="s">
        <v>1383</v>
      </c>
      <c r="C22" s="409">
        <v>1.312241571E9</v>
      </c>
      <c r="D22" s="452">
        <v>45110.0</v>
      </c>
      <c r="E22" s="409" t="s">
        <v>939</v>
      </c>
      <c r="F22" s="185">
        <v>2500.0</v>
      </c>
      <c r="G22" s="185">
        <v>2500.0</v>
      </c>
      <c r="H22" s="185">
        <v>2500.0</v>
      </c>
      <c r="I22" s="389"/>
    </row>
    <row r="23">
      <c r="A23" s="454">
        <v>21.0</v>
      </c>
      <c r="B23" s="185" t="s">
        <v>1017</v>
      </c>
      <c r="C23" s="409">
        <v>1.817576331E9</v>
      </c>
      <c r="D23" s="452">
        <v>45111.0</v>
      </c>
      <c r="E23" s="409" t="s">
        <v>939</v>
      </c>
      <c r="F23" s="185">
        <v>2500.0</v>
      </c>
      <c r="G23" s="185">
        <v>2500.0</v>
      </c>
      <c r="H23" s="185" t="s">
        <v>38</v>
      </c>
      <c r="I23" s="185">
        <v>2500.0</v>
      </c>
    </row>
    <row r="24">
      <c r="A24" s="409">
        <v>22.0</v>
      </c>
      <c r="B24" s="185" t="s">
        <v>1384</v>
      </c>
      <c r="C24" s="409">
        <v>1.746332134E9</v>
      </c>
      <c r="D24" s="452">
        <v>45116.0</v>
      </c>
      <c r="E24" s="409" t="s">
        <v>1385</v>
      </c>
      <c r="F24" s="185">
        <v>2500.0</v>
      </c>
      <c r="G24" s="185">
        <v>2500.0</v>
      </c>
      <c r="H24" s="185" t="s">
        <v>322</v>
      </c>
      <c r="I24" s="389"/>
    </row>
    <row r="25">
      <c r="A25" s="454">
        <v>23.0</v>
      </c>
      <c r="B25" s="185" t="s">
        <v>1386</v>
      </c>
      <c r="C25" s="409">
        <v>1.819814702E9</v>
      </c>
      <c r="D25" s="452">
        <v>45113.0</v>
      </c>
      <c r="E25" s="409" t="s">
        <v>1385</v>
      </c>
      <c r="F25" s="185">
        <v>2000.0</v>
      </c>
      <c r="G25" s="185">
        <v>2000.0</v>
      </c>
      <c r="H25" s="389"/>
      <c r="I25" s="389"/>
    </row>
    <row r="26">
      <c r="A26" s="409">
        <v>24.0</v>
      </c>
      <c r="B26" s="451" t="s">
        <v>1318</v>
      </c>
      <c r="C26" s="454">
        <v>1.819814702E9</v>
      </c>
      <c r="D26" s="452">
        <v>45117.0</v>
      </c>
      <c r="E26" s="409" t="s">
        <v>746</v>
      </c>
      <c r="F26" s="185">
        <v>2000.0</v>
      </c>
      <c r="G26" s="185" t="s">
        <v>1387</v>
      </c>
      <c r="H26" s="389"/>
      <c r="I26" s="389"/>
    </row>
    <row r="27">
      <c r="A27" s="454">
        <v>25.0</v>
      </c>
      <c r="B27" s="185" t="s">
        <v>1388</v>
      </c>
      <c r="C27" s="409">
        <v>1.817051575E9</v>
      </c>
      <c r="D27" s="452">
        <v>45118.0</v>
      </c>
      <c r="E27" s="409" t="s">
        <v>746</v>
      </c>
      <c r="F27" s="185">
        <v>2500.0</v>
      </c>
      <c r="G27" s="185">
        <v>2500.0</v>
      </c>
      <c r="H27" s="185">
        <v>2500.0</v>
      </c>
      <c r="I27" s="389"/>
    </row>
    <row r="28">
      <c r="A28" s="409">
        <v>26.0</v>
      </c>
      <c r="B28" s="185" t="s">
        <v>1389</v>
      </c>
      <c r="C28" s="409">
        <v>1.83318239E9</v>
      </c>
      <c r="D28" s="452">
        <v>45130.0</v>
      </c>
      <c r="E28" s="409" t="s">
        <v>746</v>
      </c>
      <c r="F28" s="185">
        <v>2500.0</v>
      </c>
      <c r="G28" s="185" t="s">
        <v>47</v>
      </c>
      <c r="H28" s="185">
        <v>2500.0</v>
      </c>
      <c r="I28" s="389"/>
    </row>
    <row r="29">
      <c r="A29" s="454">
        <v>27.0</v>
      </c>
      <c r="B29" s="185" t="s">
        <v>1390</v>
      </c>
      <c r="C29" s="409">
        <v>1.83737301E9</v>
      </c>
      <c r="D29" s="452">
        <v>45127.0</v>
      </c>
      <c r="E29" s="409" t="s">
        <v>746</v>
      </c>
      <c r="F29" s="185">
        <v>3000.0</v>
      </c>
      <c r="G29" s="185" t="s">
        <v>47</v>
      </c>
      <c r="H29" s="185">
        <v>5000.0</v>
      </c>
      <c r="I29" s="389"/>
    </row>
    <row r="30">
      <c r="A30" s="409">
        <v>28.0</v>
      </c>
      <c r="B30" s="185" t="s">
        <v>1391</v>
      </c>
      <c r="C30" s="454">
        <v>1.833106263E9</v>
      </c>
      <c r="D30" s="452">
        <v>45134.0</v>
      </c>
      <c r="E30" s="409" t="s">
        <v>1392</v>
      </c>
      <c r="F30" s="389"/>
      <c r="G30" s="185">
        <v>7000.0</v>
      </c>
      <c r="H30" s="389"/>
      <c r="I30" s="389"/>
    </row>
    <row r="31">
      <c r="A31" s="454">
        <v>29.0</v>
      </c>
      <c r="B31" s="185" t="s">
        <v>1393</v>
      </c>
      <c r="C31" s="409">
        <v>1.971717771E9</v>
      </c>
      <c r="D31" s="452">
        <v>45139.0</v>
      </c>
      <c r="E31" s="409" t="s">
        <v>1392</v>
      </c>
      <c r="F31" s="389"/>
      <c r="G31" s="389"/>
      <c r="H31" s="185">
        <v>7500.0</v>
      </c>
      <c r="I31" s="389"/>
    </row>
    <row r="32">
      <c r="A32" s="409">
        <v>30.0</v>
      </c>
      <c r="B32" s="185" t="s">
        <v>1394</v>
      </c>
      <c r="C32" s="409">
        <v>1.971717771E9</v>
      </c>
      <c r="D32" s="452">
        <v>45139.0</v>
      </c>
      <c r="E32" s="409" t="s">
        <v>1392</v>
      </c>
      <c r="F32" s="389"/>
      <c r="G32" s="185" t="s">
        <v>47</v>
      </c>
      <c r="H32" s="185">
        <v>7500.0</v>
      </c>
      <c r="I32" s="389"/>
    </row>
    <row r="33">
      <c r="A33" s="454">
        <v>31.0</v>
      </c>
      <c r="B33" s="185" t="s">
        <v>1396</v>
      </c>
      <c r="C33" s="409">
        <v>1.518931352E9</v>
      </c>
      <c r="D33" s="452">
        <v>45148.0</v>
      </c>
      <c r="E33" s="409" t="s">
        <v>746</v>
      </c>
      <c r="F33" s="185">
        <v>3000.0</v>
      </c>
      <c r="G33" s="389"/>
      <c r="H33" s="185">
        <v>3000.0</v>
      </c>
      <c r="I33" s="389"/>
    </row>
    <row r="34">
      <c r="A34" s="409">
        <v>32.0</v>
      </c>
      <c r="B34" s="185" t="s">
        <v>1397</v>
      </c>
      <c r="C34" s="409">
        <v>1.671054407E9</v>
      </c>
      <c r="D34" s="452">
        <v>45153.0</v>
      </c>
      <c r="E34" s="409" t="s">
        <v>746</v>
      </c>
      <c r="F34" s="185">
        <v>2000.0</v>
      </c>
      <c r="G34" s="389"/>
      <c r="H34" s="185">
        <v>2000.0</v>
      </c>
      <c r="I34" s="389"/>
    </row>
    <row r="35">
      <c r="A35" s="454">
        <v>33.0</v>
      </c>
      <c r="B35" s="185" t="s">
        <v>1398</v>
      </c>
      <c r="C35" s="409">
        <v>1.917642791E9</v>
      </c>
      <c r="D35" s="452">
        <v>45154.0</v>
      </c>
      <c r="E35" s="409" t="s">
        <v>746</v>
      </c>
      <c r="F35" s="185">
        <v>2000.0</v>
      </c>
      <c r="G35" s="389"/>
      <c r="H35" s="185">
        <v>2000.0</v>
      </c>
      <c r="I35" s="389"/>
    </row>
    <row r="36">
      <c r="A36" s="409">
        <v>34.0</v>
      </c>
      <c r="B36" s="185" t="s">
        <v>1399</v>
      </c>
      <c r="C36" s="409">
        <v>1.716081938E9</v>
      </c>
      <c r="D36" s="452">
        <v>45160.0</v>
      </c>
      <c r="E36" s="409" t="s">
        <v>746</v>
      </c>
      <c r="F36" s="185">
        <v>3000.0</v>
      </c>
      <c r="G36" s="389"/>
      <c r="H36" s="185" t="s">
        <v>47</v>
      </c>
      <c r="I36" s="185">
        <v>3000.0</v>
      </c>
    </row>
    <row r="37">
      <c r="A37" s="454">
        <v>35.0</v>
      </c>
      <c r="B37" s="185" t="s">
        <v>1400</v>
      </c>
      <c r="C37" s="409">
        <v>1.871205502E9</v>
      </c>
      <c r="D37" s="452">
        <v>45160.0</v>
      </c>
      <c r="E37" s="409" t="s">
        <v>746</v>
      </c>
      <c r="F37" s="185">
        <v>3000.0</v>
      </c>
      <c r="G37" s="389"/>
      <c r="H37" s="389"/>
      <c r="I37" s="185">
        <v>3000.0</v>
      </c>
    </row>
    <row r="38">
      <c r="A38" s="409">
        <v>36.0</v>
      </c>
      <c r="B38" s="185" t="s">
        <v>1401</v>
      </c>
      <c r="C38" s="409">
        <v>1.910192747E9</v>
      </c>
      <c r="D38" s="452">
        <v>45160.0</v>
      </c>
      <c r="E38" s="409" t="s">
        <v>746</v>
      </c>
      <c r="F38" s="185">
        <v>3000.0</v>
      </c>
      <c r="G38" s="389"/>
      <c r="H38" s="389"/>
      <c r="I38" s="185">
        <v>3000.0</v>
      </c>
    </row>
    <row r="39">
      <c r="A39" s="454">
        <v>37.0</v>
      </c>
      <c r="B39" s="185" t="s">
        <v>1403</v>
      </c>
      <c r="C39" s="409">
        <v>1.811884642E9</v>
      </c>
      <c r="D39" s="452">
        <v>45174.0</v>
      </c>
      <c r="E39" s="409" t="s">
        <v>746</v>
      </c>
      <c r="F39" s="185">
        <v>3000.0</v>
      </c>
      <c r="G39" s="389"/>
      <c r="H39" s="389"/>
      <c r="I39" s="389"/>
    </row>
    <row r="40">
      <c r="A40" s="409">
        <v>38.0</v>
      </c>
      <c r="B40" s="185" t="s">
        <v>1404</v>
      </c>
      <c r="C40" s="409">
        <v>1.719884475E9</v>
      </c>
      <c r="D40" s="452">
        <v>45174.0</v>
      </c>
      <c r="E40" s="409" t="s">
        <v>746</v>
      </c>
      <c r="F40" s="185">
        <v>3000.0</v>
      </c>
      <c r="G40" s="389"/>
      <c r="H40" s="389"/>
      <c r="I40" s="389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5.5"/>
    <col customWidth="1" min="3" max="3" width="16.0"/>
    <col customWidth="1" min="6" max="6" width="19.13"/>
    <col customWidth="1" min="7" max="7" width="18.0"/>
    <col customWidth="1" min="8" max="8" width="16.5"/>
    <col customWidth="1" min="9" max="9" width="17.25"/>
    <col customWidth="1" min="16" max="16" width="19.75"/>
    <col customWidth="1" min="22" max="22" width="13.75"/>
    <col customWidth="1" min="23" max="23" width="14.25"/>
    <col customWidth="1" min="26" max="26" width="17.63"/>
  </cols>
  <sheetData>
    <row r="1">
      <c r="A1" s="494"/>
      <c r="B1" s="3" t="s">
        <v>1</v>
      </c>
      <c r="C1" s="4" t="s">
        <v>30</v>
      </c>
      <c r="D1" s="4" t="s">
        <v>953</v>
      </c>
      <c r="E1" s="4" t="s">
        <v>17</v>
      </c>
      <c r="F1" s="4" t="s">
        <v>18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634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19</v>
      </c>
      <c r="Z1" s="3" t="s">
        <v>20</v>
      </c>
      <c r="AA1" s="3" t="s">
        <v>21</v>
      </c>
    </row>
    <row r="2" ht="7.5" customHeight="1">
      <c r="A2" s="380"/>
      <c r="B2" s="380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</row>
    <row r="3">
      <c r="A3" s="376">
        <v>1.0</v>
      </c>
      <c r="B3" s="379" t="s">
        <v>113</v>
      </c>
      <c r="C3" s="309" t="s">
        <v>30</v>
      </c>
      <c r="D3" s="309" t="s">
        <v>38</v>
      </c>
      <c r="E3" s="309" t="s">
        <v>1508</v>
      </c>
      <c r="F3" s="309">
        <v>3000.0</v>
      </c>
      <c r="G3" s="309">
        <v>3000.0</v>
      </c>
      <c r="H3" s="309">
        <v>3000.0</v>
      </c>
      <c r="I3" s="309">
        <v>3000.0</v>
      </c>
      <c r="J3" s="309">
        <v>3000.0</v>
      </c>
      <c r="K3" s="309">
        <v>3000.0</v>
      </c>
      <c r="L3" s="309">
        <v>3000.0</v>
      </c>
      <c r="M3" s="309" t="s">
        <v>37</v>
      </c>
      <c r="N3" s="380"/>
      <c r="O3" s="380"/>
      <c r="P3" s="380"/>
      <c r="Q3" s="194">
        <v>3000.0</v>
      </c>
      <c r="R3" s="194">
        <v>3000.0</v>
      </c>
      <c r="S3" s="194">
        <v>3000.0</v>
      </c>
      <c r="T3" s="194">
        <v>3000.0</v>
      </c>
      <c r="U3" s="194">
        <v>3000.0</v>
      </c>
      <c r="V3" s="194">
        <v>3000.0</v>
      </c>
      <c r="W3" s="194">
        <v>3000.0</v>
      </c>
      <c r="X3" s="194">
        <v>3000.0</v>
      </c>
      <c r="Y3" s="194">
        <v>3000.0</v>
      </c>
      <c r="Z3" s="194">
        <v>3000.0</v>
      </c>
      <c r="AA3" s="380"/>
    </row>
    <row r="4">
      <c r="A4" s="376">
        <v>2.0</v>
      </c>
      <c r="B4" s="194" t="s">
        <v>40</v>
      </c>
      <c r="C4" s="309" t="s">
        <v>30</v>
      </c>
      <c r="D4" s="309">
        <v>3000.0</v>
      </c>
      <c r="E4" s="309">
        <v>3000.0</v>
      </c>
      <c r="F4" s="309">
        <v>3000.0</v>
      </c>
      <c r="G4" s="309">
        <v>3000.0</v>
      </c>
      <c r="H4" s="309">
        <v>3000.0</v>
      </c>
      <c r="I4" s="309">
        <v>3000.0</v>
      </c>
      <c r="J4" s="309">
        <v>3000.0</v>
      </c>
      <c r="K4" s="309">
        <v>3000.0</v>
      </c>
      <c r="L4" s="309">
        <v>3000.0</v>
      </c>
      <c r="M4" s="309">
        <v>3000.0</v>
      </c>
      <c r="N4" s="194">
        <v>3000.0</v>
      </c>
      <c r="O4" s="194">
        <v>3000.0</v>
      </c>
      <c r="P4" s="194">
        <v>3000.0</v>
      </c>
      <c r="Q4" s="194">
        <v>3000.0</v>
      </c>
      <c r="R4" s="194">
        <v>3000.0</v>
      </c>
      <c r="S4" s="194">
        <v>3000.0</v>
      </c>
      <c r="T4" s="194">
        <v>3000.0</v>
      </c>
      <c r="U4" s="194">
        <v>3000.0</v>
      </c>
      <c r="V4" s="194">
        <v>3000.0</v>
      </c>
      <c r="W4" s="194">
        <v>3000.0</v>
      </c>
      <c r="X4" s="194">
        <v>3000.0</v>
      </c>
      <c r="Y4" s="194">
        <v>3000.0</v>
      </c>
      <c r="Z4" s="194">
        <v>3000.0</v>
      </c>
      <c r="AA4" s="380"/>
    </row>
    <row r="5">
      <c r="A5" s="376">
        <v>3.0</v>
      </c>
      <c r="B5" s="194" t="s">
        <v>41</v>
      </c>
      <c r="C5" s="309" t="s">
        <v>30</v>
      </c>
      <c r="D5" s="309" t="s">
        <v>47</v>
      </c>
      <c r="E5" s="309" t="s">
        <v>1509</v>
      </c>
      <c r="F5" s="309">
        <v>3000.0</v>
      </c>
      <c r="G5" s="309">
        <v>3000.0</v>
      </c>
      <c r="H5" s="309">
        <v>3000.0</v>
      </c>
      <c r="I5" s="309">
        <v>3000.0</v>
      </c>
      <c r="J5" s="309">
        <v>3000.0</v>
      </c>
      <c r="K5" s="309">
        <v>3000.0</v>
      </c>
      <c r="L5" s="309">
        <v>3000.0</v>
      </c>
      <c r="M5" s="309">
        <v>3000.0</v>
      </c>
      <c r="N5" s="194">
        <v>3000.0</v>
      </c>
      <c r="O5" s="194">
        <v>3000.0</v>
      </c>
      <c r="P5" s="194">
        <v>3000.0</v>
      </c>
      <c r="Q5" s="194">
        <v>3000.0</v>
      </c>
      <c r="R5" s="194">
        <v>3000.0</v>
      </c>
      <c r="S5" s="194">
        <v>3000.0</v>
      </c>
      <c r="T5" s="194">
        <v>3000.0</v>
      </c>
      <c r="U5" s="194">
        <v>3000.0</v>
      </c>
      <c r="V5" s="194">
        <v>3000.0</v>
      </c>
      <c r="W5" s="194">
        <v>3000.0</v>
      </c>
      <c r="X5" s="194">
        <v>3000.0</v>
      </c>
      <c r="Y5" s="194">
        <v>3000.0</v>
      </c>
      <c r="Z5" s="194">
        <v>3000.0</v>
      </c>
      <c r="AA5" s="380"/>
    </row>
    <row r="6">
      <c r="A6" s="376">
        <v>4.0</v>
      </c>
      <c r="B6" s="194" t="s">
        <v>43</v>
      </c>
      <c r="C6" s="309" t="s">
        <v>30</v>
      </c>
      <c r="D6" s="309" t="s">
        <v>47</v>
      </c>
      <c r="E6" s="309" t="s">
        <v>47</v>
      </c>
      <c r="F6" s="309" t="s">
        <v>47</v>
      </c>
      <c r="G6" s="309" t="s">
        <v>44</v>
      </c>
      <c r="H6" s="309">
        <v>3000.0</v>
      </c>
      <c r="I6" s="309">
        <v>3000.0</v>
      </c>
      <c r="J6" s="309">
        <v>3000.0</v>
      </c>
      <c r="K6" s="309">
        <v>3000.0</v>
      </c>
      <c r="L6" s="309">
        <v>3000.0</v>
      </c>
      <c r="M6" s="309">
        <v>3000.0</v>
      </c>
      <c r="N6" s="194">
        <v>3000.0</v>
      </c>
      <c r="O6" s="194">
        <v>3000.0</v>
      </c>
      <c r="P6" s="194">
        <v>3000.0</v>
      </c>
      <c r="Q6" s="194">
        <v>3000.0</v>
      </c>
      <c r="R6" s="194">
        <v>3000.0</v>
      </c>
      <c r="S6" s="194">
        <v>3000.0</v>
      </c>
      <c r="T6" s="194">
        <v>3000.0</v>
      </c>
      <c r="U6" s="194">
        <v>3000.0</v>
      </c>
      <c r="V6" s="194">
        <v>3000.0</v>
      </c>
      <c r="W6" s="194">
        <v>3000.0</v>
      </c>
      <c r="X6" s="194">
        <v>3000.0</v>
      </c>
      <c r="Y6" s="194">
        <v>3000.0</v>
      </c>
      <c r="Z6" s="194">
        <v>3000.0</v>
      </c>
      <c r="AA6" s="380"/>
    </row>
    <row r="7">
      <c r="A7" s="376">
        <v>5.0</v>
      </c>
      <c r="B7" s="194" t="s">
        <v>190</v>
      </c>
      <c r="C7" s="309" t="s">
        <v>30</v>
      </c>
      <c r="D7" s="309" t="s">
        <v>47</v>
      </c>
      <c r="E7" s="309" t="s">
        <v>47</v>
      </c>
      <c r="F7" s="309" t="s">
        <v>47</v>
      </c>
      <c r="G7" s="309" t="s">
        <v>44</v>
      </c>
      <c r="H7" s="309">
        <v>3000.0</v>
      </c>
      <c r="I7" s="309">
        <v>3000.0</v>
      </c>
      <c r="J7" s="309">
        <v>3000.0</v>
      </c>
      <c r="K7" s="309">
        <v>3000.0</v>
      </c>
      <c r="L7" s="309">
        <v>3000.0</v>
      </c>
      <c r="M7" s="309">
        <v>3000.0</v>
      </c>
      <c r="N7" s="194">
        <v>3000.0</v>
      </c>
      <c r="O7" s="380"/>
      <c r="P7" s="194" t="s">
        <v>38</v>
      </c>
      <c r="Q7" s="194">
        <v>3000.0</v>
      </c>
      <c r="R7" s="194">
        <v>3000.0</v>
      </c>
      <c r="S7" s="194">
        <v>3000.0</v>
      </c>
      <c r="T7" s="194">
        <v>3000.0</v>
      </c>
      <c r="U7" s="194">
        <v>3000.0</v>
      </c>
      <c r="V7" s="194">
        <v>3000.0</v>
      </c>
      <c r="W7" s="194">
        <v>3000.0</v>
      </c>
      <c r="X7" s="194">
        <v>3000.0</v>
      </c>
      <c r="Y7" s="194">
        <v>3000.0</v>
      </c>
      <c r="Z7" s="194">
        <v>3000.0</v>
      </c>
      <c r="AA7" s="380"/>
    </row>
    <row r="8">
      <c r="A8" s="376">
        <v>6.0</v>
      </c>
      <c r="B8" s="194" t="s">
        <v>45</v>
      </c>
      <c r="C8" s="309" t="s">
        <v>30</v>
      </c>
      <c r="D8" s="309" t="s">
        <v>47</v>
      </c>
      <c r="E8" s="309" t="s">
        <v>47</v>
      </c>
      <c r="F8" s="309" t="s">
        <v>47</v>
      </c>
      <c r="G8" s="309" t="s">
        <v>44</v>
      </c>
      <c r="H8" s="309">
        <v>3000.0</v>
      </c>
      <c r="I8" s="309">
        <v>3000.0</v>
      </c>
      <c r="J8" s="309">
        <v>3000.0</v>
      </c>
      <c r="K8" s="309">
        <v>3000.0</v>
      </c>
      <c r="L8" s="309">
        <v>3000.0</v>
      </c>
      <c r="M8" s="309">
        <v>3000.0</v>
      </c>
      <c r="N8" s="194">
        <v>3000.0</v>
      </c>
      <c r="O8" s="194">
        <v>3000.0</v>
      </c>
      <c r="P8" s="194">
        <v>3000.0</v>
      </c>
      <c r="Q8" s="194">
        <v>3000.0</v>
      </c>
      <c r="R8" s="194">
        <v>3000.0</v>
      </c>
      <c r="S8" s="194">
        <v>3000.0</v>
      </c>
      <c r="T8" s="194">
        <v>3000.0</v>
      </c>
      <c r="U8" s="194">
        <v>3000.0</v>
      </c>
      <c r="V8" s="194">
        <v>3000.0</v>
      </c>
      <c r="W8" s="194">
        <v>3000.0</v>
      </c>
      <c r="X8" s="194">
        <v>3000.0</v>
      </c>
      <c r="Y8" s="194">
        <v>3000.0</v>
      </c>
      <c r="Z8" s="194">
        <v>3000.0</v>
      </c>
      <c r="AA8" s="380"/>
    </row>
    <row r="9">
      <c r="A9" s="376">
        <v>7.0</v>
      </c>
      <c r="B9" s="194" t="s">
        <v>106</v>
      </c>
      <c r="C9" s="309" t="s">
        <v>30</v>
      </c>
      <c r="D9" s="309" t="s">
        <v>47</v>
      </c>
      <c r="E9" s="309" t="s">
        <v>47</v>
      </c>
      <c r="F9" s="309" t="s">
        <v>47</v>
      </c>
      <c r="G9" s="309" t="s">
        <v>44</v>
      </c>
      <c r="H9" s="309">
        <v>3000.0</v>
      </c>
      <c r="I9" s="309">
        <v>3000.0</v>
      </c>
      <c r="J9" s="309">
        <v>3000.0</v>
      </c>
      <c r="K9" s="309">
        <v>3000.0</v>
      </c>
      <c r="L9" s="309">
        <v>3000.0</v>
      </c>
      <c r="M9" s="309">
        <v>3000.0</v>
      </c>
      <c r="N9" s="194">
        <v>3000.0</v>
      </c>
      <c r="O9" s="194">
        <v>3000.0</v>
      </c>
      <c r="P9" s="194">
        <v>3000.0</v>
      </c>
      <c r="Q9" s="194">
        <v>3000.0</v>
      </c>
      <c r="R9" s="194">
        <v>3000.0</v>
      </c>
      <c r="S9" s="194">
        <v>3000.0</v>
      </c>
      <c r="T9" s="194">
        <v>3000.0</v>
      </c>
      <c r="U9" s="194">
        <v>3000.0</v>
      </c>
      <c r="V9" s="194">
        <v>3000.0</v>
      </c>
      <c r="W9" s="194">
        <v>3000.0</v>
      </c>
      <c r="X9" s="194">
        <v>3000.0</v>
      </c>
      <c r="Y9" s="194">
        <v>3000.0</v>
      </c>
      <c r="Z9" s="194">
        <v>3000.0</v>
      </c>
      <c r="AA9" s="380"/>
    </row>
    <row r="10">
      <c r="A10" s="376">
        <v>8.0</v>
      </c>
      <c r="B10" s="194" t="s">
        <v>46</v>
      </c>
      <c r="C10" s="309" t="s">
        <v>30</v>
      </c>
      <c r="D10" s="309" t="s">
        <v>47</v>
      </c>
      <c r="E10" s="309" t="s">
        <v>47</v>
      </c>
      <c r="F10" s="309" t="s">
        <v>47</v>
      </c>
      <c r="G10" s="309" t="s">
        <v>47</v>
      </c>
      <c r="H10" s="309" t="s">
        <v>44</v>
      </c>
      <c r="I10" s="309">
        <v>3000.0</v>
      </c>
      <c r="J10" s="309">
        <v>3000.0</v>
      </c>
      <c r="K10" s="309">
        <v>3000.0</v>
      </c>
      <c r="L10" s="309">
        <v>3000.0</v>
      </c>
      <c r="M10" s="309">
        <v>3000.0</v>
      </c>
      <c r="N10" s="194">
        <v>3000.0</v>
      </c>
      <c r="O10" s="194" t="s">
        <v>38</v>
      </c>
      <c r="P10" s="194">
        <v>3000.0</v>
      </c>
      <c r="Q10" s="194">
        <v>3000.0</v>
      </c>
      <c r="R10" s="194">
        <v>3000.0</v>
      </c>
      <c r="S10" s="194">
        <v>3000.0</v>
      </c>
      <c r="T10" s="194">
        <v>3000.0</v>
      </c>
      <c r="U10" s="194">
        <v>3000.0</v>
      </c>
      <c r="V10" s="194">
        <v>3000.0</v>
      </c>
      <c r="W10" s="194">
        <v>3000.0</v>
      </c>
      <c r="X10" s="194">
        <v>3000.0</v>
      </c>
      <c r="Y10" s="194">
        <v>3000.0</v>
      </c>
      <c r="Z10" s="194">
        <v>3000.0</v>
      </c>
      <c r="AA10" s="380"/>
    </row>
    <row r="11">
      <c r="A11" s="376">
        <v>9.0</v>
      </c>
      <c r="B11" s="194" t="s">
        <v>119</v>
      </c>
      <c r="C11" s="309" t="s">
        <v>30</v>
      </c>
      <c r="D11" s="309" t="s">
        <v>47</v>
      </c>
      <c r="E11" s="309" t="s">
        <v>47</v>
      </c>
      <c r="F11" s="309" t="s">
        <v>47</v>
      </c>
      <c r="G11" s="309" t="s">
        <v>47</v>
      </c>
      <c r="H11" s="309" t="s">
        <v>1130</v>
      </c>
      <c r="I11" s="309">
        <v>3000.0</v>
      </c>
      <c r="J11" s="309">
        <v>3000.0</v>
      </c>
      <c r="K11" s="309">
        <v>3000.0</v>
      </c>
      <c r="L11" s="309">
        <v>3000.0</v>
      </c>
      <c r="M11" s="309">
        <v>3000.0</v>
      </c>
      <c r="N11" s="194">
        <v>3000.0</v>
      </c>
      <c r="O11" s="194">
        <v>3000.0</v>
      </c>
      <c r="P11" s="194">
        <v>3000.0</v>
      </c>
      <c r="Q11" s="194">
        <v>3000.0</v>
      </c>
      <c r="R11" s="194">
        <v>3000.0</v>
      </c>
      <c r="S11" s="194">
        <v>3000.0</v>
      </c>
      <c r="T11" s="194">
        <v>3000.0</v>
      </c>
      <c r="U11" s="194">
        <v>3000.0</v>
      </c>
      <c r="V11" s="194">
        <v>3000.0</v>
      </c>
      <c r="W11" s="194">
        <v>3000.0</v>
      </c>
      <c r="X11" s="194">
        <v>3000.0</v>
      </c>
      <c r="Y11" s="194">
        <v>3000.0</v>
      </c>
      <c r="Z11" s="194">
        <v>3000.0</v>
      </c>
      <c r="AA11" s="380"/>
    </row>
    <row r="12">
      <c r="A12" s="376">
        <v>10.0</v>
      </c>
      <c r="B12" s="194" t="s">
        <v>126</v>
      </c>
      <c r="C12" s="309" t="s">
        <v>30</v>
      </c>
      <c r="D12" s="309" t="s">
        <v>47</v>
      </c>
      <c r="E12" s="309" t="s">
        <v>47</v>
      </c>
      <c r="F12" s="309" t="s">
        <v>47</v>
      </c>
      <c r="G12" s="309" t="s">
        <v>47</v>
      </c>
      <c r="H12" s="309" t="s">
        <v>1131</v>
      </c>
      <c r="I12" s="309">
        <v>3000.0</v>
      </c>
      <c r="J12" s="309">
        <v>3000.0</v>
      </c>
      <c r="K12" s="309">
        <v>3000.0</v>
      </c>
      <c r="L12" s="309">
        <v>3000.0</v>
      </c>
      <c r="M12" s="309">
        <v>3000.0</v>
      </c>
      <c r="N12" s="194">
        <v>3000.0</v>
      </c>
      <c r="O12" s="194">
        <v>3000.0</v>
      </c>
      <c r="P12" s="194">
        <v>3000.0</v>
      </c>
      <c r="Q12" s="194">
        <v>3000.0</v>
      </c>
      <c r="R12" s="194">
        <v>3000.0</v>
      </c>
      <c r="S12" s="194">
        <v>3000.0</v>
      </c>
      <c r="T12" s="194">
        <v>3000.0</v>
      </c>
      <c r="U12" s="194">
        <v>3000.0</v>
      </c>
      <c r="V12" s="194">
        <v>3000.0</v>
      </c>
      <c r="W12" s="380"/>
      <c r="X12" s="194">
        <v>3000.0</v>
      </c>
      <c r="Y12" s="194">
        <v>3000.0</v>
      </c>
      <c r="Z12" s="194">
        <v>3000.0</v>
      </c>
      <c r="AA12" s="380"/>
    </row>
    <row r="13">
      <c r="A13" s="376">
        <v>11.0</v>
      </c>
      <c r="B13" s="194" t="s">
        <v>133</v>
      </c>
      <c r="C13" s="309" t="s">
        <v>30</v>
      </c>
      <c r="D13" s="309" t="s">
        <v>47</v>
      </c>
      <c r="E13" s="309" t="s">
        <v>47</v>
      </c>
      <c r="F13" s="309" t="s">
        <v>47</v>
      </c>
      <c r="G13" s="309" t="s">
        <v>47</v>
      </c>
      <c r="H13" s="309" t="s">
        <v>47</v>
      </c>
      <c r="I13" s="309" t="s">
        <v>1133</v>
      </c>
      <c r="J13" s="309">
        <v>2000.0</v>
      </c>
      <c r="K13" s="309">
        <v>2000.0</v>
      </c>
      <c r="L13" s="309">
        <v>2000.0</v>
      </c>
      <c r="M13" s="309">
        <v>2000.0</v>
      </c>
      <c r="N13" s="194">
        <v>2000.0</v>
      </c>
      <c r="O13" s="194" t="s">
        <v>37</v>
      </c>
      <c r="P13" s="194">
        <v>2000.0</v>
      </c>
      <c r="Q13" s="194">
        <v>2000.0</v>
      </c>
      <c r="R13" s="194">
        <v>2000.0</v>
      </c>
      <c r="S13" s="194"/>
      <c r="T13" s="194">
        <v>2000.0</v>
      </c>
      <c r="U13" s="194">
        <v>2000.0</v>
      </c>
      <c r="V13" s="194">
        <v>2000.0</v>
      </c>
      <c r="W13" s="380"/>
      <c r="X13" s="380"/>
      <c r="Y13" s="380"/>
      <c r="Z13" s="380"/>
      <c r="AA13" s="380"/>
    </row>
    <row r="14">
      <c r="A14" s="376">
        <v>12.0</v>
      </c>
      <c r="B14" s="194" t="s">
        <v>48</v>
      </c>
      <c r="C14" s="309" t="s">
        <v>30</v>
      </c>
      <c r="D14" s="309" t="s">
        <v>47</v>
      </c>
      <c r="E14" s="309" t="s">
        <v>47</v>
      </c>
      <c r="F14" s="309" t="s">
        <v>47</v>
      </c>
      <c r="G14" s="309" t="s">
        <v>47</v>
      </c>
      <c r="H14" s="309" t="s">
        <v>47</v>
      </c>
      <c r="I14" s="309" t="s">
        <v>44</v>
      </c>
      <c r="J14" s="309">
        <v>3000.0</v>
      </c>
      <c r="K14" s="309">
        <v>3000.0</v>
      </c>
      <c r="L14" s="309">
        <v>3000.0</v>
      </c>
      <c r="M14" s="309">
        <v>3000.0</v>
      </c>
      <c r="N14" s="194">
        <v>3000.0</v>
      </c>
      <c r="O14" s="194">
        <v>3000.0</v>
      </c>
      <c r="P14" s="194">
        <v>3000.0</v>
      </c>
      <c r="Q14" s="194">
        <v>3000.0</v>
      </c>
      <c r="R14" s="194">
        <v>3000.0</v>
      </c>
      <c r="S14" s="194">
        <v>3000.0</v>
      </c>
      <c r="T14" s="194">
        <v>3000.0</v>
      </c>
      <c r="U14" s="194">
        <v>3000.0</v>
      </c>
      <c r="V14" s="194">
        <v>3000.0</v>
      </c>
      <c r="W14" s="194">
        <v>3000.0</v>
      </c>
      <c r="X14" s="194">
        <v>3000.0</v>
      </c>
      <c r="Y14" s="194">
        <v>3000.0</v>
      </c>
      <c r="Z14" s="194">
        <v>3000.0</v>
      </c>
      <c r="AA14" s="380"/>
    </row>
    <row r="15">
      <c r="A15" s="376">
        <v>13.0</v>
      </c>
      <c r="B15" s="194" t="s">
        <v>50</v>
      </c>
      <c r="C15" s="309" t="s">
        <v>30</v>
      </c>
      <c r="D15" s="383"/>
      <c r="E15" s="383"/>
      <c r="F15" s="383"/>
      <c r="G15" s="383"/>
      <c r="H15" s="383"/>
      <c r="I15" s="383"/>
      <c r="J15" s="383"/>
      <c r="K15" s="383"/>
      <c r="L15" s="309" t="s">
        <v>44</v>
      </c>
      <c r="M15" s="309">
        <v>3000.0</v>
      </c>
      <c r="N15" s="194">
        <v>3000.0</v>
      </c>
      <c r="O15" s="194">
        <v>3000.0</v>
      </c>
      <c r="P15" s="194" t="s">
        <v>38</v>
      </c>
      <c r="Q15" s="194">
        <v>3000.0</v>
      </c>
      <c r="R15" s="194">
        <v>3000.0</v>
      </c>
      <c r="S15" s="194">
        <v>3000.0</v>
      </c>
      <c r="T15" s="194">
        <v>3000.0</v>
      </c>
      <c r="U15" s="194">
        <v>3000.0</v>
      </c>
      <c r="V15" s="194">
        <v>3000.0</v>
      </c>
      <c r="W15" s="194">
        <v>3000.0</v>
      </c>
      <c r="X15" s="194">
        <v>3000.0</v>
      </c>
      <c r="Y15" s="194">
        <v>3000.0</v>
      </c>
      <c r="Z15" s="194">
        <v>3000.0</v>
      </c>
      <c r="AA15" s="380"/>
    </row>
    <row r="16">
      <c r="A16" s="376">
        <v>14.0</v>
      </c>
      <c r="B16" s="194" t="s">
        <v>174</v>
      </c>
      <c r="C16" s="309" t="s">
        <v>30</v>
      </c>
      <c r="D16" s="383"/>
      <c r="E16" s="383"/>
      <c r="F16" s="383"/>
      <c r="G16" s="383"/>
      <c r="H16" s="383"/>
      <c r="I16" s="383"/>
      <c r="J16" s="383"/>
      <c r="K16" s="383"/>
      <c r="L16" s="383"/>
      <c r="M16" s="380"/>
      <c r="N16" s="194" t="s">
        <v>44</v>
      </c>
      <c r="O16" s="194">
        <v>3000.0</v>
      </c>
      <c r="P16" s="194">
        <v>3000.0</v>
      </c>
      <c r="Q16" s="194">
        <v>3000.0</v>
      </c>
      <c r="R16" s="194">
        <v>3000.0</v>
      </c>
      <c r="S16" s="194">
        <v>3000.0</v>
      </c>
      <c r="T16" s="194">
        <v>3000.0</v>
      </c>
      <c r="U16" s="194">
        <v>3000.0</v>
      </c>
      <c r="V16" s="194">
        <v>3000.0</v>
      </c>
      <c r="W16" s="194">
        <v>3000.0</v>
      </c>
      <c r="X16" s="194">
        <v>3000.0</v>
      </c>
      <c r="Y16" s="194">
        <v>3000.0</v>
      </c>
      <c r="Z16" s="380"/>
      <c r="AA16" s="380"/>
    </row>
    <row r="17">
      <c r="A17" s="309">
        <v>15.0</v>
      </c>
      <c r="B17" s="194" t="s">
        <v>200</v>
      </c>
      <c r="C17" s="309" t="s">
        <v>30</v>
      </c>
      <c r="D17" s="383"/>
      <c r="E17" s="383"/>
      <c r="F17" s="383"/>
      <c r="G17" s="383"/>
      <c r="H17" s="383"/>
      <c r="I17" s="383"/>
      <c r="J17" s="383"/>
      <c r="K17" s="383"/>
      <c r="L17" s="383"/>
      <c r="M17" s="380"/>
      <c r="N17" s="380"/>
      <c r="O17" s="380"/>
      <c r="P17" s="194" t="s">
        <v>44</v>
      </c>
      <c r="Q17" s="194">
        <v>3000.0</v>
      </c>
      <c r="R17" s="194">
        <v>3000.0</v>
      </c>
      <c r="S17" s="380"/>
      <c r="T17" s="380"/>
      <c r="U17" s="194" t="s">
        <v>1135</v>
      </c>
      <c r="V17" s="380"/>
      <c r="W17" s="380"/>
      <c r="X17" s="380"/>
      <c r="Y17" s="380"/>
      <c r="Z17" s="194" t="s">
        <v>1510</v>
      </c>
      <c r="AA17" s="380"/>
    </row>
    <row r="18">
      <c r="A18" s="376">
        <v>16.0</v>
      </c>
      <c r="B18" s="194" t="s">
        <v>215</v>
      </c>
      <c r="C18" s="309" t="s">
        <v>30</v>
      </c>
      <c r="D18" s="383"/>
      <c r="E18" s="383"/>
      <c r="F18" s="383"/>
      <c r="G18" s="383"/>
      <c r="H18" s="383"/>
      <c r="I18" s="383"/>
      <c r="J18" s="383"/>
      <c r="K18" s="383"/>
      <c r="L18" s="383"/>
      <c r="M18" s="380"/>
      <c r="N18" s="380"/>
      <c r="O18" s="380"/>
      <c r="P18" s="380"/>
      <c r="Q18" s="194" t="s">
        <v>44</v>
      </c>
      <c r="R18" s="194">
        <v>3000.0</v>
      </c>
      <c r="S18" s="194">
        <v>3000.0</v>
      </c>
      <c r="T18" s="194">
        <v>3000.0</v>
      </c>
      <c r="U18" s="194">
        <v>3000.0</v>
      </c>
      <c r="V18" s="194">
        <v>3000.0</v>
      </c>
      <c r="W18" s="194">
        <v>3000.0</v>
      </c>
      <c r="X18" s="194">
        <v>3000.0</v>
      </c>
      <c r="Y18" s="380"/>
      <c r="Z18" s="380"/>
      <c r="AA18" s="380"/>
    </row>
    <row r="19">
      <c r="A19" s="309">
        <v>17.0</v>
      </c>
      <c r="B19" s="194" t="s">
        <v>222</v>
      </c>
      <c r="C19" s="309" t="s">
        <v>30</v>
      </c>
      <c r="D19" s="383"/>
      <c r="E19" s="383"/>
      <c r="F19" s="383"/>
      <c r="G19" s="383"/>
      <c r="H19" s="383"/>
      <c r="I19" s="383"/>
      <c r="J19" s="383"/>
      <c r="K19" s="383"/>
      <c r="L19" s="383"/>
      <c r="M19" s="380"/>
      <c r="N19" s="380"/>
      <c r="O19" s="380"/>
      <c r="P19" s="380"/>
      <c r="Q19" s="194" t="s">
        <v>44</v>
      </c>
      <c r="R19" s="194">
        <v>3000.0</v>
      </c>
      <c r="S19" s="194">
        <v>3000.0</v>
      </c>
      <c r="T19" s="194">
        <v>3000.0</v>
      </c>
      <c r="U19" s="194">
        <v>3000.0</v>
      </c>
      <c r="V19" s="194">
        <v>3000.0</v>
      </c>
      <c r="W19" s="194">
        <v>3000.0</v>
      </c>
      <c r="X19" s="194">
        <v>3000.0</v>
      </c>
      <c r="Y19" s="194">
        <v>3000.0</v>
      </c>
      <c r="Z19" s="194">
        <v>3000.0</v>
      </c>
      <c r="AA19" s="380"/>
    </row>
    <row r="20">
      <c r="A20" s="376">
        <v>18.0</v>
      </c>
      <c r="B20" s="194" t="s">
        <v>51</v>
      </c>
      <c r="C20" s="309" t="s">
        <v>30</v>
      </c>
      <c r="D20" s="383"/>
      <c r="E20" s="383"/>
      <c r="F20" s="383"/>
      <c r="G20" s="383"/>
      <c r="H20" s="383"/>
      <c r="I20" s="383"/>
      <c r="J20" s="383"/>
      <c r="K20" s="383"/>
      <c r="L20" s="383"/>
      <c r="M20" s="380"/>
      <c r="N20" s="380"/>
      <c r="O20" s="380"/>
      <c r="P20" s="380"/>
      <c r="Q20" s="380"/>
      <c r="R20" s="194" t="s">
        <v>44</v>
      </c>
      <c r="S20" s="194">
        <v>3000.0</v>
      </c>
      <c r="T20" s="194">
        <v>3000.0</v>
      </c>
      <c r="U20" s="194">
        <v>3000.0</v>
      </c>
      <c r="V20" s="194">
        <v>3000.0</v>
      </c>
      <c r="W20" s="194">
        <v>3000.0</v>
      </c>
      <c r="X20" s="194">
        <v>3000.0</v>
      </c>
      <c r="Y20" s="194">
        <v>3000.0</v>
      </c>
      <c r="Z20" s="194">
        <v>3000.0</v>
      </c>
      <c r="AA20" s="380"/>
    </row>
    <row r="21">
      <c r="A21" s="309">
        <v>19.0</v>
      </c>
      <c r="B21" s="194" t="s">
        <v>346</v>
      </c>
      <c r="C21" s="309" t="s">
        <v>30</v>
      </c>
      <c r="D21" s="383"/>
      <c r="E21" s="383"/>
      <c r="F21" s="383"/>
      <c r="G21" s="383"/>
      <c r="H21" s="383"/>
      <c r="I21" s="383"/>
      <c r="J21" s="383"/>
      <c r="K21" s="383"/>
      <c r="L21" s="383"/>
      <c r="M21" s="380"/>
      <c r="N21" s="380"/>
      <c r="O21" s="380"/>
      <c r="P21" s="380"/>
      <c r="Q21" s="380"/>
      <c r="R21" s="380"/>
      <c r="S21" s="380"/>
      <c r="T21" s="380"/>
      <c r="U21" s="194" t="s">
        <v>44</v>
      </c>
      <c r="V21" s="194">
        <v>3000.0</v>
      </c>
      <c r="W21" s="194">
        <v>3000.0</v>
      </c>
      <c r="X21" s="194">
        <v>3000.0</v>
      </c>
      <c r="Y21" s="194">
        <v>3000.0</v>
      </c>
      <c r="Z21" s="194">
        <v>3000.0</v>
      </c>
      <c r="AA21" s="380"/>
    </row>
    <row r="22">
      <c r="A22" s="309">
        <v>20.0</v>
      </c>
      <c r="B22" s="194" t="s">
        <v>354</v>
      </c>
      <c r="C22" s="309" t="s">
        <v>30</v>
      </c>
      <c r="D22" s="383"/>
      <c r="E22" s="383"/>
      <c r="F22" s="383"/>
      <c r="G22" s="383"/>
      <c r="H22" s="383"/>
      <c r="I22" s="383"/>
      <c r="J22" s="383"/>
      <c r="K22" s="383"/>
      <c r="L22" s="383"/>
      <c r="M22" s="380"/>
      <c r="N22" s="380"/>
      <c r="O22" s="380"/>
      <c r="P22" s="380"/>
      <c r="Q22" s="380"/>
      <c r="R22" s="380"/>
      <c r="S22" s="380"/>
      <c r="T22" s="380"/>
      <c r="U22" s="194" t="s">
        <v>44</v>
      </c>
      <c r="V22" s="194">
        <v>3000.0</v>
      </c>
      <c r="W22" s="194">
        <v>3000.0</v>
      </c>
      <c r="X22" s="194">
        <v>3000.0</v>
      </c>
      <c r="Y22" s="194">
        <v>3000.0</v>
      </c>
      <c r="Z22" s="194">
        <v>3000.0</v>
      </c>
      <c r="AA22" s="380"/>
    </row>
    <row r="23">
      <c r="A23" s="309">
        <v>21.0</v>
      </c>
      <c r="B23" s="194" t="s">
        <v>52</v>
      </c>
      <c r="C23" s="309" t="s">
        <v>30</v>
      </c>
      <c r="D23" s="383"/>
      <c r="E23" s="383"/>
      <c r="F23" s="383"/>
      <c r="G23" s="383"/>
      <c r="H23" s="383"/>
      <c r="I23" s="383"/>
      <c r="J23" s="383"/>
      <c r="K23" s="383"/>
      <c r="L23" s="383"/>
      <c r="M23" s="380"/>
      <c r="N23" s="380"/>
      <c r="O23" s="380"/>
      <c r="P23" s="380"/>
      <c r="Q23" s="380"/>
      <c r="R23" s="380"/>
      <c r="S23" s="380"/>
      <c r="T23" s="380"/>
      <c r="U23" s="194" t="s">
        <v>44</v>
      </c>
      <c r="V23" s="194">
        <v>3000.0</v>
      </c>
      <c r="W23" s="194">
        <v>3000.0</v>
      </c>
      <c r="X23" s="194">
        <v>3000.0</v>
      </c>
      <c r="Y23" s="194">
        <v>3000.0</v>
      </c>
      <c r="Z23" s="194">
        <v>3000.0</v>
      </c>
      <c r="AA23" s="380"/>
    </row>
    <row r="24">
      <c r="A24" s="309">
        <v>22.0</v>
      </c>
      <c r="B24" s="194" t="s">
        <v>368</v>
      </c>
      <c r="C24" s="309" t="s">
        <v>30</v>
      </c>
      <c r="D24" s="383"/>
      <c r="E24" s="383"/>
      <c r="F24" s="383"/>
      <c r="G24" s="383"/>
      <c r="H24" s="383"/>
      <c r="I24" s="383"/>
      <c r="J24" s="383"/>
      <c r="K24" s="309"/>
      <c r="L24" s="383"/>
      <c r="M24" s="380"/>
      <c r="N24" s="380"/>
      <c r="O24" s="380"/>
      <c r="P24" s="380"/>
      <c r="Q24" s="380"/>
      <c r="R24" s="380"/>
      <c r="S24" s="380"/>
      <c r="T24" s="380"/>
      <c r="U24" s="194" t="s">
        <v>44</v>
      </c>
      <c r="V24" s="194">
        <v>3000.0</v>
      </c>
      <c r="W24" s="194">
        <v>3000.0</v>
      </c>
      <c r="X24" s="194">
        <v>3000.0</v>
      </c>
      <c r="Y24" s="194">
        <v>3000.0</v>
      </c>
      <c r="Z24" s="194">
        <v>3000.0</v>
      </c>
      <c r="AA24" s="380"/>
    </row>
    <row r="25">
      <c r="A25" s="309">
        <v>23.0</v>
      </c>
      <c r="B25" s="194" t="s">
        <v>380</v>
      </c>
      <c r="C25" s="309" t="s">
        <v>30</v>
      </c>
      <c r="D25" s="383"/>
      <c r="E25" s="383"/>
      <c r="F25" s="383"/>
      <c r="G25" s="383"/>
      <c r="H25" s="383"/>
      <c r="I25" s="383"/>
      <c r="J25" s="383"/>
      <c r="K25" s="383"/>
      <c r="L25" s="383"/>
      <c r="M25" s="380"/>
      <c r="N25" s="380"/>
      <c r="O25" s="380"/>
      <c r="P25" s="380"/>
      <c r="Q25" s="380"/>
      <c r="R25" s="380"/>
      <c r="S25" s="380"/>
      <c r="T25" s="380"/>
      <c r="U25" s="194" t="s">
        <v>322</v>
      </c>
      <c r="V25" s="194" t="s">
        <v>44</v>
      </c>
      <c r="W25" s="194">
        <v>3000.0</v>
      </c>
      <c r="X25" s="194">
        <v>3000.0</v>
      </c>
      <c r="Y25" s="194">
        <v>3000.0</v>
      </c>
      <c r="Z25" s="194">
        <v>3000.0</v>
      </c>
      <c r="AA25" s="380"/>
    </row>
    <row r="26">
      <c r="A26" s="309">
        <v>24.0</v>
      </c>
      <c r="B26" s="194" t="s">
        <v>53</v>
      </c>
      <c r="C26" s="309" t="s">
        <v>30</v>
      </c>
      <c r="D26" s="383"/>
      <c r="E26" s="383"/>
      <c r="F26" s="383"/>
      <c r="G26" s="383"/>
      <c r="H26" s="383"/>
      <c r="I26" s="383"/>
      <c r="J26" s="383"/>
      <c r="K26" s="383"/>
      <c r="L26" s="383"/>
      <c r="M26" s="380"/>
      <c r="N26" s="380"/>
      <c r="O26" s="380"/>
      <c r="P26" s="380"/>
      <c r="Q26" s="380"/>
      <c r="R26" s="380"/>
      <c r="S26" s="380"/>
      <c r="T26" s="380"/>
      <c r="U26" s="380"/>
      <c r="V26" s="194" t="s">
        <v>44</v>
      </c>
      <c r="W26" s="194">
        <v>3000.0</v>
      </c>
      <c r="X26" s="194">
        <v>3000.0</v>
      </c>
      <c r="Y26" s="194">
        <v>3000.0</v>
      </c>
      <c r="Z26" s="194">
        <v>3000.0</v>
      </c>
      <c r="AA26" s="380"/>
    </row>
    <row r="27">
      <c r="A27" s="309">
        <v>25.0</v>
      </c>
      <c r="B27" s="194" t="s">
        <v>397</v>
      </c>
      <c r="C27" s="309" t="s">
        <v>30</v>
      </c>
      <c r="D27" s="383"/>
      <c r="E27" s="383"/>
      <c r="F27" s="383"/>
      <c r="G27" s="383"/>
      <c r="H27" s="383"/>
      <c r="I27" s="383"/>
      <c r="J27" s="383"/>
      <c r="K27" s="309"/>
      <c r="L27" s="383"/>
      <c r="M27" s="380"/>
      <c r="N27" s="380"/>
      <c r="O27" s="380"/>
      <c r="P27" s="380"/>
      <c r="Q27" s="380"/>
      <c r="R27" s="380"/>
      <c r="S27" s="380"/>
      <c r="T27" s="380"/>
      <c r="U27" s="380"/>
      <c r="V27" s="194" t="s">
        <v>44</v>
      </c>
      <c r="W27" s="194">
        <v>3000.0</v>
      </c>
      <c r="X27" s="194">
        <v>3000.0</v>
      </c>
      <c r="Y27" s="194">
        <v>3000.0</v>
      </c>
      <c r="Z27" s="194">
        <v>3000.0</v>
      </c>
      <c r="AA27" s="380"/>
    </row>
    <row r="28">
      <c r="A28" s="309">
        <v>26.0</v>
      </c>
      <c r="B28" s="194" t="s">
        <v>406</v>
      </c>
      <c r="C28" s="309" t="s">
        <v>30</v>
      </c>
      <c r="D28" s="383"/>
      <c r="E28" s="383"/>
      <c r="F28" s="383"/>
      <c r="G28" s="383"/>
      <c r="H28" s="383"/>
      <c r="I28" s="383"/>
      <c r="J28" s="383"/>
      <c r="K28" s="383"/>
      <c r="L28" s="383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194" t="s">
        <v>44</v>
      </c>
      <c r="X28" s="194">
        <v>3000.0</v>
      </c>
      <c r="Y28" s="194">
        <v>3000.0</v>
      </c>
      <c r="Z28" s="194">
        <v>3000.0</v>
      </c>
      <c r="AA28" s="380"/>
    </row>
    <row r="29">
      <c r="A29" s="309">
        <v>27.0</v>
      </c>
      <c r="B29" s="194" t="s">
        <v>411</v>
      </c>
      <c r="C29" s="309" t="s">
        <v>30</v>
      </c>
      <c r="D29" s="383"/>
      <c r="E29" s="383"/>
      <c r="F29" s="383"/>
      <c r="G29" s="383"/>
      <c r="H29" s="383"/>
      <c r="I29" s="383"/>
      <c r="J29" s="383"/>
      <c r="K29" s="383"/>
      <c r="L29" s="383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194" t="s">
        <v>44</v>
      </c>
      <c r="X29" s="194">
        <v>3000.0</v>
      </c>
      <c r="Y29" s="194">
        <v>3000.0</v>
      </c>
      <c r="Z29" s="194">
        <v>3000.0</v>
      </c>
      <c r="AA29" s="380"/>
    </row>
    <row r="30">
      <c r="A30" s="309">
        <v>28.0</v>
      </c>
      <c r="B30" s="194" t="s">
        <v>420</v>
      </c>
      <c r="C30" s="309" t="s">
        <v>30</v>
      </c>
      <c r="D30" s="383"/>
      <c r="E30" s="383"/>
      <c r="F30" s="383"/>
      <c r="G30" s="383"/>
      <c r="H30" s="383"/>
      <c r="I30" s="383"/>
      <c r="J30" s="383"/>
      <c r="K30" s="383"/>
      <c r="L30" s="383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194" t="s">
        <v>44</v>
      </c>
      <c r="X30" s="495">
        <v>3000.0</v>
      </c>
      <c r="Y30" s="495">
        <v>3000.0</v>
      </c>
      <c r="Z30" s="194">
        <v>3000.0</v>
      </c>
      <c r="AA30" s="380"/>
    </row>
    <row r="31">
      <c r="A31" s="309">
        <v>29.0</v>
      </c>
      <c r="B31" s="194" t="s">
        <v>424</v>
      </c>
      <c r="C31" s="309" t="s">
        <v>30</v>
      </c>
      <c r="D31" s="383"/>
      <c r="E31" s="383"/>
      <c r="F31" s="383"/>
      <c r="G31" s="383"/>
      <c r="H31" s="383"/>
      <c r="I31" s="383"/>
      <c r="J31" s="383"/>
      <c r="K31" s="383"/>
      <c r="L31" s="383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194" t="s">
        <v>44</v>
      </c>
      <c r="X31" s="194">
        <v>3000.0</v>
      </c>
      <c r="Y31" s="194">
        <v>3000.0</v>
      </c>
      <c r="Z31" s="194">
        <v>3000.0</v>
      </c>
      <c r="AA31" s="380"/>
    </row>
    <row r="32">
      <c r="A32" s="309">
        <v>30.0</v>
      </c>
      <c r="B32" s="194" t="s">
        <v>425</v>
      </c>
      <c r="C32" s="309" t="s">
        <v>30</v>
      </c>
      <c r="D32" s="383"/>
      <c r="E32" s="383"/>
      <c r="F32" s="383"/>
      <c r="G32" s="383"/>
      <c r="H32" s="383"/>
      <c r="I32" s="383"/>
      <c r="J32" s="383"/>
      <c r="K32" s="383"/>
      <c r="L32" s="383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194" t="s">
        <v>44</v>
      </c>
      <c r="X32" s="194">
        <v>3000.0</v>
      </c>
      <c r="Y32" s="194">
        <v>3000.0</v>
      </c>
      <c r="Z32" s="194">
        <v>3000.0</v>
      </c>
      <c r="AA32" s="380"/>
    </row>
    <row r="33">
      <c r="A33" s="309">
        <v>31.0</v>
      </c>
      <c r="B33" s="184" t="s">
        <v>493</v>
      </c>
      <c r="C33" s="197" t="s">
        <v>30</v>
      </c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  <c r="W33" s="194"/>
      <c r="X33" s="391"/>
      <c r="Y33" s="391"/>
      <c r="Z33" s="194" t="s">
        <v>44</v>
      </c>
      <c r="AA33" s="391"/>
    </row>
    <row r="34">
      <c r="A34" s="309">
        <v>32.0</v>
      </c>
      <c r="B34" s="184" t="s">
        <v>489</v>
      </c>
      <c r="C34" s="197" t="s">
        <v>30</v>
      </c>
      <c r="D34" s="391"/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194" t="s">
        <v>44</v>
      </c>
      <c r="AA34" s="391"/>
    </row>
    <row r="35">
      <c r="A35" s="309">
        <v>33.0</v>
      </c>
      <c r="B35" s="184" t="s">
        <v>55</v>
      </c>
      <c r="C35" s="197" t="s">
        <v>30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194" t="s">
        <v>44</v>
      </c>
      <c r="AA35" s="391"/>
    </row>
    <row r="36">
      <c r="A36" s="496">
        <v>34.0</v>
      </c>
      <c r="B36" s="184" t="s">
        <v>56</v>
      </c>
      <c r="C36" s="197" t="s">
        <v>30</v>
      </c>
      <c r="D36" s="391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1"/>
      <c r="Y36" s="391"/>
      <c r="Z36" s="194" t="s">
        <v>44</v>
      </c>
      <c r="AA36" s="391"/>
    </row>
    <row r="37">
      <c r="A37" s="496">
        <v>35.0</v>
      </c>
      <c r="B37" s="184" t="s">
        <v>497</v>
      </c>
      <c r="C37" s="197" t="s">
        <v>30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194" t="s">
        <v>44</v>
      </c>
      <c r="AA37" s="391"/>
    </row>
    <row r="38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</row>
    <row r="39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</row>
    <row r="40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</row>
    <row r="4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</row>
    <row r="42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</row>
    <row r="43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</row>
    <row r="44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</row>
    <row r="4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</row>
    <row r="46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</row>
    <row r="47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</row>
    <row r="48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</row>
    <row r="49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</row>
    <row r="50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</row>
    <row r="5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</row>
    <row r="52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</row>
    <row r="53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</row>
    <row r="54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</row>
    <row r="5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</row>
    <row r="56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</row>
    <row r="57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</row>
    <row r="58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</row>
    <row r="59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</row>
    <row r="60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</row>
    <row r="6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</row>
    <row r="62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</row>
    <row r="63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</row>
    <row r="64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</row>
    <row r="65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</row>
    <row r="66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</row>
    <row r="67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</row>
    <row r="68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</row>
    <row r="69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</row>
    <row r="70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</row>
    <row r="7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</row>
    <row r="72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</row>
    <row r="73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</row>
    <row r="74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</row>
    <row r="75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</row>
    <row r="76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</row>
    <row r="77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</row>
    <row r="78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</row>
    <row r="79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</row>
    <row r="80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</row>
    <row r="8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</row>
    <row r="82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</row>
    <row r="83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</row>
    <row r="84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</row>
    <row r="85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</row>
    <row r="86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</row>
    <row r="87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</row>
    <row r="88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</row>
    <row r="89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</row>
    <row r="90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</row>
    <row r="9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</row>
    <row r="92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</row>
    <row r="93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</row>
    <row r="94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</row>
    <row r="95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</row>
    <row r="96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</row>
    <row r="97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</row>
    <row r="98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</row>
    <row r="99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</row>
    <row r="100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</row>
    <row r="10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</row>
    <row r="102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</row>
    <row r="103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</row>
    <row r="104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</row>
    <row r="105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</row>
    <row r="106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</row>
    <row r="107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</row>
    <row r="108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</row>
    <row r="109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</row>
    <row r="110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</row>
    <row r="11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</row>
    <row r="112">
      <c r="A112" s="389"/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</row>
    <row r="113">
      <c r="A113" s="389"/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</row>
    <row r="114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</row>
    <row r="115">
      <c r="A115" s="389"/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</row>
    <row r="116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</row>
    <row r="117">
      <c r="A117" s="389"/>
      <c r="B117" s="389"/>
      <c r="C117" s="389"/>
      <c r="D117" s="389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</row>
    <row r="118">
      <c r="A118" s="389"/>
      <c r="B118" s="389"/>
      <c r="C118" s="389"/>
      <c r="D118" s="389"/>
      <c r="E118" s="389"/>
      <c r="F118" s="389"/>
      <c r="G118" s="389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</row>
    <row r="119">
      <c r="A119" s="389"/>
      <c r="B119" s="389"/>
      <c r="C119" s="389"/>
      <c r="D119" s="389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</row>
    <row r="120">
      <c r="A120" s="389"/>
      <c r="B120" s="389"/>
      <c r="C120" s="389"/>
      <c r="D120" s="389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</row>
    <row r="121">
      <c r="A121" s="389"/>
      <c r="B121" s="389"/>
      <c r="C121" s="389"/>
      <c r="D121" s="389"/>
      <c r="E121" s="389"/>
      <c r="F121" s="389"/>
      <c r="G121" s="389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</row>
    <row r="122">
      <c r="A122" s="389"/>
      <c r="B122" s="389"/>
      <c r="C122" s="389"/>
      <c r="D122" s="389"/>
      <c r="E122" s="389"/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</row>
    <row r="123">
      <c r="A123" s="389"/>
      <c r="B123" s="389"/>
      <c r="C123" s="389"/>
      <c r="D123" s="389"/>
      <c r="E123" s="389"/>
      <c r="F123" s="389"/>
      <c r="G123" s="389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</row>
    <row r="124">
      <c r="A124" s="389"/>
      <c r="B124" s="389"/>
      <c r="C124" s="389"/>
      <c r="D124" s="389"/>
      <c r="E124" s="389"/>
      <c r="F124" s="389"/>
      <c r="G124" s="389"/>
      <c r="H124" s="389"/>
      <c r="I124" s="389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</row>
    <row r="125">
      <c r="A125" s="389"/>
      <c r="B125" s="389"/>
      <c r="C125" s="389"/>
      <c r="D125" s="389"/>
      <c r="E125" s="389"/>
      <c r="F125" s="389"/>
      <c r="G125" s="389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</row>
    <row r="126">
      <c r="A126" s="389"/>
      <c r="B126" s="389"/>
      <c r="C126" s="389"/>
      <c r="D126" s="389"/>
      <c r="E126" s="389"/>
      <c r="F126" s="389"/>
      <c r="G126" s="389"/>
      <c r="H126" s="389"/>
      <c r="I126" s="389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</row>
    <row r="127">
      <c r="A127" s="389"/>
      <c r="B127" s="389"/>
      <c r="C127" s="389"/>
      <c r="D127" s="389"/>
      <c r="E127" s="389"/>
      <c r="F127" s="389"/>
      <c r="G127" s="389"/>
      <c r="H127" s="389"/>
      <c r="I127" s="389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</row>
    <row r="128">
      <c r="A128" s="389"/>
      <c r="B128" s="389"/>
      <c r="C128" s="389"/>
      <c r="D128" s="389"/>
      <c r="E128" s="389"/>
      <c r="F128" s="389"/>
      <c r="G128" s="389"/>
      <c r="H128" s="389"/>
      <c r="I128" s="389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</row>
    <row r="129">
      <c r="A129" s="389"/>
      <c r="B129" s="389"/>
      <c r="C129" s="389"/>
      <c r="D129" s="389"/>
      <c r="E129" s="389"/>
      <c r="F129" s="389"/>
      <c r="G129" s="389"/>
      <c r="H129" s="389"/>
      <c r="I129" s="389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</row>
    <row r="130">
      <c r="A130" s="389"/>
      <c r="B130" s="389"/>
      <c r="C130" s="389"/>
      <c r="D130" s="389"/>
      <c r="E130" s="389"/>
      <c r="F130" s="389"/>
      <c r="G130" s="389"/>
      <c r="H130" s="389"/>
      <c r="I130" s="389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</row>
    <row r="131">
      <c r="A131" s="389"/>
      <c r="B131" s="389"/>
      <c r="C131" s="389"/>
      <c r="D131" s="389"/>
      <c r="E131" s="389"/>
      <c r="F131" s="389"/>
      <c r="G131" s="389"/>
      <c r="H131" s="389"/>
      <c r="I131" s="389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</row>
    <row r="132">
      <c r="A132" s="389"/>
      <c r="B132" s="389"/>
      <c r="C132" s="389"/>
      <c r="D132" s="389"/>
      <c r="E132" s="389"/>
      <c r="F132" s="389"/>
      <c r="G132" s="389"/>
      <c r="H132" s="389"/>
      <c r="I132" s="389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</row>
    <row r="133">
      <c r="A133" s="389"/>
      <c r="B133" s="389"/>
      <c r="C133" s="389"/>
      <c r="D133" s="389"/>
      <c r="E133" s="389"/>
      <c r="F133" s="389"/>
      <c r="G133" s="389"/>
      <c r="H133" s="389"/>
      <c r="I133" s="389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</row>
    <row r="134">
      <c r="A134" s="389"/>
      <c r="B134" s="389"/>
      <c r="C134" s="389"/>
      <c r="D134" s="389"/>
      <c r="E134" s="389"/>
      <c r="F134" s="389"/>
      <c r="G134" s="389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</row>
    <row r="135">
      <c r="A135" s="389"/>
      <c r="B135" s="389"/>
      <c r="C135" s="389"/>
      <c r="D135" s="389"/>
      <c r="E135" s="389"/>
      <c r="F135" s="389"/>
      <c r="G135" s="389"/>
      <c r="H135" s="389"/>
      <c r="I135" s="389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</row>
    <row r="136">
      <c r="A136" s="389"/>
      <c r="B136" s="389"/>
      <c r="C136" s="389"/>
      <c r="D136" s="389"/>
      <c r="E136" s="389"/>
      <c r="F136" s="389"/>
      <c r="G136" s="389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</row>
    <row r="137">
      <c r="A137" s="389"/>
      <c r="B137" s="389"/>
      <c r="C137" s="389"/>
      <c r="D137" s="389"/>
      <c r="E137" s="389"/>
      <c r="F137" s="389"/>
      <c r="G137" s="389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</row>
    <row r="138">
      <c r="A138" s="389"/>
      <c r="B138" s="389"/>
      <c r="C138" s="389"/>
      <c r="D138" s="389"/>
      <c r="E138" s="389"/>
      <c r="F138" s="389"/>
      <c r="G138" s="389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</row>
    <row r="139">
      <c r="A139" s="389"/>
      <c r="B139" s="389"/>
      <c r="C139" s="389"/>
      <c r="D139" s="389"/>
      <c r="E139" s="389"/>
      <c r="F139" s="389"/>
      <c r="G139" s="389"/>
      <c r="H139" s="389"/>
      <c r="I139" s="389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</row>
    <row r="140">
      <c r="A140" s="389"/>
      <c r="B140" s="389"/>
      <c r="C140" s="389"/>
      <c r="D140" s="389"/>
      <c r="E140" s="389"/>
      <c r="F140" s="389"/>
      <c r="G140" s="389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</row>
    <row r="141">
      <c r="A141" s="389"/>
      <c r="B141" s="389"/>
      <c r="C141" s="389"/>
      <c r="D141" s="389"/>
      <c r="E141" s="389"/>
      <c r="F141" s="389"/>
      <c r="G141" s="389"/>
      <c r="H141" s="389"/>
      <c r="I141" s="389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</row>
    <row r="142">
      <c r="A142" s="389"/>
      <c r="B142" s="389"/>
      <c r="C142" s="389"/>
      <c r="D142" s="389"/>
      <c r="E142" s="389"/>
      <c r="F142" s="389"/>
      <c r="G142" s="389"/>
      <c r="H142" s="389"/>
      <c r="I142" s="389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</row>
    <row r="143">
      <c r="A143" s="389"/>
      <c r="B143" s="389"/>
      <c r="C143" s="389"/>
      <c r="D143" s="389"/>
      <c r="E143" s="389"/>
      <c r="F143" s="389"/>
      <c r="G143" s="389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</row>
    <row r="144">
      <c r="A144" s="389"/>
      <c r="B144" s="389"/>
      <c r="C144" s="389"/>
      <c r="D144" s="389"/>
      <c r="E144" s="389"/>
      <c r="F144" s="389"/>
      <c r="G144" s="389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</row>
    <row r="145">
      <c r="A145" s="389"/>
      <c r="B145" s="389"/>
      <c r="C145" s="389"/>
      <c r="D145" s="389"/>
      <c r="E145" s="389"/>
      <c r="F145" s="389"/>
      <c r="G145" s="389"/>
      <c r="H145" s="389"/>
      <c r="I145" s="389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</row>
    <row r="146">
      <c r="A146" s="389"/>
      <c r="B146" s="389"/>
      <c r="C146" s="389"/>
      <c r="D146" s="389"/>
      <c r="E146" s="389"/>
      <c r="F146" s="389"/>
      <c r="G146" s="389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</row>
    <row r="147">
      <c r="A147" s="389"/>
      <c r="B147" s="389"/>
      <c r="C147" s="389"/>
      <c r="D147" s="389"/>
      <c r="E147" s="389"/>
      <c r="F147" s="389"/>
      <c r="G147" s="389"/>
      <c r="H147" s="389"/>
      <c r="I147" s="389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</row>
    <row r="148">
      <c r="A148" s="389"/>
      <c r="B148" s="389"/>
      <c r="C148" s="389"/>
      <c r="D148" s="389"/>
      <c r="E148" s="389"/>
      <c r="F148" s="389"/>
      <c r="G148" s="389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</row>
    <row r="149">
      <c r="A149" s="389"/>
      <c r="B149" s="389"/>
      <c r="C149" s="389"/>
      <c r="D149" s="389"/>
      <c r="E149" s="389"/>
      <c r="F149" s="389"/>
      <c r="G149" s="389"/>
      <c r="H149" s="389"/>
      <c r="I149" s="389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</row>
    <row r="150">
      <c r="A150" s="389"/>
      <c r="B150" s="389"/>
      <c r="C150" s="389"/>
      <c r="D150" s="389"/>
      <c r="E150" s="389"/>
      <c r="F150" s="389"/>
      <c r="G150" s="389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</row>
    <row r="151">
      <c r="A151" s="389"/>
      <c r="B151" s="389"/>
      <c r="C151" s="389"/>
      <c r="D151" s="389"/>
      <c r="E151" s="389"/>
      <c r="F151" s="389"/>
      <c r="G151" s="389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</row>
    <row r="152">
      <c r="A152" s="389"/>
      <c r="B152" s="389"/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</row>
    <row r="153">
      <c r="A153" s="389"/>
      <c r="B153" s="389"/>
      <c r="C153" s="389"/>
      <c r="D153" s="389"/>
      <c r="E153" s="389"/>
      <c r="F153" s="389"/>
      <c r="G153" s="389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</row>
    <row r="154">
      <c r="A154" s="389"/>
      <c r="B154" s="389"/>
      <c r="C154" s="389"/>
      <c r="D154" s="389"/>
      <c r="E154" s="389"/>
      <c r="F154" s="389"/>
      <c r="G154" s="389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</row>
    <row r="155">
      <c r="A155" s="389"/>
      <c r="B155" s="389"/>
      <c r="C155" s="389"/>
      <c r="D155" s="389"/>
      <c r="E155" s="389"/>
      <c r="F155" s="389"/>
      <c r="G155" s="389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</row>
    <row r="156">
      <c r="A156" s="389"/>
      <c r="B156" s="389"/>
      <c r="C156" s="389"/>
      <c r="D156" s="389"/>
      <c r="E156" s="389"/>
      <c r="F156" s="389"/>
      <c r="G156" s="389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</row>
    <row r="157">
      <c r="A157" s="389"/>
      <c r="B157" s="389"/>
      <c r="C157" s="389"/>
      <c r="D157" s="389"/>
      <c r="E157" s="389"/>
      <c r="F157" s="389"/>
      <c r="G157" s="389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</row>
    <row r="158">
      <c r="A158" s="389"/>
      <c r="B158" s="389"/>
      <c r="C158" s="389"/>
      <c r="D158" s="389"/>
      <c r="E158" s="389"/>
      <c r="F158" s="389"/>
      <c r="G158" s="389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</row>
    <row r="159">
      <c r="A159" s="389"/>
      <c r="B159" s="389"/>
      <c r="C159" s="389"/>
      <c r="D159" s="389"/>
      <c r="E159" s="389"/>
      <c r="F159" s="389"/>
      <c r="G159" s="389"/>
      <c r="H159" s="389"/>
      <c r="I159" s="389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</row>
    <row r="160">
      <c r="A160" s="389"/>
      <c r="B160" s="389"/>
      <c r="C160" s="389"/>
      <c r="D160" s="389"/>
      <c r="E160" s="389"/>
      <c r="F160" s="389"/>
      <c r="G160" s="389"/>
      <c r="H160" s="389"/>
      <c r="I160" s="389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</row>
    <row r="161">
      <c r="A161" s="389"/>
      <c r="B161" s="389"/>
      <c r="C161" s="389"/>
      <c r="D161" s="389"/>
      <c r="E161" s="389"/>
      <c r="F161" s="389"/>
      <c r="G161" s="389"/>
      <c r="H161" s="389"/>
      <c r="I161" s="389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</row>
    <row r="162">
      <c r="A162" s="389"/>
      <c r="B162" s="389"/>
      <c r="C162" s="389"/>
      <c r="D162" s="389"/>
      <c r="E162" s="389"/>
      <c r="F162" s="389"/>
      <c r="G162" s="389"/>
      <c r="H162" s="389"/>
      <c r="I162" s="389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</row>
    <row r="163">
      <c r="A163" s="389"/>
      <c r="B163" s="389"/>
      <c r="C163" s="389"/>
      <c r="D163" s="389"/>
      <c r="E163" s="389"/>
      <c r="F163" s="389"/>
      <c r="G163" s="389"/>
      <c r="H163" s="389"/>
      <c r="I163" s="389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</row>
    <row r="164">
      <c r="A164" s="389"/>
      <c r="B164" s="389"/>
      <c r="C164" s="389"/>
      <c r="D164" s="389"/>
      <c r="E164" s="389"/>
      <c r="F164" s="389"/>
      <c r="G164" s="389"/>
      <c r="H164" s="389"/>
      <c r="I164" s="389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</row>
    <row r="165">
      <c r="A165" s="389"/>
      <c r="B165" s="389"/>
      <c r="C165" s="389"/>
      <c r="D165" s="389"/>
      <c r="E165" s="389"/>
      <c r="F165" s="389"/>
      <c r="G165" s="389"/>
      <c r="H165" s="389"/>
      <c r="I165" s="389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</row>
    <row r="166">
      <c r="A166" s="389"/>
      <c r="B166" s="389"/>
      <c r="C166" s="389"/>
      <c r="D166" s="389"/>
      <c r="E166" s="389"/>
      <c r="F166" s="389"/>
      <c r="G166" s="389"/>
      <c r="H166" s="389"/>
      <c r="I166" s="389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</row>
    <row r="167">
      <c r="A167" s="389"/>
      <c r="B167" s="389"/>
      <c r="C167" s="389"/>
      <c r="D167" s="389"/>
      <c r="E167" s="389"/>
      <c r="F167" s="389"/>
      <c r="G167" s="389"/>
      <c r="H167" s="389"/>
      <c r="I167" s="389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</row>
    <row r="168">
      <c r="A168" s="389"/>
      <c r="B168" s="389"/>
      <c r="C168" s="389"/>
      <c r="D168" s="389"/>
      <c r="E168" s="389"/>
      <c r="F168" s="389"/>
      <c r="G168" s="389"/>
      <c r="H168" s="389"/>
      <c r="I168" s="389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</row>
    <row r="169">
      <c r="A169" s="389"/>
      <c r="B169" s="389"/>
      <c r="C169" s="389"/>
      <c r="D169" s="389"/>
      <c r="E169" s="389"/>
      <c r="F169" s="389"/>
      <c r="G169" s="389"/>
      <c r="H169" s="389"/>
      <c r="I169" s="389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</row>
    <row r="170">
      <c r="A170" s="389"/>
      <c r="B170" s="389"/>
      <c r="C170" s="389"/>
      <c r="D170" s="389"/>
      <c r="E170" s="389"/>
      <c r="F170" s="389"/>
      <c r="G170" s="389"/>
      <c r="H170" s="389"/>
      <c r="I170" s="389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</row>
    <row r="171">
      <c r="A171" s="389"/>
      <c r="B171" s="389"/>
      <c r="C171" s="389"/>
      <c r="D171" s="389"/>
      <c r="E171" s="389"/>
      <c r="F171" s="389"/>
      <c r="G171" s="389"/>
      <c r="H171" s="389"/>
      <c r="I171" s="389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</row>
    <row r="172">
      <c r="A172" s="389"/>
      <c r="B172" s="389"/>
      <c r="C172" s="389"/>
      <c r="D172" s="389"/>
      <c r="E172" s="389"/>
      <c r="F172" s="389"/>
      <c r="G172" s="389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</row>
    <row r="173">
      <c r="A173" s="389"/>
      <c r="B173" s="389"/>
      <c r="C173" s="389"/>
      <c r="D173" s="389"/>
      <c r="E173" s="389"/>
      <c r="F173" s="389"/>
      <c r="G173" s="389"/>
      <c r="H173" s="389"/>
      <c r="I173" s="389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</row>
    <row r="174">
      <c r="A174" s="389"/>
      <c r="B174" s="389"/>
      <c r="C174" s="389"/>
      <c r="D174" s="389"/>
      <c r="E174" s="389"/>
      <c r="F174" s="389"/>
      <c r="G174" s="389"/>
      <c r="H174" s="389"/>
      <c r="I174" s="389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</row>
    <row r="175">
      <c r="A175" s="389"/>
      <c r="B175" s="389"/>
      <c r="C175" s="389"/>
      <c r="D175" s="389"/>
      <c r="E175" s="389"/>
      <c r="F175" s="389"/>
      <c r="G175" s="389"/>
      <c r="H175" s="389"/>
      <c r="I175" s="389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</row>
    <row r="176">
      <c r="A176" s="389"/>
      <c r="B176" s="389"/>
      <c r="C176" s="389"/>
      <c r="D176" s="389"/>
      <c r="E176" s="389"/>
      <c r="F176" s="389"/>
      <c r="G176" s="389"/>
      <c r="H176" s="389"/>
      <c r="I176" s="389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</row>
    <row r="177">
      <c r="A177" s="389"/>
      <c r="B177" s="389"/>
      <c r="C177" s="389"/>
      <c r="D177" s="389"/>
      <c r="E177" s="389"/>
      <c r="F177" s="389"/>
      <c r="G177" s="389"/>
      <c r="H177" s="389"/>
      <c r="I177" s="389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</row>
    <row r="178">
      <c r="A178" s="389"/>
      <c r="B178" s="389"/>
      <c r="C178" s="389"/>
      <c r="D178" s="389"/>
      <c r="E178" s="389"/>
      <c r="F178" s="389"/>
      <c r="G178" s="389"/>
      <c r="H178" s="389"/>
      <c r="I178" s="389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</row>
    <row r="179">
      <c r="A179" s="389"/>
      <c r="B179" s="389"/>
      <c r="C179" s="389"/>
      <c r="D179" s="389"/>
      <c r="E179" s="389"/>
      <c r="F179" s="389"/>
      <c r="G179" s="389"/>
      <c r="H179" s="389"/>
      <c r="I179" s="389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</row>
    <row r="180">
      <c r="A180" s="389"/>
      <c r="B180" s="389"/>
      <c r="C180" s="389"/>
      <c r="D180" s="389"/>
      <c r="E180" s="389"/>
      <c r="F180" s="389"/>
      <c r="G180" s="389"/>
      <c r="H180" s="389"/>
      <c r="I180" s="389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</row>
    <row r="181">
      <c r="A181" s="389"/>
      <c r="B181" s="389"/>
      <c r="C181" s="389"/>
      <c r="D181" s="389"/>
      <c r="E181" s="389"/>
      <c r="F181" s="389"/>
      <c r="G181" s="389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</row>
    <row r="182">
      <c r="A182" s="389"/>
      <c r="B182" s="389"/>
      <c r="C182" s="389"/>
      <c r="D182" s="389"/>
      <c r="E182" s="389"/>
      <c r="F182" s="389"/>
      <c r="G182" s="389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</row>
    <row r="183">
      <c r="A183" s="389"/>
      <c r="B183" s="389"/>
      <c r="C183" s="389"/>
      <c r="D183" s="389"/>
      <c r="E183" s="389"/>
      <c r="F183" s="389"/>
      <c r="G183" s="389"/>
      <c r="H183" s="389"/>
      <c r="I183" s="389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</row>
    <row r="184">
      <c r="A184" s="389"/>
      <c r="B184" s="389"/>
      <c r="C184" s="389"/>
      <c r="D184" s="389"/>
      <c r="E184" s="389"/>
      <c r="F184" s="389"/>
      <c r="G184" s="389"/>
      <c r="H184" s="389"/>
      <c r="I184" s="389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</row>
    <row r="185">
      <c r="A185" s="389"/>
      <c r="B185" s="389"/>
      <c r="C185" s="389"/>
      <c r="D185" s="389"/>
      <c r="E185" s="389"/>
      <c r="F185" s="389"/>
      <c r="G185" s="389"/>
      <c r="H185" s="389"/>
      <c r="I185" s="389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</row>
    <row r="186">
      <c r="A186" s="389"/>
      <c r="B186" s="389"/>
      <c r="C186" s="389"/>
      <c r="D186" s="389"/>
      <c r="E186" s="389"/>
      <c r="F186" s="389"/>
      <c r="G186" s="389"/>
      <c r="H186" s="389"/>
      <c r="I186" s="389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</row>
    <row r="187">
      <c r="A187" s="389"/>
      <c r="B187" s="389"/>
      <c r="C187" s="389"/>
      <c r="D187" s="389"/>
      <c r="E187" s="389"/>
      <c r="F187" s="389"/>
      <c r="G187" s="389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</row>
    <row r="188">
      <c r="A188" s="389"/>
      <c r="B188" s="389"/>
      <c r="C188" s="389"/>
      <c r="D188" s="389"/>
      <c r="E188" s="389"/>
      <c r="F188" s="389"/>
      <c r="G188" s="389"/>
      <c r="H188" s="389"/>
      <c r="I188" s="389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</row>
    <row r="189">
      <c r="A189" s="389"/>
      <c r="B189" s="389"/>
      <c r="C189" s="389"/>
      <c r="D189" s="389"/>
      <c r="E189" s="389"/>
      <c r="F189" s="389"/>
      <c r="G189" s="389"/>
      <c r="H189" s="389"/>
      <c r="I189" s="389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</row>
    <row r="190">
      <c r="A190" s="389"/>
      <c r="B190" s="389"/>
      <c r="C190" s="389"/>
      <c r="D190" s="389"/>
      <c r="E190" s="389"/>
      <c r="F190" s="389"/>
      <c r="G190" s="389"/>
      <c r="H190" s="389"/>
      <c r="I190" s="389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</row>
    <row r="191">
      <c r="A191" s="389"/>
      <c r="B191" s="389"/>
      <c r="C191" s="389"/>
      <c r="D191" s="389"/>
      <c r="E191" s="389"/>
      <c r="F191" s="389"/>
      <c r="G191" s="389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</row>
    <row r="192">
      <c r="A192" s="389"/>
      <c r="B192" s="389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</row>
    <row r="193">
      <c r="A193" s="389"/>
      <c r="B193" s="389"/>
      <c r="C193" s="389"/>
      <c r="D193" s="389"/>
      <c r="E193" s="389"/>
      <c r="F193" s="389"/>
      <c r="G193" s="389"/>
      <c r="H193" s="389"/>
      <c r="I193" s="389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</row>
    <row r="194">
      <c r="A194" s="389"/>
      <c r="B194" s="389"/>
      <c r="C194" s="389"/>
      <c r="D194" s="389"/>
      <c r="E194" s="389"/>
      <c r="F194" s="389"/>
      <c r="G194" s="389"/>
      <c r="H194" s="389"/>
      <c r="I194" s="389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</row>
    <row r="195">
      <c r="A195" s="389"/>
      <c r="B195" s="389"/>
      <c r="C195" s="389"/>
      <c r="D195" s="389"/>
      <c r="E195" s="389"/>
      <c r="F195" s="389"/>
      <c r="G195" s="389"/>
      <c r="H195" s="389"/>
      <c r="I195" s="389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</row>
    <row r="196">
      <c r="A196" s="389"/>
      <c r="B196" s="389"/>
      <c r="C196" s="389"/>
      <c r="D196" s="389"/>
      <c r="E196" s="389"/>
      <c r="F196" s="389"/>
      <c r="G196" s="389"/>
      <c r="H196" s="389"/>
      <c r="I196" s="389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</row>
    <row r="197">
      <c r="A197" s="389"/>
      <c r="B197" s="389"/>
      <c r="C197" s="389"/>
      <c r="D197" s="389"/>
      <c r="E197" s="389"/>
      <c r="F197" s="389"/>
      <c r="G197" s="389"/>
      <c r="H197" s="389"/>
      <c r="I197" s="389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</row>
    <row r="198">
      <c r="A198" s="389"/>
      <c r="B198" s="389"/>
      <c r="C198" s="389"/>
      <c r="D198" s="389"/>
      <c r="E198" s="389"/>
      <c r="F198" s="389"/>
      <c r="G198" s="389"/>
      <c r="H198" s="389"/>
      <c r="I198" s="389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</row>
    <row r="199">
      <c r="A199" s="389"/>
      <c r="B199" s="389"/>
      <c r="C199" s="389"/>
      <c r="D199" s="389"/>
      <c r="E199" s="389"/>
      <c r="F199" s="389"/>
      <c r="G199" s="389"/>
      <c r="H199" s="389"/>
      <c r="I199" s="389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</row>
    <row r="200">
      <c r="A200" s="389"/>
      <c r="B200" s="389"/>
      <c r="C200" s="389"/>
      <c r="D200" s="389"/>
      <c r="E200" s="389"/>
      <c r="F200" s="389"/>
      <c r="G200" s="389"/>
      <c r="H200" s="389"/>
      <c r="I200" s="389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</row>
    <row r="201">
      <c r="A201" s="389"/>
      <c r="B201" s="389"/>
      <c r="C201" s="389"/>
      <c r="D201" s="389"/>
      <c r="E201" s="389"/>
      <c r="F201" s="389"/>
      <c r="G201" s="389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</row>
    <row r="202">
      <c r="A202" s="389"/>
      <c r="B202" s="389"/>
      <c r="C202" s="389"/>
      <c r="D202" s="389"/>
      <c r="E202" s="389"/>
      <c r="F202" s="389"/>
      <c r="G202" s="389"/>
      <c r="H202" s="389"/>
      <c r="I202" s="389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</row>
    <row r="203">
      <c r="A203" s="389"/>
      <c r="B203" s="389"/>
      <c r="C203" s="389"/>
      <c r="D203" s="389"/>
      <c r="E203" s="389"/>
      <c r="F203" s="389"/>
      <c r="G203" s="389"/>
      <c r="H203" s="389"/>
      <c r="I203" s="389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</row>
    <row r="204">
      <c r="A204" s="389"/>
      <c r="B204" s="389"/>
      <c r="C204" s="389"/>
      <c r="D204" s="389"/>
      <c r="E204" s="389"/>
      <c r="F204" s="389"/>
      <c r="G204" s="389"/>
      <c r="H204" s="389"/>
      <c r="I204" s="389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</row>
    <row r="205">
      <c r="A205" s="389"/>
      <c r="B205" s="389"/>
      <c r="C205" s="389"/>
      <c r="D205" s="389"/>
      <c r="E205" s="389"/>
      <c r="F205" s="389"/>
      <c r="G205" s="389"/>
      <c r="H205" s="389"/>
      <c r="I205" s="389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</row>
    <row r="206">
      <c r="A206" s="389"/>
      <c r="B206" s="389"/>
      <c r="C206" s="389"/>
      <c r="D206" s="389"/>
      <c r="E206" s="389"/>
      <c r="F206" s="389"/>
      <c r="G206" s="389"/>
      <c r="H206" s="389"/>
      <c r="I206" s="389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</row>
    <row r="207">
      <c r="A207" s="389"/>
      <c r="B207" s="389"/>
      <c r="C207" s="389"/>
      <c r="D207" s="389"/>
      <c r="E207" s="389"/>
      <c r="F207" s="389"/>
      <c r="G207" s="389"/>
      <c r="H207" s="389"/>
      <c r="I207" s="389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</row>
    <row r="208">
      <c r="A208" s="389"/>
      <c r="B208" s="389"/>
      <c r="C208" s="389"/>
      <c r="D208" s="389"/>
      <c r="E208" s="389"/>
      <c r="F208" s="389"/>
      <c r="G208" s="389"/>
      <c r="H208" s="389"/>
      <c r="I208" s="389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</row>
    <row r="209">
      <c r="A209" s="389"/>
      <c r="B209" s="389"/>
      <c r="C209" s="389"/>
      <c r="D209" s="389"/>
      <c r="E209" s="389"/>
      <c r="F209" s="389"/>
      <c r="G209" s="389"/>
      <c r="H209" s="389"/>
      <c r="I209" s="389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</row>
    <row r="210">
      <c r="A210" s="389"/>
      <c r="B210" s="389"/>
      <c r="C210" s="389"/>
      <c r="D210" s="389"/>
      <c r="E210" s="389"/>
      <c r="F210" s="389"/>
      <c r="G210" s="389"/>
      <c r="H210" s="389"/>
      <c r="I210" s="389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</row>
    <row r="211">
      <c r="A211" s="389"/>
      <c r="B211" s="389"/>
      <c r="C211" s="389"/>
      <c r="D211" s="389"/>
      <c r="E211" s="389"/>
      <c r="F211" s="389"/>
      <c r="G211" s="389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</row>
    <row r="212">
      <c r="A212" s="389"/>
      <c r="B212" s="389"/>
      <c r="C212" s="389"/>
      <c r="D212" s="389"/>
      <c r="E212" s="389"/>
      <c r="F212" s="389"/>
      <c r="G212" s="389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</row>
    <row r="213">
      <c r="A213" s="389"/>
      <c r="B213" s="389"/>
      <c r="C213" s="389"/>
      <c r="D213" s="389"/>
      <c r="E213" s="389"/>
      <c r="F213" s="389"/>
      <c r="G213" s="389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</row>
    <row r="214">
      <c r="A214" s="389"/>
      <c r="B214" s="389"/>
      <c r="C214" s="389"/>
      <c r="D214" s="389"/>
      <c r="E214" s="389"/>
      <c r="F214" s="389"/>
      <c r="G214" s="389"/>
      <c r="H214" s="389"/>
      <c r="I214" s="389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</row>
    <row r="215">
      <c r="A215" s="389"/>
      <c r="B215" s="389"/>
      <c r="C215" s="389"/>
      <c r="D215" s="389"/>
      <c r="E215" s="389"/>
      <c r="F215" s="389"/>
      <c r="G215" s="389"/>
      <c r="H215" s="389"/>
      <c r="I215" s="389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</row>
    <row r="216">
      <c r="A216" s="389"/>
      <c r="B216" s="389"/>
      <c r="C216" s="389"/>
      <c r="D216" s="389"/>
      <c r="E216" s="389"/>
      <c r="F216" s="389"/>
      <c r="G216" s="389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</row>
    <row r="217">
      <c r="A217" s="389"/>
      <c r="B217" s="389"/>
      <c r="C217" s="389"/>
      <c r="D217" s="389"/>
      <c r="E217" s="389"/>
      <c r="F217" s="389"/>
      <c r="G217" s="389"/>
      <c r="H217" s="389"/>
      <c r="I217" s="389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</row>
    <row r="218">
      <c r="A218" s="389"/>
      <c r="B218" s="389"/>
      <c r="C218" s="389"/>
      <c r="D218" s="389"/>
      <c r="E218" s="389"/>
      <c r="F218" s="389"/>
      <c r="G218" s="389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</row>
    <row r="219">
      <c r="A219" s="389"/>
      <c r="B219" s="389"/>
      <c r="C219" s="389"/>
      <c r="D219" s="389"/>
      <c r="E219" s="389"/>
      <c r="F219" s="389"/>
      <c r="G219" s="389"/>
      <c r="H219" s="389"/>
      <c r="I219" s="389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</row>
    <row r="220">
      <c r="A220" s="389"/>
      <c r="B220" s="389"/>
      <c r="C220" s="389"/>
      <c r="D220" s="389"/>
      <c r="E220" s="389"/>
      <c r="F220" s="389"/>
      <c r="G220" s="389"/>
      <c r="H220" s="389"/>
      <c r="I220" s="389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</row>
    <row r="221">
      <c r="A221" s="389"/>
      <c r="B221" s="389"/>
      <c r="C221" s="389"/>
      <c r="D221" s="389"/>
      <c r="E221" s="389"/>
      <c r="F221" s="389"/>
      <c r="G221" s="389"/>
      <c r="H221" s="389"/>
      <c r="I221" s="389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</row>
    <row r="222">
      <c r="A222" s="389"/>
      <c r="B222" s="389"/>
      <c r="C222" s="389"/>
      <c r="D222" s="389"/>
      <c r="E222" s="389"/>
      <c r="F222" s="389"/>
      <c r="G222" s="389"/>
      <c r="H222" s="389"/>
      <c r="I222" s="389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</row>
    <row r="223">
      <c r="A223" s="389"/>
      <c r="B223" s="389"/>
      <c r="C223" s="389"/>
      <c r="D223" s="389"/>
      <c r="E223" s="389"/>
      <c r="F223" s="389"/>
      <c r="G223" s="389"/>
      <c r="H223" s="389"/>
      <c r="I223" s="389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</row>
    <row r="224">
      <c r="A224" s="389"/>
      <c r="B224" s="389"/>
      <c r="C224" s="389"/>
      <c r="D224" s="389"/>
      <c r="E224" s="389"/>
      <c r="F224" s="389"/>
      <c r="G224" s="389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</row>
    <row r="225">
      <c r="A225" s="389"/>
      <c r="B225" s="389"/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</row>
    <row r="226">
      <c r="A226" s="389"/>
      <c r="B226" s="389"/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</row>
    <row r="227">
      <c r="A227" s="389"/>
      <c r="B227" s="389"/>
      <c r="C227" s="389"/>
      <c r="D227" s="389"/>
      <c r="E227" s="389"/>
      <c r="F227" s="389"/>
      <c r="G227" s="389"/>
      <c r="H227" s="389"/>
      <c r="I227" s="389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</row>
    <row r="228">
      <c r="A228" s="389"/>
      <c r="B228" s="389"/>
      <c r="C228" s="389"/>
      <c r="D228" s="389"/>
      <c r="E228" s="389"/>
      <c r="F228" s="389"/>
      <c r="G228" s="389"/>
      <c r="H228" s="389"/>
      <c r="I228" s="389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</row>
    <row r="229">
      <c r="A229" s="389"/>
      <c r="B229" s="389"/>
      <c r="C229" s="389"/>
      <c r="D229" s="389"/>
      <c r="E229" s="389"/>
      <c r="F229" s="389"/>
      <c r="G229" s="389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</row>
    <row r="230">
      <c r="A230" s="389"/>
      <c r="B230" s="389"/>
      <c r="C230" s="389"/>
      <c r="D230" s="389"/>
      <c r="E230" s="389"/>
      <c r="F230" s="389"/>
      <c r="G230" s="389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</row>
    <row r="231">
      <c r="A231" s="389"/>
      <c r="B231" s="389"/>
      <c r="C231" s="389"/>
      <c r="D231" s="389"/>
      <c r="E231" s="389"/>
      <c r="F231" s="389"/>
      <c r="G231" s="389"/>
      <c r="H231" s="389"/>
      <c r="I231" s="389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</row>
    <row r="232">
      <c r="A232" s="389"/>
      <c r="B232" s="389"/>
      <c r="C232" s="389"/>
      <c r="D232" s="389"/>
      <c r="E232" s="389"/>
      <c r="F232" s="389"/>
      <c r="G232" s="389"/>
      <c r="H232" s="389"/>
      <c r="I232" s="389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</row>
    <row r="233">
      <c r="A233" s="389"/>
      <c r="B233" s="389"/>
      <c r="C233" s="389"/>
      <c r="D233" s="389"/>
      <c r="E233" s="389"/>
      <c r="F233" s="389"/>
      <c r="G233" s="389"/>
      <c r="H233" s="389"/>
      <c r="I233" s="389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</row>
    <row r="234">
      <c r="A234" s="389"/>
      <c r="B234" s="389"/>
      <c r="C234" s="389"/>
      <c r="D234" s="389"/>
      <c r="E234" s="389"/>
      <c r="F234" s="389"/>
      <c r="G234" s="389"/>
      <c r="H234" s="389"/>
      <c r="I234" s="389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</row>
    <row r="235">
      <c r="A235" s="389"/>
      <c r="B235" s="389"/>
      <c r="C235" s="389"/>
      <c r="D235" s="389"/>
      <c r="E235" s="389"/>
      <c r="F235" s="389"/>
      <c r="G235" s="389"/>
      <c r="H235" s="389"/>
      <c r="I235" s="389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</row>
    <row r="236">
      <c r="A236" s="389"/>
      <c r="B236" s="389"/>
      <c r="C236" s="389"/>
      <c r="D236" s="389"/>
      <c r="E236" s="389"/>
      <c r="F236" s="389"/>
      <c r="G236" s="389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</row>
    <row r="237">
      <c r="A237" s="389"/>
      <c r="B237" s="389"/>
      <c r="C237" s="389"/>
      <c r="D237" s="389"/>
      <c r="E237" s="389"/>
      <c r="F237" s="389"/>
      <c r="G237" s="389"/>
      <c r="H237" s="389"/>
      <c r="I237" s="389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</row>
    <row r="238">
      <c r="A238" s="389"/>
      <c r="B238" s="389"/>
      <c r="C238" s="389"/>
      <c r="D238" s="389"/>
      <c r="E238" s="389"/>
      <c r="F238" s="389"/>
      <c r="G238" s="389"/>
      <c r="H238" s="389"/>
      <c r="I238" s="389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</row>
    <row r="239">
      <c r="A239" s="389"/>
      <c r="B239" s="389"/>
      <c r="C239" s="389"/>
      <c r="D239" s="389"/>
      <c r="E239" s="389"/>
      <c r="F239" s="389"/>
      <c r="G239" s="389"/>
      <c r="H239" s="389"/>
      <c r="I239" s="389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</row>
    <row r="240">
      <c r="A240" s="389"/>
      <c r="B240" s="389"/>
      <c r="C240" s="389"/>
      <c r="D240" s="389"/>
      <c r="E240" s="389"/>
      <c r="F240" s="389"/>
      <c r="G240" s="389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</row>
    <row r="241">
      <c r="A241" s="389"/>
      <c r="B241" s="389"/>
      <c r="C241" s="389"/>
      <c r="D241" s="389"/>
      <c r="E241" s="389"/>
      <c r="F241" s="389"/>
      <c r="G241" s="389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</row>
    <row r="242">
      <c r="A242" s="389"/>
      <c r="B242" s="389"/>
      <c r="C242" s="389"/>
      <c r="D242" s="389"/>
      <c r="E242" s="389"/>
      <c r="F242" s="389"/>
      <c r="G242" s="389"/>
      <c r="H242" s="389"/>
      <c r="I242" s="389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</row>
    <row r="243">
      <c r="A243" s="389"/>
      <c r="B243" s="389"/>
      <c r="C243" s="389"/>
      <c r="D243" s="389"/>
      <c r="E243" s="389"/>
      <c r="F243" s="389"/>
      <c r="G243" s="389"/>
      <c r="H243" s="389"/>
      <c r="I243" s="389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</row>
    <row r="244">
      <c r="A244" s="389"/>
      <c r="B244" s="389"/>
      <c r="C244" s="389"/>
      <c r="D244" s="389"/>
      <c r="E244" s="389"/>
      <c r="F244" s="389"/>
      <c r="G244" s="389"/>
      <c r="H244" s="389"/>
      <c r="I244" s="389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</row>
    <row r="245">
      <c r="A245" s="389"/>
      <c r="B245" s="389"/>
      <c r="C245" s="389"/>
      <c r="D245" s="389"/>
      <c r="E245" s="389"/>
      <c r="F245" s="389"/>
      <c r="G245" s="389"/>
      <c r="H245" s="389"/>
      <c r="I245" s="389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</row>
    <row r="246">
      <c r="A246" s="389"/>
      <c r="B246" s="389"/>
      <c r="C246" s="389"/>
      <c r="D246" s="389"/>
      <c r="E246" s="389"/>
      <c r="F246" s="389"/>
      <c r="G246" s="389"/>
      <c r="H246" s="389"/>
      <c r="I246" s="389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</row>
    <row r="247">
      <c r="A247" s="389"/>
      <c r="B247" s="389"/>
      <c r="C247" s="389"/>
      <c r="D247" s="389"/>
      <c r="E247" s="389"/>
      <c r="F247" s="389"/>
      <c r="G247" s="389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</row>
    <row r="248">
      <c r="A248" s="389"/>
      <c r="B248" s="389"/>
      <c r="C248" s="389"/>
      <c r="D248" s="389"/>
      <c r="E248" s="389"/>
      <c r="F248" s="389"/>
      <c r="G248" s="389"/>
      <c r="H248" s="389"/>
      <c r="I248" s="389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</row>
    <row r="249">
      <c r="A249" s="389"/>
      <c r="B249" s="389"/>
      <c r="C249" s="389"/>
      <c r="D249" s="389"/>
      <c r="E249" s="389"/>
      <c r="F249" s="389"/>
      <c r="G249" s="389"/>
      <c r="H249" s="389"/>
      <c r="I249" s="389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</row>
    <row r="250">
      <c r="A250" s="389"/>
      <c r="B250" s="389"/>
      <c r="C250" s="389"/>
      <c r="D250" s="389"/>
      <c r="E250" s="389"/>
      <c r="F250" s="389"/>
      <c r="G250" s="389"/>
      <c r="H250" s="389"/>
      <c r="I250" s="389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</row>
    <row r="251">
      <c r="A251" s="389"/>
      <c r="B251" s="389"/>
      <c r="C251" s="389"/>
      <c r="D251" s="389"/>
      <c r="E251" s="389"/>
      <c r="F251" s="389"/>
      <c r="G251" s="389"/>
      <c r="H251" s="389"/>
      <c r="I251" s="389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</row>
    <row r="252">
      <c r="A252" s="389"/>
      <c r="B252" s="389"/>
      <c r="C252" s="389"/>
      <c r="D252" s="389"/>
      <c r="E252" s="389"/>
      <c r="F252" s="389"/>
      <c r="G252" s="389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</row>
    <row r="253">
      <c r="A253" s="389"/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</row>
    <row r="254">
      <c r="A254" s="389"/>
      <c r="B254" s="389"/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</row>
    <row r="255">
      <c r="A255" s="389"/>
      <c r="B255" s="389"/>
      <c r="C255" s="389"/>
      <c r="D255" s="389"/>
      <c r="E255" s="389"/>
      <c r="F255" s="389"/>
      <c r="G255" s="389"/>
      <c r="H255" s="389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</row>
    <row r="256">
      <c r="A256" s="389"/>
      <c r="B256" s="389"/>
      <c r="C256" s="389"/>
      <c r="D256" s="389"/>
      <c r="E256" s="389"/>
      <c r="F256" s="389"/>
      <c r="G256" s="389"/>
      <c r="H256" s="389"/>
      <c r="I256" s="389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</row>
    <row r="257">
      <c r="A257" s="389"/>
      <c r="B257" s="389"/>
      <c r="C257" s="389"/>
      <c r="D257" s="389"/>
      <c r="E257" s="389"/>
      <c r="F257" s="389"/>
      <c r="G257" s="389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</row>
    <row r="258">
      <c r="A258" s="389"/>
      <c r="B258" s="389"/>
      <c r="C258" s="389"/>
      <c r="D258" s="389"/>
      <c r="E258" s="389"/>
      <c r="F258" s="389"/>
      <c r="G258" s="389"/>
      <c r="H258" s="389"/>
      <c r="I258" s="389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</row>
    <row r="259">
      <c r="A259" s="389"/>
      <c r="B259" s="389"/>
      <c r="C259" s="389"/>
      <c r="D259" s="389"/>
      <c r="E259" s="389"/>
      <c r="F259" s="389"/>
      <c r="G259" s="389"/>
      <c r="H259" s="389"/>
      <c r="I259" s="389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</row>
    <row r="260">
      <c r="A260" s="389"/>
      <c r="B260" s="389"/>
      <c r="C260" s="389"/>
      <c r="D260" s="389"/>
      <c r="E260" s="389"/>
      <c r="F260" s="389"/>
      <c r="G260" s="389"/>
      <c r="H260" s="389"/>
      <c r="I260" s="389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</row>
    <row r="261">
      <c r="A261" s="389"/>
      <c r="B261" s="389"/>
      <c r="C261" s="389"/>
      <c r="D261" s="389"/>
      <c r="E261" s="389"/>
      <c r="F261" s="389"/>
      <c r="G261" s="389"/>
      <c r="H261" s="389"/>
      <c r="I261" s="389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</row>
    <row r="262">
      <c r="A262" s="389"/>
      <c r="B262" s="389"/>
      <c r="C262" s="389"/>
      <c r="D262" s="389"/>
      <c r="E262" s="389"/>
      <c r="F262" s="389"/>
      <c r="G262" s="389"/>
      <c r="H262" s="389"/>
      <c r="I262" s="389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</row>
    <row r="263">
      <c r="A263" s="389"/>
      <c r="B263" s="389"/>
      <c r="C263" s="389"/>
      <c r="D263" s="389"/>
      <c r="E263" s="389"/>
      <c r="F263" s="389"/>
      <c r="G263" s="389"/>
      <c r="H263" s="389"/>
      <c r="I263" s="389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</row>
    <row r="264">
      <c r="A264" s="389"/>
      <c r="B264" s="389"/>
      <c r="C264" s="389"/>
      <c r="D264" s="389"/>
      <c r="E264" s="389"/>
      <c r="F264" s="389"/>
      <c r="G264" s="389"/>
      <c r="H264" s="389"/>
      <c r="I264" s="389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</row>
    <row r="265">
      <c r="A265" s="389"/>
      <c r="B265" s="389"/>
      <c r="C265" s="389"/>
      <c r="D265" s="389"/>
      <c r="E265" s="389"/>
      <c r="F265" s="389"/>
      <c r="G265" s="389"/>
      <c r="H265" s="389"/>
      <c r="I265" s="389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</row>
    <row r="266">
      <c r="A266" s="389"/>
      <c r="B266" s="389"/>
      <c r="C266" s="389"/>
      <c r="D266" s="389"/>
      <c r="E266" s="389"/>
      <c r="F266" s="389"/>
      <c r="G266" s="389"/>
      <c r="H266" s="389"/>
      <c r="I266" s="389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</row>
    <row r="267">
      <c r="A267" s="389"/>
      <c r="B267" s="389"/>
      <c r="C267" s="389"/>
      <c r="D267" s="389"/>
      <c r="E267" s="389"/>
      <c r="F267" s="389"/>
      <c r="G267" s="389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</row>
    <row r="268">
      <c r="A268" s="389"/>
      <c r="B268" s="389"/>
      <c r="C268" s="389"/>
      <c r="D268" s="389"/>
      <c r="E268" s="389"/>
      <c r="F268" s="389"/>
      <c r="G268" s="389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</row>
    <row r="269">
      <c r="A269" s="389"/>
      <c r="B269" s="389"/>
      <c r="C269" s="389"/>
      <c r="D269" s="389"/>
      <c r="E269" s="389"/>
      <c r="F269" s="389"/>
      <c r="G269" s="389"/>
      <c r="H269" s="389"/>
      <c r="I269" s="389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</row>
    <row r="270">
      <c r="A270" s="389"/>
      <c r="B270" s="389"/>
      <c r="C270" s="389"/>
      <c r="D270" s="389"/>
      <c r="E270" s="389"/>
      <c r="F270" s="389"/>
      <c r="G270" s="389"/>
      <c r="H270" s="389"/>
      <c r="I270" s="389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</row>
    <row r="271">
      <c r="A271" s="389"/>
      <c r="B271" s="389"/>
      <c r="C271" s="389"/>
      <c r="D271" s="389"/>
      <c r="E271" s="389"/>
      <c r="F271" s="389"/>
      <c r="G271" s="389"/>
      <c r="H271" s="389"/>
      <c r="I271" s="389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</row>
    <row r="272">
      <c r="A272" s="389"/>
      <c r="B272" s="389"/>
      <c r="C272" s="389"/>
      <c r="D272" s="389"/>
      <c r="E272" s="389"/>
      <c r="F272" s="389"/>
      <c r="G272" s="389"/>
      <c r="H272" s="389"/>
      <c r="I272" s="389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</row>
    <row r="273">
      <c r="A273" s="389"/>
      <c r="B273" s="389"/>
      <c r="C273" s="389"/>
      <c r="D273" s="389"/>
      <c r="E273" s="389"/>
      <c r="F273" s="389"/>
      <c r="G273" s="389"/>
      <c r="H273" s="389"/>
      <c r="I273" s="389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</row>
    <row r="274">
      <c r="A274" s="389"/>
      <c r="B274" s="389"/>
      <c r="C274" s="389"/>
      <c r="D274" s="389"/>
      <c r="E274" s="389"/>
      <c r="F274" s="389"/>
      <c r="G274" s="389"/>
      <c r="H274" s="389"/>
      <c r="I274" s="389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</row>
    <row r="275">
      <c r="A275" s="389"/>
      <c r="B275" s="389"/>
      <c r="C275" s="389"/>
      <c r="D275" s="389"/>
      <c r="E275" s="389"/>
      <c r="F275" s="389"/>
      <c r="G275" s="389"/>
      <c r="H275" s="389"/>
      <c r="I275" s="389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</row>
    <row r="276">
      <c r="A276" s="389"/>
      <c r="B276" s="389"/>
      <c r="C276" s="389"/>
      <c r="D276" s="389"/>
      <c r="E276" s="389"/>
      <c r="F276" s="389"/>
      <c r="G276" s="389"/>
      <c r="H276" s="389"/>
      <c r="I276" s="389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</row>
    <row r="277">
      <c r="A277" s="389"/>
      <c r="B277" s="389"/>
      <c r="C277" s="389"/>
      <c r="D277" s="389"/>
      <c r="E277" s="389"/>
      <c r="F277" s="389"/>
      <c r="G277" s="389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</row>
    <row r="278">
      <c r="A278" s="389"/>
      <c r="B278" s="389"/>
      <c r="C278" s="389"/>
      <c r="D278" s="389"/>
      <c r="E278" s="389"/>
      <c r="F278" s="389"/>
      <c r="G278" s="389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</row>
    <row r="279">
      <c r="A279" s="389"/>
      <c r="B279" s="389"/>
      <c r="C279" s="389"/>
      <c r="D279" s="389"/>
      <c r="E279" s="389"/>
      <c r="F279" s="389"/>
      <c r="G279" s="389"/>
      <c r="H279" s="389"/>
      <c r="I279" s="389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</row>
    <row r="280">
      <c r="A280" s="389"/>
      <c r="B280" s="389"/>
      <c r="C280" s="389"/>
      <c r="D280" s="389"/>
      <c r="E280" s="389"/>
      <c r="F280" s="389"/>
      <c r="G280" s="389"/>
      <c r="H280" s="389"/>
      <c r="I280" s="389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</row>
    <row r="281">
      <c r="A281" s="389"/>
      <c r="B281" s="389"/>
      <c r="C281" s="389"/>
      <c r="D281" s="389"/>
      <c r="E281" s="389"/>
      <c r="F281" s="389"/>
      <c r="G281" s="389"/>
      <c r="H281" s="389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</row>
    <row r="282">
      <c r="A282" s="389"/>
      <c r="B282" s="389"/>
      <c r="C282" s="389"/>
      <c r="D282" s="389"/>
      <c r="E282" s="389"/>
      <c r="F282" s="389"/>
      <c r="G282" s="389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</row>
    <row r="283">
      <c r="A283" s="389"/>
      <c r="B283" s="389"/>
      <c r="C283" s="389"/>
      <c r="D283" s="389"/>
      <c r="E283" s="389"/>
      <c r="F283" s="389"/>
      <c r="G283" s="389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</row>
    <row r="284">
      <c r="A284" s="389"/>
      <c r="B284" s="389"/>
      <c r="C284" s="389"/>
      <c r="D284" s="389"/>
      <c r="E284" s="389"/>
      <c r="F284" s="389"/>
      <c r="G284" s="389"/>
      <c r="H284" s="389"/>
      <c r="I284" s="389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</row>
    <row r="285">
      <c r="A285" s="389"/>
      <c r="B285" s="389"/>
      <c r="C285" s="389"/>
      <c r="D285" s="389"/>
      <c r="E285" s="389"/>
      <c r="F285" s="389"/>
      <c r="G285" s="389"/>
      <c r="H285" s="389"/>
      <c r="I285" s="389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</row>
    <row r="286">
      <c r="A286" s="389"/>
      <c r="B286" s="389"/>
      <c r="C286" s="389"/>
      <c r="D286" s="389"/>
      <c r="E286" s="389"/>
      <c r="F286" s="389"/>
      <c r="G286" s="389"/>
      <c r="H286" s="389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</row>
    <row r="287">
      <c r="A287" s="389"/>
      <c r="B287" s="389"/>
      <c r="C287" s="389"/>
      <c r="D287" s="389"/>
      <c r="E287" s="389"/>
      <c r="F287" s="389"/>
      <c r="G287" s="389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</row>
    <row r="288">
      <c r="A288" s="389"/>
      <c r="B288" s="389"/>
      <c r="C288" s="389"/>
      <c r="D288" s="389"/>
      <c r="E288" s="389"/>
      <c r="F288" s="389"/>
      <c r="G288" s="389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</row>
    <row r="289">
      <c r="A289" s="389"/>
      <c r="B289" s="389"/>
      <c r="C289" s="389"/>
      <c r="D289" s="389"/>
      <c r="E289" s="389"/>
      <c r="F289" s="389"/>
      <c r="G289" s="389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</row>
    <row r="290">
      <c r="A290" s="389"/>
      <c r="B290" s="389"/>
      <c r="C290" s="389"/>
      <c r="D290" s="389"/>
      <c r="E290" s="389"/>
      <c r="F290" s="389"/>
      <c r="G290" s="389"/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</row>
    <row r="291">
      <c r="A291" s="389"/>
      <c r="B291" s="389"/>
      <c r="C291" s="389"/>
      <c r="D291" s="389"/>
      <c r="E291" s="389"/>
      <c r="F291" s="389"/>
      <c r="G291" s="389"/>
      <c r="H291" s="389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</row>
    <row r="292">
      <c r="A292" s="389"/>
      <c r="B292" s="389"/>
      <c r="C292" s="389"/>
      <c r="D292" s="389"/>
      <c r="E292" s="389"/>
      <c r="F292" s="389"/>
      <c r="G292" s="389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</row>
    <row r="293">
      <c r="A293" s="389"/>
      <c r="B293" s="389"/>
      <c r="C293" s="389"/>
      <c r="D293" s="389"/>
      <c r="E293" s="389"/>
      <c r="F293" s="389"/>
      <c r="G293" s="389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</row>
    <row r="294">
      <c r="A294" s="389"/>
      <c r="B294" s="389"/>
      <c r="C294" s="389"/>
      <c r="D294" s="389"/>
      <c r="E294" s="389"/>
      <c r="F294" s="389"/>
      <c r="G294" s="389"/>
      <c r="H294" s="389"/>
      <c r="I294" s="389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</row>
    <row r="295">
      <c r="A295" s="389"/>
      <c r="B295" s="389"/>
      <c r="C295" s="389"/>
      <c r="D295" s="389"/>
      <c r="E295" s="389"/>
      <c r="F295" s="389"/>
      <c r="G295" s="389"/>
      <c r="H295" s="389"/>
      <c r="I295" s="389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</row>
    <row r="296">
      <c r="A296" s="389"/>
      <c r="B296" s="389"/>
      <c r="C296" s="389"/>
      <c r="D296" s="389"/>
      <c r="E296" s="389"/>
      <c r="F296" s="389"/>
      <c r="G296" s="389"/>
      <c r="H296" s="389"/>
      <c r="I296" s="389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</row>
    <row r="297">
      <c r="A297" s="389"/>
      <c r="B297" s="389"/>
      <c r="C297" s="389"/>
      <c r="D297" s="389"/>
      <c r="E297" s="389"/>
      <c r="F297" s="389"/>
      <c r="G297" s="389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</row>
    <row r="298">
      <c r="A298" s="389"/>
      <c r="B298" s="389"/>
      <c r="C298" s="389"/>
      <c r="D298" s="389"/>
      <c r="E298" s="389"/>
      <c r="F298" s="389"/>
      <c r="G298" s="389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</row>
    <row r="299">
      <c r="A299" s="389"/>
      <c r="B299" s="389"/>
      <c r="C299" s="389"/>
      <c r="D299" s="389"/>
      <c r="E299" s="389"/>
      <c r="F299" s="389"/>
      <c r="G299" s="389"/>
      <c r="H299" s="389"/>
      <c r="I299" s="389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</row>
    <row r="300">
      <c r="A300" s="389"/>
      <c r="B300" s="389"/>
      <c r="C300" s="389"/>
      <c r="D300" s="389"/>
      <c r="E300" s="389"/>
      <c r="F300" s="389"/>
      <c r="G300" s="389"/>
      <c r="H300" s="389"/>
      <c r="I300" s="389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</row>
    <row r="301">
      <c r="A301" s="389"/>
      <c r="B301" s="389"/>
      <c r="C301" s="389"/>
      <c r="D301" s="389"/>
      <c r="E301" s="389"/>
      <c r="F301" s="389"/>
      <c r="G301" s="389"/>
      <c r="H301" s="389"/>
      <c r="I301" s="389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</row>
    <row r="302">
      <c r="A302" s="389"/>
      <c r="B302" s="389"/>
      <c r="C302" s="389"/>
      <c r="D302" s="389"/>
      <c r="E302" s="389"/>
      <c r="F302" s="389"/>
      <c r="G302" s="389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</row>
    <row r="303">
      <c r="A303" s="389"/>
      <c r="B303" s="389"/>
      <c r="C303" s="389"/>
      <c r="D303" s="389"/>
      <c r="E303" s="389"/>
      <c r="F303" s="389"/>
      <c r="G303" s="389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</row>
    <row r="304">
      <c r="A304" s="389"/>
      <c r="B304" s="389"/>
      <c r="C304" s="389"/>
      <c r="D304" s="389"/>
      <c r="E304" s="389"/>
      <c r="F304" s="389"/>
      <c r="G304" s="389"/>
      <c r="H304" s="389"/>
      <c r="I304" s="389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</row>
    <row r="305">
      <c r="A305" s="389"/>
      <c r="B305" s="389"/>
      <c r="C305" s="389"/>
      <c r="D305" s="389"/>
      <c r="E305" s="389"/>
      <c r="F305" s="389"/>
      <c r="G305" s="389"/>
      <c r="H305" s="389"/>
      <c r="I305" s="389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</row>
    <row r="306">
      <c r="A306" s="389"/>
      <c r="B306" s="389"/>
      <c r="C306" s="389"/>
      <c r="D306" s="389"/>
      <c r="E306" s="389"/>
      <c r="F306" s="389"/>
      <c r="G306" s="389"/>
      <c r="H306" s="389"/>
      <c r="I306" s="389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</row>
    <row r="307">
      <c r="A307" s="389"/>
      <c r="B307" s="389"/>
      <c r="C307" s="389"/>
      <c r="D307" s="389"/>
      <c r="E307" s="389"/>
      <c r="F307" s="389"/>
      <c r="G307" s="389"/>
      <c r="H307" s="389"/>
      <c r="I307" s="389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</row>
    <row r="308">
      <c r="A308" s="389"/>
      <c r="B308" s="389"/>
      <c r="C308" s="389"/>
      <c r="D308" s="389"/>
      <c r="E308" s="389"/>
      <c r="F308" s="389"/>
      <c r="G308" s="389"/>
      <c r="H308" s="389"/>
      <c r="I308" s="389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</row>
    <row r="309">
      <c r="A309" s="389"/>
      <c r="B309" s="389"/>
      <c r="C309" s="389"/>
      <c r="D309" s="389"/>
      <c r="E309" s="389"/>
      <c r="F309" s="389"/>
      <c r="G309" s="389"/>
      <c r="H309" s="389"/>
      <c r="I309" s="389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</row>
    <row r="310">
      <c r="A310" s="389"/>
      <c r="B310" s="389"/>
      <c r="C310" s="389"/>
      <c r="D310" s="389"/>
      <c r="E310" s="389"/>
      <c r="F310" s="389"/>
      <c r="G310" s="389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</row>
    <row r="311">
      <c r="A311" s="389"/>
      <c r="B311" s="389"/>
      <c r="C311" s="389"/>
      <c r="D311" s="389"/>
      <c r="E311" s="389"/>
      <c r="F311" s="389"/>
      <c r="G311" s="389"/>
      <c r="H311" s="389"/>
      <c r="I311" s="389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</row>
    <row r="312">
      <c r="A312" s="389"/>
      <c r="B312" s="389"/>
      <c r="C312" s="389"/>
      <c r="D312" s="389"/>
      <c r="E312" s="389"/>
      <c r="F312" s="389"/>
      <c r="G312" s="389"/>
      <c r="H312" s="389"/>
      <c r="I312" s="389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</row>
    <row r="313">
      <c r="A313" s="389"/>
      <c r="B313" s="389"/>
      <c r="C313" s="389"/>
      <c r="D313" s="389"/>
      <c r="E313" s="389"/>
      <c r="F313" s="389"/>
      <c r="G313" s="389"/>
      <c r="H313" s="389"/>
      <c r="I313" s="389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</row>
    <row r="314">
      <c r="A314" s="389"/>
      <c r="B314" s="389"/>
      <c r="C314" s="389"/>
      <c r="D314" s="389"/>
      <c r="E314" s="389"/>
      <c r="F314" s="389"/>
      <c r="G314" s="389"/>
      <c r="H314" s="389"/>
      <c r="I314" s="389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</row>
    <row r="315">
      <c r="A315" s="389"/>
      <c r="B315" s="389"/>
      <c r="C315" s="389"/>
      <c r="D315" s="389"/>
      <c r="E315" s="389"/>
      <c r="F315" s="389"/>
      <c r="G315" s="389"/>
      <c r="H315" s="389"/>
      <c r="I315" s="389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</row>
    <row r="316">
      <c r="A316" s="389"/>
      <c r="B316" s="389"/>
      <c r="C316" s="389"/>
      <c r="D316" s="389"/>
      <c r="E316" s="389"/>
      <c r="F316" s="389"/>
      <c r="G316" s="389"/>
      <c r="H316" s="389"/>
      <c r="I316" s="389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</row>
    <row r="317">
      <c r="A317" s="389"/>
      <c r="B317" s="389"/>
      <c r="C317" s="389"/>
      <c r="D317" s="389"/>
      <c r="E317" s="389"/>
      <c r="F317" s="389"/>
      <c r="G317" s="389"/>
      <c r="H317" s="389"/>
      <c r="I317" s="389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</row>
    <row r="318">
      <c r="A318" s="389"/>
      <c r="B318" s="389"/>
      <c r="C318" s="389"/>
      <c r="D318" s="389"/>
      <c r="E318" s="389"/>
      <c r="F318" s="389"/>
      <c r="G318" s="389"/>
      <c r="H318" s="389"/>
      <c r="I318" s="389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</row>
    <row r="319">
      <c r="A319" s="389"/>
      <c r="B319" s="389"/>
      <c r="C319" s="389"/>
      <c r="D319" s="389"/>
      <c r="E319" s="389"/>
      <c r="F319" s="389"/>
      <c r="G319" s="389"/>
      <c r="H319" s="389"/>
      <c r="I319" s="389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</row>
    <row r="320">
      <c r="A320" s="389"/>
      <c r="B320" s="389"/>
      <c r="C320" s="389"/>
      <c r="D320" s="389"/>
      <c r="E320" s="389"/>
      <c r="F320" s="389"/>
      <c r="G320" s="389"/>
      <c r="H320" s="389"/>
      <c r="I320" s="389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</row>
    <row r="321">
      <c r="A321" s="389"/>
      <c r="B321" s="389"/>
      <c r="C321" s="389"/>
      <c r="D321" s="389"/>
      <c r="E321" s="389"/>
      <c r="F321" s="389"/>
      <c r="G321" s="389"/>
      <c r="H321" s="389"/>
      <c r="I321" s="389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</row>
    <row r="322">
      <c r="A322" s="389"/>
      <c r="B322" s="389"/>
      <c r="C322" s="389"/>
      <c r="D322" s="389"/>
      <c r="E322" s="389"/>
      <c r="F322" s="389"/>
      <c r="G322" s="389"/>
      <c r="H322" s="389"/>
      <c r="I322" s="389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</row>
    <row r="323">
      <c r="A323" s="389"/>
      <c r="B323" s="389"/>
      <c r="C323" s="389"/>
      <c r="D323" s="389"/>
      <c r="E323" s="389"/>
      <c r="F323" s="389"/>
      <c r="G323" s="389"/>
      <c r="H323" s="389"/>
      <c r="I323" s="389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</row>
    <row r="324">
      <c r="A324" s="389"/>
      <c r="B324" s="389"/>
      <c r="C324" s="389"/>
      <c r="D324" s="389"/>
      <c r="E324" s="389"/>
      <c r="F324" s="389"/>
      <c r="G324" s="389"/>
      <c r="H324" s="389"/>
      <c r="I324" s="389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</row>
    <row r="325">
      <c r="A325" s="389"/>
      <c r="B325" s="389"/>
      <c r="C325" s="389"/>
      <c r="D325" s="389"/>
      <c r="E325" s="389"/>
      <c r="F325" s="389"/>
      <c r="G325" s="389"/>
      <c r="H325" s="389"/>
      <c r="I325" s="389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</row>
    <row r="326">
      <c r="A326" s="389"/>
      <c r="B326" s="389"/>
      <c r="C326" s="389"/>
      <c r="D326" s="389"/>
      <c r="E326" s="389"/>
      <c r="F326" s="389"/>
      <c r="G326" s="389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</row>
    <row r="327">
      <c r="A327" s="389"/>
      <c r="B327" s="389"/>
      <c r="C327" s="389"/>
      <c r="D327" s="389"/>
      <c r="E327" s="389"/>
      <c r="F327" s="389"/>
      <c r="G327" s="389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</row>
    <row r="328">
      <c r="A328" s="389"/>
      <c r="B328" s="389"/>
      <c r="C328" s="389"/>
      <c r="D328" s="389"/>
      <c r="E328" s="389"/>
      <c r="F328" s="389"/>
      <c r="G328" s="389"/>
      <c r="H328" s="389"/>
      <c r="I328" s="389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</row>
    <row r="329">
      <c r="A329" s="389"/>
      <c r="B329" s="389"/>
      <c r="C329" s="389"/>
      <c r="D329" s="389"/>
      <c r="E329" s="389"/>
      <c r="F329" s="389"/>
      <c r="G329" s="389"/>
      <c r="H329" s="389"/>
      <c r="I329" s="389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</row>
    <row r="330">
      <c r="A330" s="389"/>
      <c r="B330" s="389"/>
      <c r="C330" s="389"/>
      <c r="D330" s="389"/>
      <c r="E330" s="389"/>
      <c r="F330" s="389"/>
      <c r="G330" s="389"/>
      <c r="H330" s="389"/>
      <c r="I330" s="389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</row>
    <row r="331">
      <c r="A331" s="389"/>
      <c r="B331" s="389"/>
      <c r="C331" s="389"/>
      <c r="D331" s="389"/>
      <c r="E331" s="389"/>
      <c r="F331" s="389"/>
      <c r="G331" s="389"/>
      <c r="H331" s="389"/>
      <c r="I331" s="389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</row>
    <row r="332">
      <c r="A332" s="389"/>
      <c r="B332" s="389"/>
      <c r="C332" s="389"/>
      <c r="D332" s="389"/>
      <c r="E332" s="389"/>
      <c r="F332" s="389"/>
      <c r="G332" s="389"/>
      <c r="H332" s="389"/>
      <c r="I332" s="389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</row>
    <row r="333">
      <c r="A333" s="389"/>
      <c r="B333" s="389"/>
      <c r="C333" s="389"/>
      <c r="D333" s="389"/>
      <c r="E333" s="389"/>
      <c r="F333" s="389"/>
      <c r="G333" s="389"/>
      <c r="H333" s="389"/>
      <c r="I333" s="389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</row>
    <row r="334">
      <c r="A334" s="389"/>
      <c r="B334" s="389"/>
      <c r="C334" s="389"/>
      <c r="D334" s="389"/>
      <c r="E334" s="389"/>
      <c r="F334" s="389"/>
      <c r="G334" s="389"/>
      <c r="H334" s="389"/>
      <c r="I334" s="389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</row>
    <row r="335">
      <c r="A335" s="389"/>
      <c r="B335" s="389"/>
      <c r="C335" s="389"/>
      <c r="D335" s="389"/>
      <c r="E335" s="389"/>
      <c r="F335" s="389"/>
      <c r="G335" s="389"/>
      <c r="H335" s="389"/>
      <c r="I335" s="389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</row>
    <row r="336">
      <c r="A336" s="389"/>
      <c r="B336" s="389"/>
      <c r="C336" s="389"/>
      <c r="D336" s="389"/>
      <c r="E336" s="389"/>
      <c r="F336" s="389"/>
      <c r="G336" s="389"/>
      <c r="H336" s="389"/>
      <c r="I336" s="389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</row>
    <row r="337">
      <c r="A337" s="389"/>
      <c r="B337" s="389"/>
      <c r="C337" s="389"/>
      <c r="D337" s="389"/>
      <c r="E337" s="389"/>
      <c r="F337" s="389"/>
      <c r="G337" s="389"/>
      <c r="H337" s="389"/>
      <c r="I337" s="389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</row>
    <row r="338">
      <c r="A338" s="389"/>
      <c r="B338" s="389"/>
      <c r="C338" s="389"/>
      <c r="D338" s="389"/>
      <c r="E338" s="389"/>
      <c r="F338" s="389"/>
      <c r="G338" s="389"/>
      <c r="H338" s="389"/>
      <c r="I338" s="389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</row>
    <row r="339">
      <c r="A339" s="389"/>
      <c r="B339" s="389"/>
      <c r="C339" s="389"/>
      <c r="D339" s="389"/>
      <c r="E339" s="389"/>
      <c r="F339" s="389"/>
      <c r="G339" s="389"/>
      <c r="H339" s="389"/>
      <c r="I339" s="389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</row>
    <row r="340">
      <c r="A340" s="389"/>
      <c r="B340" s="389"/>
      <c r="C340" s="389"/>
      <c r="D340" s="389"/>
      <c r="E340" s="389"/>
      <c r="F340" s="389"/>
      <c r="G340" s="389"/>
      <c r="H340" s="389"/>
      <c r="I340" s="389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</row>
    <row r="341">
      <c r="A341" s="389"/>
      <c r="B341" s="389"/>
      <c r="C341" s="389"/>
      <c r="D341" s="389"/>
      <c r="E341" s="389"/>
      <c r="F341" s="389"/>
      <c r="G341" s="389"/>
      <c r="H341" s="389"/>
      <c r="I341" s="389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</row>
    <row r="342">
      <c r="A342" s="389"/>
      <c r="B342" s="389"/>
      <c r="C342" s="389"/>
      <c r="D342" s="389"/>
      <c r="E342" s="389"/>
      <c r="F342" s="389"/>
      <c r="G342" s="389"/>
      <c r="H342" s="389"/>
      <c r="I342" s="389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</row>
    <row r="343">
      <c r="A343" s="389"/>
      <c r="B343" s="389"/>
      <c r="C343" s="389"/>
      <c r="D343" s="389"/>
      <c r="E343" s="389"/>
      <c r="F343" s="389"/>
      <c r="G343" s="389"/>
      <c r="H343" s="389"/>
      <c r="I343" s="389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</row>
    <row r="344">
      <c r="A344" s="389"/>
      <c r="B344" s="389"/>
      <c r="C344" s="389"/>
      <c r="D344" s="389"/>
      <c r="E344" s="389"/>
      <c r="F344" s="389"/>
      <c r="G344" s="389"/>
      <c r="H344" s="389"/>
      <c r="I344" s="389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</row>
    <row r="345">
      <c r="A345" s="389"/>
      <c r="B345" s="389"/>
      <c r="C345" s="389"/>
      <c r="D345" s="389"/>
      <c r="E345" s="389"/>
      <c r="F345" s="389"/>
      <c r="G345" s="389"/>
      <c r="H345" s="389"/>
      <c r="I345" s="389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</row>
    <row r="346">
      <c r="A346" s="389"/>
      <c r="B346" s="389"/>
      <c r="C346" s="389"/>
      <c r="D346" s="389"/>
      <c r="E346" s="389"/>
      <c r="F346" s="389"/>
      <c r="G346" s="389"/>
      <c r="H346" s="389"/>
      <c r="I346" s="389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</row>
    <row r="347">
      <c r="A347" s="389"/>
      <c r="B347" s="389"/>
      <c r="C347" s="389"/>
      <c r="D347" s="389"/>
      <c r="E347" s="389"/>
      <c r="F347" s="389"/>
      <c r="G347" s="389"/>
      <c r="H347" s="389"/>
      <c r="I347" s="389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</row>
    <row r="348">
      <c r="A348" s="389"/>
      <c r="B348" s="389"/>
      <c r="C348" s="389"/>
      <c r="D348" s="389"/>
      <c r="E348" s="389"/>
      <c r="F348" s="389"/>
      <c r="G348" s="389"/>
      <c r="H348" s="389"/>
      <c r="I348" s="389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</row>
    <row r="349">
      <c r="A349" s="389"/>
      <c r="B349" s="389"/>
      <c r="C349" s="389"/>
      <c r="D349" s="389"/>
      <c r="E349" s="389"/>
      <c r="F349" s="389"/>
      <c r="G349" s="389"/>
      <c r="H349" s="389"/>
      <c r="I349" s="389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</row>
    <row r="350">
      <c r="A350" s="389"/>
      <c r="B350" s="389"/>
      <c r="C350" s="389"/>
      <c r="D350" s="389"/>
      <c r="E350" s="389"/>
      <c r="F350" s="389"/>
      <c r="G350" s="389"/>
      <c r="H350" s="389"/>
      <c r="I350" s="389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</row>
    <row r="351">
      <c r="A351" s="389"/>
      <c r="B351" s="389"/>
      <c r="C351" s="389"/>
      <c r="D351" s="389"/>
      <c r="E351" s="389"/>
      <c r="F351" s="389"/>
      <c r="G351" s="389"/>
      <c r="H351" s="389"/>
      <c r="I351" s="389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</row>
    <row r="352">
      <c r="A352" s="389"/>
      <c r="B352" s="389"/>
      <c r="C352" s="389"/>
      <c r="D352" s="389"/>
      <c r="E352" s="389"/>
      <c r="F352" s="389"/>
      <c r="G352" s="389"/>
      <c r="H352" s="389"/>
      <c r="I352" s="389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</row>
    <row r="353">
      <c r="A353" s="389"/>
      <c r="B353" s="389"/>
      <c r="C353" s="389"/>
      <c r="D353" s="389"/>
      <c r="E353" s="389"/>
      <c r="F353" s="389"/>
      <c r="G353" s="389"/>
      <c r="H353" s="389"/>
      <c r="I353" s="389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</row>
    <row r="354">
      <c r="A354" s="389"/>
      <c r="B354" s="389"/>
      <c r="C354" s="389"/>
      <c r="D354" s="389"/>
      <c r="E354" s="389"/>
      <c r="F354" s="389"/>
      <c r="G354" s="389"/>
      <c r="H354" s="389"/>
      <c r="I354" s="389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</row>
    <row r="355">
      <c r="A355" s="389"/>
      <c r="B355" s="389"/>
      <c r="C355" s="389"/>
      <c r="D355" s="389"/>
      <c r="E355" s="389"/>
      <c r="F355" s="389"/>
      <c r="G355" s="389"/>
      <c r="H355" s="389"/>
      <c r="I355" s="389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</row>
    <row r="356">
      <c r="A356" s="389"/>
      <c r="B356" s="389"/>
      <c r="C356" s="389"/>
      <c r="D356" s="389"/>
      <c r="E356" s="389"/>
      <c r="F356" s="389"/>
      <c r="G356" s="389"/>
      <c r="H356" s="389"/>
      <c r="I356" s="389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</row>
    <row r="357">
      <c r="A357" s="389"/>
      <c r="B357" s="389"/>
      <c r="C357" s="389"/>
      <c r="D357" s="389"/>
      <c r="E357" s="389"/>
      <c r="F357" s="389"/>
      <c r="G357" s="389"/>
      <c r="H357" s="389"/>
      <c r="I357" s="389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</row>
    <row r="358">
      <c r="A358" s="389"/>
      <c r="B358" s="389"/>
      <c r="C358" s="389"/>
      <c r="D358" s="389"/>
      <c r="E358" s="389"/>
      <c r="F358" s="389"/>
      <c r="G358" s="389"/>
      <c r="H358" s="389"/>
      <c r="I358" s="389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</row>
    <row r="359">
      <c r="A359" s="389"/>
      <c r="B359" s="389"/>
      <c r="C359" s="389"/>
      <c r="D359" s="389"/>
      <c r="E359" s="389"/>
      <c r="F359" s="389"/>
      <c r="G359" s="389"/>
      <c r="H359" s="389"/>
      <c r="I359" s="389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</row>
    <row r="360">
      <c r="A360" s="389"/>
      <c r="B360" s="389"/>
      <c r="C360" s="389"/>
      <c r="D360" s="389"/>
      <c r="E360" s="389"/>
      <c r="F360" s="389"/>
      <c r="G360" s="389"/>
      <c r="H360" s="389"/>
      <c r="I360" s="389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</row>
    <row r="361">
      <c r="A361" s="389"/>
      <c r="B361" s="389"/>
      <c r="C361" s="389"/>
      <c r="D361" s="389"/>
      <c r="E361" s="389"/>
      <c r="F361" s="389"/>
      <c r="G361" s="389"/>
      <c r="H361" s="389"/>
      <c r="I361" s="389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</row>
    <row r="362">
      <c r="A362" s="389"/>
      <c r="B362" s="389"/>
      <c r="C362" s="389"/>
      <c r="D362" s="389"/>
      <c r="E362" s="389"/>
      <c r="F362" s="389"/>
      <c r="G362" s="389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</row>
    <row r="363">
      <c r="A363" s="389"/>
      <c r="B363" s="389"/>
      <c r="C363" s="389"/>
      <c r="D363" s="389"/>
      <c r="E363" s="389"/>
      <c r="F363" s="389"/>
      <c r="G363" s="389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</row>
    <row r="364">
      <c r="A364" s="389"/>
      <c r="B364" s="389"/>
      <c r="C364" s="389"/>
      <c r="D364" s="389"/>
      <c r="E364" s="389"/>
      <c r="F364" s="389"/>
      <c r="G364" s="389"/>
      <c r="H364" s="389"/>
      <c r="I364" s="389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</row>
    <row r="365">
      <c r="A365" s="389"/>
      <c r="B365" s="389"/>
      <c r="C365" s="389"/>
      <c r="D365" s="389"/>
      <c r="E365" s="389"/>
      <c r="F365" s="389"/>
      <c r="G365" s="389"/>
      <c r="H365" s="389"/>
      <c r="I365" s="389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</row>
    <row r="366">
      <c r="A366" s="389"/>
      <c r="B366" s="389"/>
      <c r="C366" s="389"/>
      <c r="D366" s="389"/>
      <c r="E366" s="389"/>
      <c r="F366" s="389"/>
      <c r="G366" s="389"/>
      <c r="H366" s="389"/>
      <c r="I366" s="389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</row>
    <row r="367">
      <c r="A367" s="389"/>
      <c r="B367" s="389"/>
      <c r="C367" s="389"/>
      <c r="D367" s="389"/>
      <c r="E367" s="389"/>
      <c r="F367" s="389"/>
      <c r="G367" s="389"/>
      <c r="H367" s="389"/>
      <c r="I367" s="389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</row>
    <row r="368">
      <c r="A368" s="389"/>
      <c r="B368" s="389"/>
      <c r="C368" s="389"/>
      <c r="D368" s="389"/>
      <c r="E368" s="389"/>
      <c r="F368" s="389"/>
      <c r="G368" s="389"/>
      <c r="H368" s="389"/>
      <c r="I368" s="389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</row>
    <row r="369">
      <c r="A369" s="389"/>
      <c r="B369" s="389"/>
      <c r="C369" s="389"/>
      <c r="D369" s="389"/>
      <c r="E369" s="389"/>
      <c r="F369" s="389"/>
      <c r="G369" s="389"/>
      <c r="H369" s="389"/>
      <c r="I369" s="389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</row>
    <row r="370">
      <c r="A370" s="389"/>
      <c r="B370" s="389"/>
      <c r="C370" s="389"/>
      <c r="D370" s="389"/>
      <c r="E370" s="389"/>
      <c r="F370" s="389"/>
      <c r="G370" s="389"/>
      <c r="H370" s="389"/>
      <c r="I370" s="389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</row>
    <row r="371">
      <c r="A371" s="389"/>
      <c r="B371" s="389"/>
      <c r="C371" s="389"/>
      <c r="D371" s="389"/>
      <c r="E371" s="389"/>
      <c r="F371" s="389"/>
      <c r="G371" s="389"/>
      <c r="H371" s="389"/>
      <c r="I371" s="389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</row>
    <row r="372">
      <c r="A372" s="389"/>
      <c r="B372" s="389"/>
      <c r="C372" s="389"/>
      <c r="D372" s="389"/>
      <c r="E372" s="389"/>
      <c r="F372" s="389"/>
      <c r="G372" s="389"/>
      <c r="H372" s="389"/>
      <c r="I372" s="389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</row>
    <row r="373">
      <c r="A373" s="389"/>
      <c r="B373" s="389"/>
      <c r="C373" s="389"/>
      <c r="D373" s="389"/>
      <c r="E373" s="389"/>
      <c r="F373" s="389"/>
      <c r="G373" s="389"/>
      <c r="H373" s="389"/>
      <c r="I373" s="389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</row>
    <row r="374">
      <c r="A374" s="389"/>
      <c r="B374" s="389"/>
      <c r="C374" s="389"/>
      <c r="D374" s="389"/>
      <c r="E374" s="389"/>
      <c r="F374" s="389"/>
      <c r="G374" s="389"/>
      <c r="H374" s="389"/>
      <c r="I374" s="389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</row>
    <row r="375">
      <c r="A375" s="389"/>
      <c r="B375" s="389"/>
      <c r="C375" s="389"/>
      <c r="D375" s="389"/>
      <c r="E375" s="389"/>
      <c r="F375" s="389"/>
      <c r="G375" s="389"/>
      <c r="H375" s="389"/>
      <c r="I375" s="389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</row>
    <row r="376">
      <c r="A376" s="389"/>
      <c r="B376" s="389"/>
      <c r="C376" s="389"/>
      <c r="D376" s="389"/>
      <c r="E376" s="389"/>
      <c r="F376" s="389"/>
      <c r="G376" s="389"/>
      <c r="H376" s="389"/>
      <c r="I376" s="389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</row>
    <row r="377">
      <c r="A377" s="389"/>
      <c r="B377" s="389"/>
      <c r="C377" s="389"/>
      <c r="D377" s="389"/>
      <c r="E377" s="389"/>
      <c r="F377" s="389"/>
      <c r="G377" s="389"/>
      <c r="H377" s="389"/>
      <c r="I377" s="389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</row>
    <row r="378">
      <c r="A378" s="389"/>
      <c r="B378" s="389"/>
      <c r="C378" s="389"/>
      <c r="D378" s="389"/>
      <c r="E378" s="389"/>
      <c r="F378" s="389"/>
      <c r="G378" s="389"/>
      <c r="H378" s="389"/>
      <c r="I378" s="389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</row>
    <row r="379">
      <c r="A379" s="389"/>
      <c r="B379" s="389"/>
      <c r="C379" s="389"/>
      <c r="D379" s="389"/>
      <c r="E379" s="389"/>
      <c r="F379" s="389"/>
      <c r="G379" s="389"/>
      <c r="H379" s="389"/>
      <c r="I379" s="389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</row>
    <row r="380">
      <c r="A380" s="389"/>
      <c r="B380" s="389"/>
      <c r="C380" s="389"/>
      <c r="D380" s="389"/>
      <c r="E380" s="389"/>
      <c r="F380" s="389"/>
      <c r="G380" s="389"/>
      <c r="H380" s="389"/>
      <c r="I380" s="389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</row>
    <row r="381">
      <c r="A381" s="389"/>
      <c r="B381" s="389"/>
      <c r="C381" s="389"/>
      <c r="D381" s="389"/>
      <c r="E381" s="389"/>
      <c r="F381" s="389"/>
      <c r="G381" s="389"/>
      <c r="H381" s="389"/>
      <c r="I381" s="389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</row>
    <row r="382">
      <c r="A382" s="389"/>
      <c r="B382" s="389"/>
      <c r="C382" s="389"/>
      <c r="D382" s="389"/>
      <c r="E382" s="389"/>
      <c r="F382" s="389"/>
      <c r="G382" s="389"/>
      <c r="H382" s="389"/>
      <c r="I382" s="389"/>
      <c r="J382" s="389"/>
      <c r="K382" s="389"/>
      <c r="L382" s="389"/>
      <c r="M382" s="389"/>
      <c r="N382" s="389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</row>
    <row r="383">
      <c r="A383" s="389"/>
      <c r="B383" s="389"/>
      <c r="C383" s="389"/>
      <c r="D383" s="389"/>
      <c r="E383" s="389"/>
      <c r="F383" s="389"/>
      <c r="G383" s="389"/>
      <c r="H383" s="389"/>
      <c r="I383" s="389"/>
      <c r="J383" s="389"/>
      <c r="K383" s="389"/>
      <c r="L383" s="389"/>
      <c r="M383" s="389"/>
      <c r="N383" s="389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</row>
    <row r="384">
      <c r="A384" s="389"/>
      <c r="B384" s="389"/>
      <c r="C384" s="389"/>
      <c r="D384" s="389"/>
      <c r="E384" s="389"/>
      <c r="F384" s="389"/>
      <c r="G384" s="389"/>
      <c r="H384" s="389"/>
      <c r="I384" s="389"/>
      <c r="J384" s="389"/>
      <c r="K384" s="389"/>
      <c r="L384" s="389"/>
      <c r="M384" s="389"/>
      <c r="N384" s="389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</row>
    <row r="385">
      <c r="A385" s="389"/>
      <c r="B385" s="389"/>
      <c r="C385" s="389"/>
      <c r="D385" s="389"/>
      <c r="E385" s="389"/>
      <c r="F385" s="389"/>
      <c r="G385" s="389"/>
      <c r="H385" s="389"/>
      <c r="I385" s="389"/>
      <c r="J385" s="389"/>
      <c r="K385" s="389"/>
      <c r="L385" s="389"/>
      <c r="M385" s="389"/>
      <c r="N385" s="389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</row>
    <row r="386">
      <c r="A386" s="389"/>
      <c r="B386" s="389"/>
      <c r="C386" s="389"/>
      <c r="D386" s="389"/>
      <c r="E386" s="389"/>
      <c r="F386" s="389"/>
      <c r="G386" s="389"/>
      <c r="H386" s="389"/>
      <c r="I386" s="389"/>
      <c r="J386" s="389"/>
      <c r="K386" s="389"/>
      <c r="L386" s="389"/>
      <c r="M386" s="389"/>
      <c r="N386" s="389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</row>
    <row r="387">
      <c r="A387" s="389"/>
      <c r="B387" s="389"/>
      <c r="C387" s="389"/>
      <c r="D387" s="389"/>
      <c r="E387" s="389"/>
      <c r="F387" s="389"/>
      <c r="G387" s="389"/>
      <c r="H387" s="389"/>
      <c r="I387" s="389"/>
      <c r="J387" s="389"/>
      <c r="K387" s="389"/>
      <c r="L387" s="389"/>
      <c r="M387" s="389"/>
      <c r="N387" s="389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</row>
    <row r="388">
      <c r="A388" s="389"/>
      <c r="B388" s="389"/>
      <c r="C388" s="389"/>
      <c r="D388" s="389"/>
      <c r="E388" s="389"/>
      <c r="F388" s="389"/>
      <c r="G388" s="389"/>
      <c r="H388" s="389"/>
      <c r="I388" s="389"/>
      <c r="J388" s="389"/>
      <c r="K388" s="389"/>
      <c r="L388" s="389"/>
      <c r="M388" s="389"/>
      <c r="N388" s="389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</row>
    <row r="389">
      <c r="A389" s="389"/>
      <c r="B389" s="389"/>
      <c r="C389" s="389"/>
      <c r="D389" s="389"/>
      <c r="E389" s="389"/>
      <c r="F389" s="389"/>
      <c r="G389" s="389"/>
      <c r="H389" s="389"/>
      <c r="I389" s="389"/>
      <c r="J389" s="389"/>
      <c r="K389" s="389"/>
      <c r="L389" s="389"/>
      <c r="M389" s="389"/>
      <c r="N389" s="389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</row>
    <row r="390">
      <c r="A390" s="389"/>
      <c r="B390" s="389"/>
      <c r="C390" s="389"/>
      <c r="D390" s="389"/>
      <c r="E390" s="389"/>
      <c r="F390" s="389"/>
      <c r="G390" s="389"/>
      <c r="H390" s="389"/>
      <c r="I390" s="389"/>
      <c r="J390" s="389"/>
      <c r="K390" s="389"/>
      <c r="L390" s="389"/>
      <c r="M390" s="389"/>
      <c r="N390" s="389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</row>
    <row r="391">
      <c r="A391" s="389"/>
      <c r="B391" s="389"/>
      <c r="C391" s="389"/>
      <c r="D391" s="389"/>
      <c r="E391" s="389"/>
      <c r="F391" s="389"/>
      <c r="G391" s="389"/>
      <c r="H391" s="389"/>
      <c r="I391" s="389"/>
      <c r="J391" s="389"/>
      <c r="K391" s="389"/>
      <c r="L391" s="389"/>
      <c r="M391" s="389"/>
      <c r="N391" s="389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</row>
    <row r="392">
      <c r="A392" s="389"/>
      <c r="B392" s="389"/>
      <c r="C392" s="389"/>
      <c r="D392" s="389"/>
      <c r="E392" s="389"/>
      <c r="F392" s="389"/>
      <c r="G392" s="389"/>
      <c r="H392" s="389"/>
      <c r="I392" s="389"/>
      <c r="J392" s="389"/>
      <c r="K392" s="389"/>
      <c r="L392" s="389"/>
      <c r="M392" s="389"/>
      <c r="N392" s="389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</row>
    <row r="393">
      <c r="A393" s="389"/>
      <c r="B393" s="389"/>
      <c r="C393" s="389"/>
      <c r="D393" s="389"/>
      <c r="E393" s="389"/>
      <c r="F393" s="389"/>
      <c r="G393" s="389"/>
      <c r="H393" s="389"/>
      <c r="I393" s="389"/>
      <c r="J393" s="389"/>
      <c r="K393" s="389"/>
      <c r="L393" s="389"/>
      <c r="M393" s="389"/>
      <c r="N393" s="389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</row>
    <row r="394">
      <c r="A394" s="389"/>
      <c r="B394" s="389"/>
      <c r="C394" s="389"/>
      <c r="D394" s="389"/>
      <c r="E394" s="389"/>
      <c r="F394" s="389"/>
      <c r="G394" s="389"/>
      <c r="H394" s="389"/>
      <c r="I394" s="389"/>
      <c r="J394" s="389"/>
      <c r="K394" s="389"/>
      <c r="L394" s="389"/>
      <c r="M394" s="389"/>
      <c r="N394" s="389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</row>
    <row r="395">
      <c r="A395" s="389"/>
      <c r="B395" s="389"/>
      <c r="C395" s="389"/>
      <c r="D395" s="389"/>
      <c r="E395" s="389"/>
      <c r="F395" s="389"/>
      <c r="G395" s="389"/>
      <c r="H395" s="389"/>
      <c r="I395" s="389"/>
      <c r="J395" s="389"/>
      <c r="K395" s="389"/>
      <c r="L395" s="389"/>
      <c r="M395" s="389"/>
      <c r="N395" s="389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</row>
    <row r="396">
      <c r="A396" s="389"/>
      <c r="B396" s="389"/>
      <c r="C396" s="389"/>
      <c r="D396" s="389"/>
      <c r="E396" s="389"/>
      <c r="F396" s="389"/>
      <c r="G396" s="389"/>
      <c r="H396" s="389"/>
      <c r="I396" s="389"/>
      <c r="J396" s="389"/>
      <c r="K396" s="389"/>
      <c r="L396" s="389"/>
      <c r="M396" s="389"/>
      <c r="N396" s="389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</row>
    <row r="397">
      <c r="A397" s="389"/>
      <c r="B397" s="389"/>
      <c r="C397" s="389"/>
      <c r="D397" s="389"/>
      <c r="E397" s="389"/>
      <c r="F397" s="389"/>
      <c r="G397" s="389"/>
      <c r="H397" s="389"/>
      <c r="I397" s="389"/>
      <c r="J397" s="389"/>
      <c r="K397" s="389"/>
      <c r="L397" s="389"/>
      <c r="M397" s="389"/>
      <c r="N397" s="389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</row>
    <row r="398">
      <c r="A398" s="389"/>
      <c r="B398" s="389"/>
      <c r="C398" s="389"/>
      <c r="D398" s="389"/>
      <c r="E398" s="389"/>
      <c r="F398" s="389"/>
      <c r="G398" s="389"/>
      <c r="H398" s="389"/>
      <c r="I398" s="389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</row>
    <row r="399">
      <c r="A399" s="389"/>
      <c r="B399" s="389"/>
      <c r="C399" s="389"/>
      <c r="D399" s="389"/>
      <c r="E399" s="389"/>
      <c r="F399" s="389"/>
      <c r="G399" s="389"/>
      <c r="H399" s="389"/>
      <c r="I399" s="389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</row>
    <row r="400">
      <c r="A400" s="389"/>
      <c r="B400" s="389"/>
      <c r="C400" s="389"/>
      <c r="D400" s="389"/>
      <c r="E400" s="389"/>
      <c r="F400" s="389"/>
      <c r="G400" s="389"/>
      <c r="H400" s="389"/>
      <c r="I400" s="389"/>
      <c r="J400" s="389"/>
      <c r="K400" s="389"/>
      <c r="L400" s="389"/>
      <c r="M400" s="389"/>
      <c r="N400" s="389"/>
      <c r="O400" s="389"/>
      <c r="P400" s="389"/>
      <c r="Q400" s="389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</row>
    <row r="401">
      <c r="A401" s="389"/>
      <c r="B401" s="389"/>
      <c r="C401" s="389"/>
      <c r="D401" s="389"/>
      <c r="E401" s="389"/>
      <c r="F401" s="389"/>
      <c r="G401" s="389"/>
      <c r="H401" s="389"/>
      <c r="I401" s="389"/>
      <c r="J401" s="389"/>
      <c r="K401" s="389"/>
      <c r="L401" s="389"/>
      <c r="M401" s="389"/>
      <c r="N401" s="389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</row>
    <row r="402">
      <c r="A402" s="389"/>
      <c r="B402" s="389"/>
      <c r="C402" s="389"/>
      <c r="D402" s="389"/>
      <c r="E402" s="389"/>
      <c r="F402" s="389"/>
      <c r="G402" s="389"/>
      <c r="H402" s="389"/>
      <c r="I402" s="389"/>
      <c r="J402" s="389"/>
      <c r="K402" s="389"/>
      <c r="L402" s="389"/>
      <c r="M402" s="389"/>
      <c r="N402" s="389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</row>
    <row r="403">
      <c r="A403" s="389"/>
      <c r="B403" s="389"/>
      <c r="C403" s="389"/>
      <c r="D403" s="389"/>
      <c r="E403" s="389"/>
      <c r="F403" s="389"/>
      <c r="G403" s="389"/>
      <c r="H403" s="389"/>
      <c r="I403" s="389"/>
      <c r="J403" s="389"/>
      <c r="K403" s="389"/>
      <c r="L403" s="389"/>
      <c r="M403" s="389"/>
      <c r="N403" s="389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</row>
    <row r="404">
      <c r="A404" s="389"/>
      <c r="B404" s="389"/>
      <c r="C404" s="389"/>
      <c r="D404" s="389"/>
      <c r="E404" s="389"/>
      <c r="F404" s="389"/>
      <c r="G404" s="389"/>
      <c r="H404" s="389"/>
      <c r="I404" s="389"/>
      <c r="J404" s="389"/>
      <c r="K404" s="389"/>
      <c r="L404" s="389"/>
      <c r="M404" s="389"/>
      <c r="N404" s="389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</row>
    <row r="405">
      <c r="A405" s="389"/>
      <c r="B405" s="389"/>
      <c r="C405" s="389"/>
      <c r="D405" s="389"/>
      <c r="E405" s="389"/>
      <c r="F405" s="389"/>
      <c r="G405" s="389"/>
      <c r="H405" s="389"/>
      <c r="I405" s="389"/>
      <c r="J405" s="389"/>
      <c r="K405" s="389"/>
      <c r="L405" s="389"/>
      <c r="M405" s="389"/>
      <c r="N405" s="389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</row>
    <row r="406">
      <c r="A406" s="389"/>
      <c r="B406" s="389"/>
      <c r="C406" s="389"/>
      <c r="D406" s="389"/>
      <c r="E406" s="389"/>
      <c r="F406" s="389"/>
      <c r="G406" s="389"/>
      <c r="H406" s="389"/>
      <c r="I406" s="389"/>
      <c r="J406" s="389"/>
      <c r="K406" s="389"/>
      <c r="L406" s="389"/>
      <c r="M406" s="389"/>
      <c r="N406" s="389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</row>
    <row r="407">
      <c r="A407" s="389"/>
      <c r="B407" s="389"/>
      <c r="C407" s="389"/>
      <c r="D407" s="389"/>
      <c r="E407" s="389"/>
      <c r="F407" s="389"/>
      <c r="G407" s="389"/>
      <c r="H407" s="389"/>
      <c r="I407" s="389"/>
      <c r="J407" s="389"/>
      <c r="K407" s="389"/>
      <c r="L407" s="389"/>
      <c r="M407" s="389"/>
      <c r="N407" s="389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</row>
    <row r="408">
      <c r="A408" s="389"/>
      <c r="B408" s="389"/>
      <c r="C408" s="389"/>
      <c r="D408" s="389"/>
      <c r="E408" s="389"/>
      <c r="F408" s="389"/>
      <c r="G408" s="389"/>
      <c r="H408" s="389"/>
      <c r="I408" s="389"/>
      <c r="J408" s="389"/>
      <c r="K408" s="389"/>
      <c r="L408" s="389"/>
      <c r="M408" s="389"/>
      <c r="N408" s="389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</row>
    <row r="409">
      <c r="A409" s="389"/>
      <c r="B409" s="389"/>
      <c r="C409" s="389"/>
      <c r="D409" s="389"/>
      <c r="E409" s="389"/>
      <c r="F409" s="389"/>
      <c r="G409" s="389"/>
      <c r="H409" s="389"/>
      <c r="I409" s="389"/>
      <c r="J409" s="389"/>
      <c r="K409" s="389"/>
      <c r="L409" s="389"/>
      <c r="M409" s="389"/>
      <c r="N409" s="389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</row>
    <row r="410">
      <c r="A410" s="389"/>
      <c r="B410" s="389"/>
      <c r="C410" s="389"/>
      <c r="D410" s="389"/>
      <c r="E410" s="389"/>
      <c r="F410" s="389"/>
      <c r="G410" s="389"/>
      <c r="H410" s="389"/>
      <c r="I410" s="389"/>
      <c r="J410" s="389"/>
      <c r="K410" s="389"/>
      <c r="L410" s="389"/>
      <c r="M410" s="389"/>
      <c r="N410" s="389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</row>
    <row r="411">
      <c r="A411" s="389"/>
      <c r="B411" s="389"/>
      <c r="C411" s="389"/>
      <c r="D411" s="389"/>
      <c r="E411" s="389"/>
      <c r="F411" s="389"/>
      <c r="G411" s="389"/>
      <c r="H411" s="389"/>
      <c r="I411" s="389"/>
      <c r="J411" s="389"/>
      <c r="K411" s="389"/>
      <c r="L411" s="389"/>
      <c r="M411" s="389"/>
      <c r="N411" s="389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</row>
    <row r="412">
      <c r="A412" s="389"/>
      <c r="B412" s="389"/>
      <c r="C412" s="389"/>
      <c r="D412" s="389"/>
      <c r="E412" s="389"/>
      <c r="F412" s="389"/>
      <c r="G412" s="389"/>
      <c r="H412" s="389"/>
      <c r="I412" s="389"/>
      <c r="J412" s="389"/>
      <c r="K412" s="389"/>
      <c r="L412" s="389"/>
      <c r="M412" s="389"/>
      <c r="N412" s="389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</row>
    <row r="413">
      <c r="A413" s="389"/>
      <c r="B413" s="389"/>
      <c r="C413" s="389"/>
      <c r="D413" s="389"/>
      <c r="E413" s="389"/>
      <c r="F413" s="389"/>
      <c r="G413" s="389"/>
      <c r="H413" s="389"/>
      <c r="I413" s="389"/>
      <c r="J413" s="389"/>
      <c r="K413" s="389"/>
      <c r="L413" s="389"/>
      <c r="M413" s="389"/>
      <c r="N413" s="389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</row>
    <row r="414">
      <c r="A414" s="389"/>
      <c r="B414" s="389"/>
      <c r="C414" s="389"/>
      <c r="D414" s="389"/>
      <c r="E414" s="389"/>
      <c r="F414" s="389"/>
      <c r="G414" s="389"/>
      <c r="H414" s="389"/>
      <c r="I414" s="389"/>
      <c r="J414" s="389"/>
      <c r="K414" s="389"/>
      <c r="L414" s="389"/>
      <c r="M414" s="389"/>
      <c r="N414" s="389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</row>
    <row r="415">
      <c r="A415" s="389"/>
      <c r="B415" s="389"/>
      <c r="C415" s="389"/>
      <c r="D415" s="389"/>
      <c r="E415" s="389"/>
      <c r="F415" s="389"/>
      <c r="G415" s="389"/>
      <c r="H415" s="389"/>
      <c r="I415" s="389"/>
      <c r="J415" s="389"/>
      <c r="K415" s="389"/>
      <c r="L415" s="389"/>
      <c r="M415" s="389"/>
      <c r="N415" s="389"/>
      <c r="O415" s="389"/>
      <c r="P415" s="389"/>
      <c r="Q415" s="389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</row>
    <row r="416">
      <c r="A416" s="389"/>
      <c r="B416" s="389"/>
      <c r="C416" s="389"/>
      <c r="D416" s="389"/>
      <c r="E416" s="389"/>
      <c r="F416" s="389"/>
      <c r="G416" s="389"/>
      <c r="H416" s="389"/>
      <c r="I416" s="389"/>
      <c r="J416" s="389"/>
      <c r="K416" s="389"/>
      <c r="L416" s="389"/>
      <c r="M416" s="389"/>
      <c r="N416" s="389"/>
      <c r="O416" s="389"/>
      <c r="P416" s="389"/>
      <c r="Q416" s="389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</row>
    <row r="417">
      <c r="A417" s="389"/>
      <c r="B417" s="389"/>
      <c r="C417" s="389"/>
      <c r="D417" s="389"/>
      <c r="E417" s="389"/>
      <c r="F417" s="389"/>
      <c r="G417" s="389"/>
      <c r="H417" s="389"/>
      <c r="I417" s="389"/>
      <c r="J417" s="389"/>
      <c r="K417" s="389"/>
      <c r="L417" s="389"/>
      <c r="M417" s="389"/>
      <c r="N417" s="389"/>
      <c r="O417" s="389"/>
      <c r="P417" s="389"/>
      <c r="Q417" s="389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</row>
    <row r="418">
      <c r="A418" s="389"/>
      <c r="B418" s="389"/>
      <c r="C418" s="389"/>
      <c r="D418" s="389"/>
      <c r="E418" s="389"/>
      <c r="F418" s="389"/>
      <c r="G418" s="389"/>
      <c r="H418" s="389"/>
      <c r="I418" s="389"/>
      <c r="J418" s="389"/>
      <c r="K418" s="389"/>
      <c r="L418" s="389"/>
      <c r="M418" s="389"/>
      <c r="N418" s="389"/>
      <c r="O418" s="389"/>
      <c r="P418" s="389"/>
      <c r="Q418" s="389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</row>
    <row r="419">
      <c r="A419" s="389"/>
      <c r="B419" s="389"/>
      <c r="C419" s="389"/>
      <c r="D419" s="389"/>
      <c r="E419" s="389"/>
      <c r="F419" s="389"/>
      <c r="G419" s="389"/>
      <c r="H419" s="389"/>
      <c r="I419" s="389"/>
      <c r="J419" s="389"/>
      <c r="K419" s="389"/>
      <c r="L419" s="389"/>
      <c r="M419" s="389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</row>
    <row r="420">
      <c r="A420" s="389"/>
      <c r="B420" s="389"/>
      <c r="C420" s="389"/>
      <c r="D420" s="389"/>
      <c r="E420" s="389"/>
      <c r="F420" s="389"/>
      <c r="G420" s="389"/>
      <c r="H420" s="389"/>
      <c r="I420" s="389"/>
      <c r="J420" s="389"/>
      <c r="K420" s="389"/>
      <c r="L420" s="389"/>
      <c r="M420" s="389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</row>
    <row r="421">
      <c r="A421" s="389"/>
      <c r="B421" s="389"/>
      <c r="C421" s="389"/>
      <c r="D421" s="389"/>
      <c r="E421" s="389"/>
      <c r="F421" s="389"/>
      <c r="G421" s="389"/>
      <c r="H421" s="389"/>
      <c r="I421" s="389"/>
      <c r="J421" s="389"/>
      <c r="K421" s="389"/>
      <c r="L421" s="389"/>
      <c r="M421" s="389"/>
      <c r="N421" s="389"/>
      <c r="O421" s="389"/>
      <c r="P421" s="389"/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</row>
    <row r="422">
      <c r="A422" s="389"/>
      <c r="B422" s="389"/>
      <c r="C422" s="389"/>
      <c r="D422" s="389"/>
      <c r="E422" s="389"/>
      <c r="F422" s="389"/>
      <c r="G422" s="389"/>
      <c r="H422" s="389"/>
      <c r="I422" s="389"/>
      <c r="J422" s="389"/>
      <c r="K422" s="389"/>
      <c r="L422" s="389"/>
      <c r="M422" s="389"/>
      <c r="N422" s="389"/>
      <c r="O422" s="389"/>
      <c r="P422" s="389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</row>
    <row r="423">
      <c r="A423" s="389"/>
      <c r="B423" s="389"/>
      <c r="C423" s="389"/>
      <c r="D423" s="389"/>
      <c r="E423" s="389"/>
      <c r="F423" s="389"/>
      <c r="G423" s="389"/>
      <c r="H423" s="389"/>
      <c r="I423" s="389"/>
      <c r="J423" s="389"/>
      <c r="K423" s="389"/>
      <c r="L423" s="389"/>
      <c r="M423" s="389"/>
      <c r="N423" s="389"/>
      <c r="O423" s="389"/>
      <c r="P423" s="389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</row>
    <row r="424">
      <c r="A424" s="389"/>
      <c r="B424" s="389"/>
      <c r="C424" s="389"/>
      <c r="D424" s="389"/>
      <c r="E424" s="389"/>
      <c r="F424" s="389"/>
      <c r="G424" s="389"/>
      <c r="H424" s="389"/>
      <c r="I424" s="389"/>
      <c r="J424" s="389"/>
      <c r="K424" s="389"/>
      <c r="L424" s="389"/>
      <c r="M424" s="389"/>
      <c r="N424" s="389"/>
      <c r="O424" s="389"/>
      <c r="P424" s="389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</row>
    <row r="425">
      <c r="A425" s="389"/>
      <c r="B425" s="389"/>
      <c r="C425" s="389"/>
      <c r="D425" s="389"/>
      <c r="E425" s="389"/>
      <c r="F425" s="389"/>
      <c r="G425" s="389"/>
      <c r="H425" s="389"/>
      <c r="I425" s="389"/>
      <c r="J425" s="389"/>
      <c r="K425" s="389"/>
      <c r="L425" s="389"/>
      <c r="M425" s="389"/>
      <c r="N425" s="389"/>
      <c r="O425" s="389"/>
      <c r="P425" s="389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</row>
    <row r="426">
      <c r="A426" s="389"/>
      <c r="B426" s="389"/>
      <c r="C426" s="389"/>
      <c r="D426" s="389"/>
      <c r="E426" s="389"/>
      <c r="F426" s="389"/>
      <c r="G426" s="389"/>
      <c r="H426" s="389"/>
      <c r="I426" s="389"/>
      <c r="J426" s="389"/>
      <c r="K426" s="389"/>
      <c r="L426" s="389"/>
      <c r="M426" s="389"/>
      <c r="N426" s="389"/>
      <c r="O426" s="389"/>
      <c r="P426" s="389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</row>
    <row r="427">
      <c r="A427" s="389"/>
      <c r="B427" s="389"/>
      <c r="C427" s="389"/>
      <c r="D427" s="389"/>
      <c r="E427" s="389"/>
      <c r="F427" s="389"/>
      <c r="G427" s="389"/>
      <c r="H427" s="389"/>
      <c r="I427" s="389"/>
      <c r="J427" s="389"/>
      <c r="K427" s="389"/>
      <c r="L427" s="389"/>
      <c r="M427" s="389"/>
      <c r="N427" s="389"/>
      <c r="O427" s="389"/>
      <c r="P427" s="389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</row>
    <row r="428">
      <c r="A428" s="389"/>
      <c r="B428" s="389"/>
      <c r="C428" s="389"/>
      <c r="D428" s="389"/>
      <c r="E428" s="389"/>
      <c r="F428" s="389"/>
      <c r="G428" s="389"/>
      <c r="H428" s="389"/>
      <c r="I428" s="389"/>
      <c r="J428" s="389"/>
      <c r="K428" s="389"/>
      <c r="L428" s="389"/>
      <c r="M428" s="389"/>
      <c r="N428" s="389"/>
      <c r="O428" s="389"/>
      <c r="P428" s="389"/>
      <c r="Q428" s="389"/>
      <c r="R428" s="389"/>
      <c r="S428" s="389"/>
      <c r="T428" s="389"/>
      <c r="U428" s="389"/>
      <c r="V428" s="389"/>
      <c r="W428" s="389"/>
      <c r="X428" s="389"/>
      <c r="Y428" s="389"/>
      <c r="Z428" s="389"/>
      <c r="AA428" s="389"/>
    </row>
    <row r="429">
      <c r="A429" s="389"/>
      <c r="B429" s="389"/>
      <c r="C429" s="389"/>
      <c r="D429" s="389"/>
      <c r="E429" s="389"/>
      <c r="F429" s="389"/>
      <c r="G429" s="389"/>
      <c r="H429" s="389"/>
      <c r="I429" s="389"/>
      <c r="J429" s="389"/>
      <c r="K429" s="389"/>
      <c r="L429" s="389"/>
      <c r="M429" s="389"/>
      <c r="N429" s="389"/>
      <c r="O429" s="389"/>
      <c r="P429" s="389"/>
      <c r="Q429" s="389"/>
      <c r="R429" s="389"/>
      <c r="S429" s="389"/>
      <c r="T429" s="389"/>
      <c r="U429" s="389"/>
      <c r="V429" s="389"/>
      <c r="W429" s="389"/>
      <c r="X429" s="389"/>
      <c r="Y429" s="389"/>
      <c r="Z429" s="389"/>
      <c r="AA429" s="389"/>
    </row>
    <row r="430">
      <c r="A430" s="389"/>
      <c r="B430" s="389"/>
      <c r="C430" s="389"/>
      <c r="D430" s="389"/>
      <c r="E430" s="389"/>
      <c r="F430" s="389"/>
      <c r="G430" s="389"/>
      <c r="H430" s="389"/>
      <c r="I430" s="389"/>
      <c r="J430" s="389"/>
      <c r="K430" s="389"/>
      <c r="L430" s="389"/>
      <c r="M430" s="389"/>
      <c r="N430" s="389"/>
      <c r="O430" s="389"/>
      <c r="P430" s="389"/>
      <c r="Q430" s="389"/>
      <c r="R430" s="389"/>
      <c r="S430" s="389"/>
      <c r="T430" s="389"/>
      <c r="U430" s="389"/>
      <c r="V430" s="389"/>
      <c r="W430" s="389"/>
      <c r="X430" s="389"/>
      <c r="Y430" s="389"/>
      <c r="Z430" s="389"/>
      <c r="AA430" s="389"/>
    </row>
    <row r="431">
      <c r="A431" s="389"/>
      <c r="B431" s="389"/>
      <c r="C431" s="389"/>
      <c r="D431" s="389"/>
      <c r="E431" s="389"/>
      <c r="F431" s="389"/>
      <c r="G431" s="389"/>
      <c r="H431" s="389"/>
      <c r="I431" s="389"/>
      <c r="J431" s="389"/>
      <c r="K431" s="389"/>
      <c r="L431" s="389"/>
      <c r="M431" s="389"/>
      <c r="N431" s="389"/>
      <c r="O431" s="389"/>
      <c r="P431" s="389"/>
      <c r="Q431" s="389"/>
      <c r="R431" s="389"/>
      <c r="S431" s="389"/>
      <c r="T431" s="389"/>
      <c r="U431" s="389"/>
      <c r="V431" s="389"/>
      <c r="W431" s="389"/>
      <c r="X431" s="389"/>
      <c r="Y431" s="389"/>
      <c r="Z431" s="389"/>
      <c r="AA431" s="389"/>
    </row>
    <row r="432">
      <c r="A432" s="389"/>
      <c r="B432" s="389"/>
      <c r="C432" s="389"/>
      <c r="D432" s="389"/>
      <c r="E432" s="389"/>
      <c r="F432" s="389"/>
      <c r="G432" s="389"/>
      <c r="H432" s="389"/>
      <c r="I432" s="389"/>
      <c r="J432" s="389"/>
      <c r="K432" s="389"/>
      <c r="L432" s="389"/>
      <c r="M432" s="389"/>
      <c r="N432" s="389"/>
      <c r="O432" s="389"/>
      <c r="P432" s="389"/>
      <c r="Q432" s="389"/>
      <c r="R432" s="389"/>
      <c r="S432" s="389"/>
      <c r="T432" s="389"/>
      <c r="U432" s="389"/>
      <c r="V432" s="389"/>
      <c r="W432" s="389"/>
      <c r="X432" s="389"/>
      <c r="Y432" s="389"/>
      <c r="Z432" s="389"/>
      <c r="AA432" s="389"/>
    </row>
    <row r="433">
      <c r="A433" s="389"/>
      <c r="B433" s="389"/>
      <c r="C433" s="389"/>
      <c r="D433" s="389"/>
      <c r="E433" s="389"/>
      <c r="F433" s="389"/>
      <c r="G433" s="389"/>
      <c r="H433" s="389"/>
      <c r="I433" s="389"/>
      <c r="J433" s="389"/>
      <c r="K433" s="389"/>
      <c r="L433" s="389"/>
      <c r="M433" s="389"/>
      <c r="N433" s="389"/>
      <c r="O433" s="389"/>
      <c r="P433" s="389"/>
      <c r="Q433" s="389"/>
      <c r="R433" s="389"/>
      <c r="S433" s="389"/>
      <c r="T433" s="389"/>
      <c r="U433" s="389"/>
      <c r="V433" s="389"/>
      <c r="W433" s="389"/>
      <c r="X433" s="389"/>
      <c r="Y433" s="389"/>
      <c r="Z433" s="389"/>
      <c r="AA433" s="389"/>
    </row>
    <row r="434">
      <c r="A434" s="389"/>
      <c r="B434" s="389"/>
      <c r="C434" s="389"/>
      <c r="D434" s="389"/>
      <c r="E434" s="389"/>
      <c r="F434" s="389"/>
      <c r="G434" s="389"/>
      <c r="H434" s="389"/>
      <c r="I434" s="389"/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389"/>
      <c r="X434" s="389"/>
      <c r="Y434" s="389"/>
      <c r="Z434" s="389"/>
      <c r="AA434" s="389"/>
    </row>
    <row r="435">
      <c r="A435" s="389"/>
      <c r="B435" s="389"/>
      <c r="C435" s="389"/>
      <c r="D435" s="389"/>
      <c r="E435" s="389"/>
      <c r="F435" s="389"/>
      <c r="G435" s="389"/>
      <c r="H435" s="389"/>
      <c r="I435" s="389"/>
      <c r="J435" s="389"/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389"/>
      <c r="V435" s="389"/>
      <c r="W435" s="389"/>
      <c r="X435" s="389"/>
      <c r="Y435" s="389"/>
      <c r="Z435" s="389"/>
      <c r="AA435" s="389"/>
    </row>
    <row r="436">
      <c r="A436" s="389"/>
      <c r="B436" s="389"/>
      <c r="C436" s="389"/>
      <c r="D436" s="389"/>
      <c r="E436" s="389"/>
      <c r="F436" s="389"/>
      <c r="G436" s="389"/>
      <c r="H436" s="389"/>
      <c r="I436" s="389"/>
      <c r="J436" s="389"/>
      <c r="K436" s="389"/>
      <c r="L436" s="389"/>
      <c r="M436" s="389"/>
      <c r="N436" s="389"/>
      <c r="O436" s="389"/>
      <c r="P436" s="389"/>
      <c r="Q436" s="389"/>
      <c r="R436" s="389"/>
      <c r="S436" s="389"/>
      <c r="T436" s="389"/>
      <c r="U436" s="389"/>
      <c r="V436" s="389"/>
      <c r="W436" s="389"/>
      <c r="X436" s="389"/>
      <c r="Y436" s="389"/>
      <c r="Z436" s="389"/>
      <c r="AA436" s="389"/>
    </row>
    <row r="437">
      <c r="A437" s="389"/>
      <c r="B437" s="389"/>
      <c r="C437" s="389"/>
      <c r="D437" s="389"/>
      <c r="E437" s="389"/>
      <c r="F437" s="389"/>
      <c r="G437" s="389"/>
      <c r="H437" s="389"/>
      <c r="I437" s="389"/>
      <c r="J437" s="389"/>
      <c r="K437" s="389"/>
      <c r="L437" s="389"/>
      <c r="M437" s="389"/>
      <c r="N437" s="389"/>
      <c r="O437" s="389"/>
      <c r="P437" s="389"/>
      <c r="Q437" s="389"/>
      <c r="R437" s="389"/>
      <c r="S437" s="389"/>
      <c r="T437" s="389"/>
      <c r="U437" s="389"/>
      <c r="V437" s="389"/>
      <c r="W437" s="389"/>
      <c r="X437" s="389"/>
      <c r="Y437" s="389"/>
      <c r="Z437" s="389"/>
      <c r="AA437" s="389"/>
    </row>
    <row r="438">
      <c r="A438" s="389"/>
      <c r="B438" s="389"/>
      <c r="C438" s="389"/>
      <c r="D438" s="389"/>
      <c r="E438" s="389"/>
      <c r="F438" s="389"/>
      <c r="G438" s="389"/>
      <c r="H438" s="389"/>
      <c r="I438" s="389"/>
      <c r="J438" s="389"/>
      <c r="K438" s="389"/>
      <c r="L438" s="389"/>
      <c r="M438" s="389"/>
      <c r="N438" s="389"/>
      <c r="O438" s="389"/>
      <c r="P438" s="389"/>
      <c r="Q438" s="389"/>
      <c r="R438" s="389"/>
      <c r="S438" s="389"/>
      <c r="T438" s="389"/>
      <c r="U438" s="389"/>
      <c r="V438" s="389"/>
      <c r="W438" s="389"/>
      <c r="X438" s="389"/>
      <c r="Y438" s="389"/>
      <c r="Z438" s="389"/>
      <c r="AA438" s="389"/>
    </row>
    <row r="439">
      <c r="A439" s="389"/>
      <c r="B439" s="389"/>
      <c r="C439" s="389"/>
      <c r="D439" s="389"/>
      <c r="E439" s="389"/>
      <c r="F439" s="389"/>
      <c r="G439" s="389"/>
      <c r="H439" s="389"/>
      <c r="I439" s="389"/>
      <c r="J439" s="389"/>
      <c r="K439" s="389"/>
      <c r="L439" s="389"/>
      <c r="M439" s="389"/>
      <c r="N439" s="389"/>
      <c r="O439" s="389"/>
      <c r="P439" s="389"/>
      <c r="Q439" s="389"/>
      <c r="R439" s="389"/>
      <c r="S439" s="389"/>
      <c r="T439" s="389"/>
      <c r="U439" s="389"/>
      <c r="V439" s="389"/>
      <c r="W439" s="389"/>
      <c r="X439" s="389"/>
      <c r="Y439" s="389"/>
      <c r="Z439" s="389"/>
      <c r="AA439" s="389"/>
    </row>
    <row r="440">
      <c r="A440" s="389"/>
      <c r="B440" s="389"/>
      <c r="C440" s="389"/>
      <c r="D440" s="389"/>
      <c r="E440" s="389"/>
      <c r="F440" s="389"/>
      <c r="G440" s="389"/>
      <c r="H440" s="389"/>
      <c r="I440" s="389"/>
      <c r="J440" s="389"/>
      <c r="K440" s="389"/>
      <c r="L440" s="389"/>
      <c r="M440" s="389"/>
      <c r="N440" s="389"/>
      <c r="O440" s="389"/>
      <c r="P440" s="389"/>
      <c r="Q440" s="389"/>
      <c r="R440" s="389"/>
      <c r="S440" s="389"/>
      <c r="T440" s="389"/>
      <c r="U440" s="389"/>
      <c r="V440" s="389"/>
      <c r="W440" s="389"/>
      <c r="X440" s="389"/>
      <c r="Y440" s="389"/>
      <c r="Z440" s="389"/>
      <c r="AA440" s="389"/>
    </row>
    <row r="441">
      <c r="A441" s="389"/>
      <c r="B441" s="389"/>
      <c r="C441" s="389"/>
      <c r="D441" s="389"/>
      <c r="E441" s="389"/>
      <c r="F441" s="389"/>
      <c r="G441" s="389"/>
      <c r="H441" s="389"/>
      <c r="I441" s="389"/>
      <c r="J441" s="389"/>
      <c r="K441" s="389"/>
      <c r="L441" s="389"/>
      <c r="M441" s="389"/>
      <c r="N441" s="389"/>
      <c r="O441" s="389"/>
      <c r="P441" s="389"/>
      <c r="Q441" s="389"/>
      <c r="R441" s="389"/>
      <c r="S441" s="389"/>
      <c r="T441" s="389"/>
      <c r="U441" s="389"/>
      <c r="V441" s="389"/>
      <c r="W441" s="389"/>
      <c r="X441" s="389"/>
      <c r="Y441" s="389"/>
      <c r="Z441" s="389"/>
      <c r="AA441" s="389"/>
    </row>
    <row r="442">
      <c r="A442" s="389"/>
      <c r="B442" s="389"/>
      <c r="C442" s="389"/>
      <c r="D442" s="389"/>
      <c r="E442" s="389"/>
      <c r="F442" s="389"/>
      <c r="G442" s="389"/>
      <c r="H442" s="389"/>
      <c r="I442" s="389"/>
      <c r="J442" s="389"/>
      <c r="K442" s="389"/>
      <c r="L442" s="389"/>
      <c r="M442" s="389"/>
      <c r="N442" s="389"/>
      <c r="O442" s="389"/>
      <c r="P442" s="389"/>
      <c r="Q442" s="389"/>
      <c r="R442" s="389"/>
      <c r="S442" s="389"/>
      <c r="T442" s="389"/>
      <c r="U442" s="389"/>
      <c r="V442" s="389"/>
      <c r="W442" s="389"/>
      <c r="X442" s="389"/>
      <c r="Y442" s="389"/>
      <c r="Z442" s="389"/>
      <c r="AA442" s="389"/>
    </row>
    <row r="443">
      <c r="A443" s="389"/>
      <c r="B443" s="389"/>
      <c r="C443" s="389"/>
      <c r="D443" s="389"/>
      <c r="E443" s="389"/>
      <c r="F443" s="389"/>
      <c r="G443" s="389"/>
      <c r="H443" s="389"/>
      <c r="I443" s="389"/>
      <c r="J443" s="389"/>
      <c r="K443" s="389"/>
      <c r="L443" s="389"/>
      <c r="M443" s="389"/>
      <c r="N443" s="389"/>
      <c r="O443" s="389"/>
      <c r="P443" s="389"/>
      <c r="Q443" s="389"/>
      <c r="R443" s="389"/>
      <c r="S443" s="389"/>
      <c r="T443" s="389"/>
      <c r="U443" s="389"/>
      <c r="V443" s="389"/>
      <c r="W443" s="389"/>
      <c r="X443" s="389"/>
      <c r="Y443" s="389"/>
      <c r="Z443" s="389"/>
      <c r="AA443" s="389"/>
    </row>
    <row r="444">
      <c r="A444" s="389"/>
      <c r="B444" s="389"/>
      <c r="C444" s="389"/>
      <c r="D444" s="389"/>
      <c r="E444" s="389"/>
      <c r="F444" s="389"/>
      <c r="G444" s="389"/>
      <c r="H444" s="389"/>
      <c r="I444" s="389"/>
      <c r="J444" s="389"/>
      <c r="K444" s="389"/>
      <c r="L444" s="389"/>
      <c r="M444" s="389"/>
      <c r="N444" s="389"/>
      <c r="O444" s="389"/>
      <c r="P444" s="389"/>
      <c r="Q444" s="389"/>
      <c r="R444" s="389"/>
      <c r="S444" s="389"/>
      <c r="T444" s="389"/>
      <c r="U444" s="389"/>
      <c r="V444" s="389"/>
      <c r="W444" s="389"/>
      <c r="X444" s="389"/>
      <c r="Y444" s="389"/>
      <c r="Z444" s="389"/>
      <c r="AA444" s="389"/>
    </row>
    <row r="445">
      <c r="A445" s="389"/>
      <c r="B445" s="389"/>
      <c r="C445" s="389"/>
      <c r="D445" s="389"/>
      <c r="E445" s="389"/>
      <c r="F445" s="389"/>
      <c r="G445" s="389"/>
      <c r="H445" s="389"/>
      <c r="I445" s="389"/>
      <c r="J445" s="389"/>
      <c r="K445" s="389"/>
      <c r="L445" s="389"/>
      <c r="M445" s="389"/>
      <c r="N445" s="389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  <c r="AA445" s="389"/>
    </row>
    <row r="446">
      <c r="A446" s="389"/>
      <c r="B446" s="389"/>
      <c r="C446" s="389"/>
      <c r="D446" s="389"/>
      <c r="E446" s="389"/>
      <c r="F446" s="389"/>
      <c r="G446" s="389"/>
      <c r="H446" s="389"/>
      <c r="I446" s="389"/>
      <c r="J446" s="389"/>
      <c r="K446" s="389"/>
      <c r="L446" s="389"/>
      <c r="M446" s="389"/>
      <c r="N446" s="389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  <c r="AA446" s="389"/>
    </row>
    <row r="447">
      <c r="A447" s="389"/>
      <c r="B447" s="389"/>
      <c r="C447" s="389"/>
      <c r="D447" s="389"/>
      <c r="E447" s="389"/>
      <c r="F447" s="389"/>
      <c r="G447" s="389"/>
      <c r="H447" s="389"/>
      <c r="I447" s="389"/>
      <c r="J447" s="389"/>
      <c r="K447" s="389"/>
      <c r="L447" s="389"/>
      <c r="M447" s="389"/>
      <c r="N447" s="389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  <c r="AA447" s="389"/>
    </row>
    <row r="448">
      <c r="A448" s="389"/>
      <c r="B448" s="389"/>
      <c r="C448" s="389"/>
      <c r="D448" s="389"/>
      <c r="E448" s="389"/>
      <c r="F448" s="389"/>
      <c r="G448" s="389"/>
      <c r="H448" s="389"/>
      <c r="I448" s="389"/>
      <c r="J448" s="389"/>
      <c r="K448" s="389"/>
      <c r="L448" s="389"/>
      <c r="M448" s="389"/>
      <c r="N448" s="389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  <c r="AA448" s="389"/>
    </row>
    <row r="449">
      <c r="A449" s="389"/>
      <c r="B449" s="389"/>
      <c r="C449" s="389"/>
      <c r="D449" s="389"/>
      <c r="E449" s="389"/>
      <c r="F449" s="389"/>
      <c r="G449" s="389"/>
      <c r="H449" s="389"/>
      <c r="I449" s="389"/>
      <c r="J449" s="389"/>
      <c r="K449" s="389"/>
      <c r="L449" s="389"/>
      <c r="M449" s="389"/>
      <c r="N449" s="389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  <c r="AA449" s="389"/>
    </row>
    <row r="450">
      <c r="A450" s="389"/>
      <c r="B450" s="389"/>
      <c r="C450" s="389"/>
      <c r="D450" s="389"/>
      <c r="E450" s="389"/>
      <c r="F450" s="389"/>
      <c r="G450" s="389"/>
      <c r="H450" s="389"/>
      <c r="I450" s="389"/>
      <c r="J450" s="389"/>
      <c r="K450" s="389"/>
      <c r="L450" s="389"/>
      <c r="M450" s="389"/>
      <c r="N450" s="389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  <c r="AA450" s="389"/>
    </row>
    <row r="451">
      <c r="A451" s="389"/>
      <c r="B451" s="389"/>
      <c r="C451" s="389"/>
      <c r="D451" s="389"/>
      <c r="E451" s="389"/>
      <c r="F451" s="389"/>
      <c r="G451" s="389"/>
      <c r="H451" s="389"/>
      <c r="I451" s="389"/>
      <c r="J451" s="389"/>
      <c r="K451" s="389"/>
      <c r="L451" s="389"/>
      <c r="M451" s="389"/>
      <c r="N451" s="389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  <c r="AA451" s="389"/>
    </row>
    <row r="452">
      <c r="A452" s="389"/>
      <c r="B452" s="389"/>
      <c r="C452" s="389"/>
      <c r="D452" s="389"/>
      <c r="E452" s="389"/>
      <c r="F452" s="389"/>
      <c r="G452" s="389"/>
      <c r="H452" s="389"/>
      <c r="I452" s="389"/>
      <c r="J452" s="389"/>
      <c r="K452" s="389"/>
      <c r="L452" s="389"/>
      <c r="M452" s="389"/>
      <c r="N452" s="389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  <c r="AA452" s="389"/>
    </row>
    <row r="453">
      <c r="A453" s="389"/>
      <c r="B453" s="389"/>
      <c r="C453" s="389"/>
      <c r="D453" s="389"/>
      <c r="E453" s="389"/>
      <c r="F453" s="389"/>
      <c r="G453" s="389"/>
      <c r="H453" s="389"/>
      <c r="I453" s="389"/>
      <c r="J453" s="389"/>
      <c r="K453" s="389"/>
      <c r="L453" s="389"/>
      <c r="M453" s="389"/>
      <c r="N453" s="389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  <c r="AA453" s="389"/>
    </row>
    <row r="454">
      <c r="A454" s="389"/>
      <c r="B454" s="389"/>
      <c r="C454" s="389"/>
      <c r="D454" s="389"/>
      <c r="E454" s="389"/>
      <c r="F454" s="389"/>
      <c r="G454" s="389"/>
      <c r="H454" s="389"/>
      <c r="I454" s="389"/>
      <c r="J454" s="389"/>
      <c r="K454" s="389"/>
      <c r="L454" s="389"/>
      <c r="M454" s="389"/>
      <c r="N454" s="389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  <c r="AA454" s="389"/>
    </row>
    <row r="455">
      <c r="A455" s="389"/>
      <c r="B455" s="389"/>
      <c r="C455" s="389"/>
      <c r="D455" s="389"/>
      <c r="E455" s="389"/>
      <c r="F455" s="389"/>
      <c r="G455" s="389"/>
      <c r="H455" s="389"/>
      <c r="I455" s="389"/>
      <c r="J455" s="389"/>
      <c r="K455" s="389"/>
      <c r="L455" s="389"/>
      <c r="M455" s="389"/>
      <c r="N455" s="389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  <c r="AA455" s="389"/>
    </row>
    <row r="456">
      <c r="A456" s="389"/>
      <c r="B456" s="389"/>
      <c r="C456" s="389"/>
      <c r="D456" s="389"/>
      <c r="E456" s="389"/>
      <c r="F456" s="389"/>
      <c r="G456" s="389"/>
      <c r="H456" s="389"/>
      <c r="I456" s="389"/>
      <c r="J456" s="389"/>
      <c r="K456" s="389"/>
      <c r="L456" s="389"/>
      <c r="M456" s="389"/>
      <c r="N456" s="389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  <c r="AA456" s="389"/>
    </row>
    <row r="457">
      <c r="A457" s="389"/>
      <c r="B457" s="389"/>
      <c r="C457" s="389"/>
      <c r="D457" s="389"/>
      <c r="E457" s="389"/>
      <c r="F457" s="389"/>
      <c r="G457" s="389"/>
      <c r="H457" s="389"/>
      <c r="I457" s="389"/>
      <c r="J457" s="389"/>
      <c r="K457" s="389"/>
      <c r="L457" s="389"/>
      <c r="M457" s="389"/>
      <c r="N457" s="389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  <c r="AA457" s="389"/>
    </row>
    <row r="458">
      <c r="A458" s="389"/>
      <c r="B458" s="389"/>
      <c r="C458" s="389"/>
      <c r="D458" s="389"/>
      <c r="E458" s="389"/>
      <c r="F458" s="389"/>
      <c r="G458" s="389"/>
      <c r="H458" s="389"/>
      <c r="I458" s="389"/>
      <c r="J458" s="389"/>
      <c r="K458" s="389"/>
      <c r="L458" s="389"/>
      <c r="M458" s="389"/>
      <c r="N458" s="389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  <c r="AA458" s="389"/>
    </row>
    <row r="459">
      <c r="A459" s="389"/>
      <c r="B459" s="389"/>
      <c r="C459" s="389"/>
      <c r="D459" s="389"/>
      <c r="E459" s="389"/>
      <c r="F459" s="389"/>
      <c r="G459" s="389"/>
      <c r="H459" s="389"/>
      <c r="I459" s="389"/>
      <c r="J459" s="389"/>
      <c r="K459" s="389"/>
      <c r="L459" s="389"/>
      <c r="M459" s="389"/>
      <c r="N459" s="389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  <c r="AA459" s="389"/>
    </row>
    <row r="460">
      <c r="A460" s="389"/>
      <c r="B460" s="389"/>
      <c r="C460" s="389"/>
      <c r="D460" s="389"/>
      <c r="E460" s="389"/>
      <c r="F460" s="389"/>
      <c r="G460" s="389"/>
      <c r="H460" s="389"/>
      <c r="I460" s="389"/>
      <c r="J460" s="389"/>
      <c r="K460" s="389"/>
      <c r="L460" s="389"/>
      <c r="M460" s="389"/>
      <c r="N460" s="389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  <c r="AA460" s="389"/>
    </row>
    <row r="461">
      <c r="A461" s="389"/>
      <c r="B461" s="389"/>
      <c r="C461" s="389"/>
      <c r="D461" s="389"/>
      <c r="E461" s="389"/>
      <c r="F461" s="389"/>
      <c r="G461" s="389"/>
      <c r="H461" s="389"/>
      <c r="I461" s="389"/>
      <c r="J461" s="389"/>
      <c r="K461" s="389"/>
      <c r="L461" s="389"/>
      <c r="M461" s="389"/>
      <c r="N461" s="389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  <c r="AA461" s="389"/>
    </row>
    <row r="462">
      <c r="A462" s="389"/>
      <c r="B462" s="389"/>
      <c r="C462" s="389"/>
      <c r="D462" s="389"/>
      <c r="E462" s="389"/>
      <c r="F462" s="389"/>
      <c r="G462" s="389"/>
      <c r="H462" s="389"/>
      <c r="I462" s="389"/>
      <c r="J462" s="389"/>
      <c r="K462" s="389"/>
      <c r="L462" s="389"/>
      <c r="M462" s="389"/>
      <c r="N462" s="389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  <c r="AA462" s="389"/>
    </row>
    <row r="463">
      <c r="A463" s="389"/>
      <c r="B463" s="389"/>
      <c r="C463" s="389"/>
      <c r="D463" s="389"/>
      <c r="E463" s="389"/>
      <c r="F463" s="389"/>
      <c r="G463" s="389"/>
      <c r="H463" s="389"/>
      <c r="I463" s="389"/>
      <c r="J463" s="389"/>
      <c r="K463" s="389"/>
      <c r="L463" s="389"/>
      <c r="M463" s="389"/>
      <c r="N463" s="389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  <c r="AA463" s="389"/>
    </row>
    <row r="464">
      <c r="A464" s="389"/>
      <c r="B464" s="389"/>
      <c r="C464" s="389"/>
      <c r="D464" s="389"/>
      <c r="E464" s="389"/>
      <c r="F464" s="389"/>
      <c r="G464" s="389"/>
      <c r="H464" s="389"/>
      <c r="I464" s="389"/>
      <c r="J464" s="389"/>
      <c r="K464" s="389"/>
      <c r="L464" s="389"/>
      <c r="M464" s="389"/>
      <c r="N464" s="389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  <c r="AA464" s="389"/>
    </row>
    <row r="465">
      <c r="A465" s="389"/>
      <c r="B465" s="389"/>
      <c r="C465" s="389"/>
      <c r="D465" s="389"/>
      <c r="E465" s="389"/>
      <c r="F465" s="389"/>
      <c r="G465" s="389"/>
      <c r="H465" s="389"/>
      <c r="I465" s="389"/>
      <c r="J465" s="389"/>
      <c r="K465" s="389"/>
      <c r="L465" s="389"/>
      <c r="M465" s="389"/>
      <c r="N465" s="389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  <c r="AA465" s="389"/>
    </row>
    <row r="466">
      <c r="A466" s="389"/>
      <c r="B466" s="389"/>
      <c r="C466" s="389"/>
      <c r="D466" s="389"/>
      <c r="E466" s="389"/>
      <c r="F466" s="389"/>
      <c r="G466" s="389"/>
      <c r="H466" s="389"/>
      <c r="I466" s="389"/>
      <c r="J466" s="389"/>
      <c r="K466" s="389"/>
      <c r="L466" s="389"/>
      <c r="M466" s="389"/>
      <c r="N466" s="389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  <c r="AA466" s="389"/>
    </row>
    <row r="467">
      <c r="A467" s="389"/>
      <c r="B467" s="389"/>
      <c r="C467" s="389"/>
      <c r="D467" s="389"/>
      <c r="E467" s="389"/>
      <c r="F467" s="389"/>
      <c r="G467" s="389"/>
      <c r="H467" s="389"/>
      <c r="I467" s="389"/>
      <c r="J467" s="389"/>
      <c r="K467" s="389"/>
      <c r="L467" s="389"/>
      <c r="M467" s="389"/>
      <c r="N467" s="389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  <c r="AA467" s="389"/>
    </row>
    <row r="468">
      <c r="A468" s="389"/>
      <c r="B468" s="389"/>
      <c r="C468" s="389"/>
      <c r="D468" s="389"/>
      <c r="E468" s="389"/>
      <c r="F468" s="389"/>
      <c r="G468" s="389"/>
      <c r="H468" s="389"/>
      <c r="I468" s="389"/>
      <c r="J468" s="389"/>
      <c r="K468" s="389"/>
      <c r="L468" s="389"/>
      <c r="M468" s="389"/>
      <c r="N468" s="389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  <c r="AA468" s="389"/>
    </row>
    <row r="469">
      <c r="A469" s="389"/>
      <c r="B469" s="389"/>
      <c r="C469" s="389"/>
      <c r="D469" s="389"/>
      <c r="E469" s="389"/>
      <c r="F469" s="389"/>
      <c r="G469" s="389"/>
      <c r="H469" s="389"/>
      <c r="I469" s="389"/>
      <c r="J469" s="389"/>
      <c r="K469" s="389"/>
      <c r="L469" s="389"/>
      <c r="M469" s="389"/>
      <c r="N469" s="389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  <c r="AA469" s="389"/>
    </row>
    <row r="470">
      <c r="A470" s="389"/>
      <c r="B470" s="389"/>
      <c r="C470" s="389"/>
      <c r="D470" s="389"/>
      <c r="E470" s="389"/>
      <c r="F470" s="389"/>
      <c r="G470" s="389"/>
      <c r="H470" s="389"/>
      <c r="I470" s="389"/>
      <c r="J470" s="389"/>
      <c r="K470" s="389"/>
      <c r="L470" s="389"/>
      <c r="M470" s="389"/>
      <c r="N470" s="389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  <c r="AA470" s="389"/>
    </row>
    <row r="471">
      <c r="A471" s="389"/>
      <c r="B471" s="389"/>
      <c r="C471" s="389"/>
      <c r="D471" s="389"/>
      <c r="E471" s="389"/>
      <c r="F471" s="389"/>
      <c r="G471" s="389"/>
      <c r="H471" s="389"/>
      <c r="I471" s="389"/>
      <c r="J471" s="389"/>
      <c r="K471" s="389"/>
      <c r="L471" s="389"/>
      <c r="M471" s="389"/>
      <c r="N471" s="389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  <c r="AA471" s="389"/>
    </row>
    <row r="472">
      <c r="A472" s="389"/>
      <c r="B472" s="389"/>
      <c r="C472" s="389"/>
      <c r="D472" s="389"/>
      <c r="E472" s="389"/>
      <c r="F472" s="389"/>
      <c r="G472" s="389"/>
      <c r="H472" s="389"/>
      <c r="I472" s="389"/>
      <c r="J472" s="389"/>
      <c r="K472" s="389"/>
      <c r="L472" s="389"/>
      <c r="M472" s="389"/>
      <c r="N472" s="389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  <c r="AA472" s="389"/>
    </row>
    <row r="473">
      <c r="A473" s="389"/>
      <c r="B473" s="389"/>
      <c r="C473" s="389"/>
      <c r="D473" s="389"/>
      <c r="E473" s="389"/>
      <c r="F473" s="389"/>
      <c r="G473" s="389"/>
      <c r="H473" s="389"/>
      <c r="I473" s="389"/>
      <c r="J473" s="389"/>
      <c r="K473" s="389"/>
      <c r="L473" s="389"/>
      <c r="M473" s="389"/>
      <c r="N473" s="389"/>
      <c r="O473" s="389"/>
      <c r="P473" s="389"/>
      <c r="Q473" s="389"/>
      <c r="R473" s="389"/>
      <c r="S473" s="389"/>
      <c r="T473" s="389"/>
      <c r="U473" s="389"/>
      <c r="V473" s="389"/>
      <c r="W473" s="389"/>
      <c r="X473" s="389"/>
      <c r="Y473" s="389"/>
      <c r="Z473" s="389"/>
      <c r="AA473" s="389"/>
    </row>
    <row r="474">
      <c r="A474" s="389"/>
      <c r="B474" s="389"/>
      <c r="C474" s="389"/>
      <c r="D474" s="389"/>
      <c r="E474" s="389"/>
      <c r="F474" s="389"/>
      <c r="G474" s="389"/>
      <c r="H474" s="389"/>
      <c r="I474" s="389"/>
      <c r="J474" s="389"/>
      <c r="K474" s="389"/>
      <c r="L474" s="389"/>
      <c r="M474" s="389"/>
      <c r="N474" s="389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  <c r="AA474" s="389"/>
    </row>
    <row r="475">
      <c r="A475" s="389"/>
      <c r="B475" s="389"/>
      <c r="C475" s="389"/>
      <c r="D475" s="389"/>
      <c r="E475" s="389"/>
      <c r="F475" s="389"/>
      <c r="G475" s="389"/>
      <c r="H475" s="389"/>
      <c r="I475" s="389"/>
      <c r="J475" s="389"/>
      <c r="K475" s="389"/>
      <c r="L475" s="389"/>
      <c r="M475" s="389"/>
      <c r="N475" s="389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  <c r="AA475" s="389"/>
    </row>
    <row r="476">
      <c r="A476" s="389"/>
      <c r="B476" s="389"/>
      <c r="C476" s="389"/>
      <c r="D476" s="389"/>
      <c r="E476" s="389"/>
      <c r="F476" s="389"/>
      <c r="G476" s="389"/>
      <c r="H476" s="389"/>
      <c r="I476" s="389"/>
      <c r="J476" s="389"/>
      <c r="K476" s="389"/>
      <c r="L476" s="389"/>
      <c r="M476" s="389"/>
      <c r="N476" s="389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  <c r="AA476" s="389"/>
    </row>
    <row r="477">
      <c r="A477" s="389"/>
      <c r="B477" s="389"/>
      <c r="C477" s="389"/>
      <c r="D477" s="389"/>
      <c r="E477" s="389"/>
      <c r="F477" s="389"/>
      <c r="G477" s="389"/>
      <c r="H477" s="389"/>
      <c r="I477" s="389"/>
      <c r="J477" s="389"/>
      <c r="K477" s="389"/>
      <c r="L477" s="389"/>
      <c r="M477" s="389"/>
      <c r="N477" s="389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  <c r="AA477" s="389"/>
    </row>
    <row r="478">
      <c r="A478" s="389"/>
      <c r="B478" s="389"/>
      <c r="C478" s="389"/>
      <c r="D478" s="389"/>
      <c r="E478" s="389"/>
      <c r="F478" s="389"/>
      <c r="G478" s="389"/>
      <c r="H478" s="389"/>
      <c r="I478" s="389"/>
      <c r="J478" s="389"/>
      <c r="K478" s="389"/>
      <c r="L478" s="389"/>
      <c r="M478" s="389"/>
      <c r="N478" s="389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  <c r="AA478" s="389"/>
    </row>
    <row r="479">
      <c r="A479" s="389"/>
      <c r="B479" s="389"/>
      <c r="C479" s="389"/>
      <c r="D479" s="389"/>
      <c r="E479" s="389"/>
      <c r="F479" s="389"/>
      <c r="G479" s="389"/>
      <c r="H479" s="389"/>
      <c r="I479" s="389"/>
      <c r="J479" s="389"/>
      <c r="K479" s="389"/>
      <c r="L479" s="389"/>
      <c r="M479" s="389"/>
      <c r="N479" s="389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  <c r="AA479" s="389"/>
    </row>
    <row r="480">
      <c r="A480" s="389"/>
      <c r="B480" s="389"/>
      <c r="C480" s="389"/>
      <c r="D480" s="389"/>
      <c r="E480" s="389"/>
      <c r="F480" s="389"/>
      <c r="G480" s="389"/>
      <c r="H480" s="389"/>
      <c r="I480" s="389"/>
      <c r="J480" s="389"/>
      <c r="K480" s="389"/>
      <c r="L480" s="389"/>
      <c r="M480" s="389"/>
      <c r="N480" s="389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  <c r="AA480" s="389"/>
    </row>
    <row r="481">
      <c r="A481" s="389"/>
      <c r="B481" s="389"/>
      <c r="C481" s="389"/>
      <c r="D481" s="389"/>
      <c r="E481" s="389"/>
      <c r="F481" s="389"/>
      <c r="G481" s="389"/>
      <c r="H481" s="389"/>
      <c r="I481" s="389"/>
      <c r="J481" s="389"/>
      <c r="K481" s="389"/>
      <c r="L481" s="389"/>
      <c r="M481" s="389"/>
      <c r="N481" s="389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  <c r="AA481" s="389"/>
    </row>
    <row r="482">
      <c r="A482" s="389"/>
      <c r="B482" s="389"/>
      <c r="C482" s="389"/>
      <c r="D482" s="389"/>
      <c r="E482" s="389"/>
      <c r="F482" s="389"/>
      <c r="G482" s="389"/>
      <c r="H482" s="389"/>
      <c r="I482" s="389"/>
      <c r="J482" s="389"/>
      <c r="K482" s="389"/>
      <c r="L482" s="389"/>
      <c r="M482" s="389"/>
      <c r="N482" s="389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  <c r="AA482" s="389"/>
    </row>
    <row r="483">
      <c r="A483" s="389"/>
      <c r="B483" s="389"/>
      <c r="C483" s="389"/>
      <c r="D483" s="389"/>
      <c r="E483" s="389"/>
      <c r="F483" s="389"/>
      <c r="G483" s="389"/>
      <c r="H483" s="389"/>
      <c r="I483" s="389"/>
      <c r="J483" s="389"/>
      <c r="K483" s="389"/>
      <c r="L483" s="389"/>
      <c r="M483" s="389"/>
      <c r="N483" s="389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  <c r="AA483" s="389"/>
    </row>
    <row r="484">
      <c r="A484" s="389"/>
      <c r="B484" s="389"/>
      <c r="C484" s="389"/>
      <c r="D484" s="389"/>
      <c r="E484" s="389"/>
      <c r="F484" s="389"/>
      <c r="G484" s="389"/>
      <c r="H484" s="389"/>
      <c r="I484" s="389"/>
      <c r="J484" s="389"/>
      <c r="K484" s="389"/>
      <c r="L484" s="389"/>
      <c r="M484" s="389"/>
      <c r="N484" s="389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  <c r="AA484" s="389"/>
    </row>
    <row r="485">
      <c r="A485" s="389"/>
      <c r="B485" s="389"/>
      <c r="C485" s="389"/>
      <c r="D485" s="389"/>
      <c r="E485" s="389"/>
      <c r="F485" s="389"/>
      <c r="G485" s="389"/>
      <c r="H485" s="389"/>
      <c r="I485" s="389"/>
      <c r="J485" s="389"/>
      <c r="K485" s="389"/>
      <c r="L485" s="389"/>
      <c r="M485" s="389"/>
      <c r="N485" s="389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  <c r="AA485" s="389"/>
    </row>
    <row r="486">
      <c r="A486" s="389"/>
      <c r="B486" s="389"/>
      <c r="C486" s="389"/>
      <c r="D486" s="389"/>
      <c r="E486" s="389"/>
      <c r="F486" s="389"/>
      <c r="G486" s="389"/>
      <c r="H486" s="389"/>
      <c r="I486" s="389"/>
      <c r="J486" s="389"/>
      <c r="K486" s="389"/>
      <c r="L486" s="389"/>
      <c r="M486" s="389"/>
      <c r="N486" s="389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  <c r="AA486" s="389"/>
    </row>
    <row r="487">
      <c r="A487" s="389"/>
      <c r="B487" s="389"/>
      <c r="C487" s="389"/>
      <c r="D487" s="389"/>
      <c r="E487" s="389"/>
      <c r="F487" s="389"/>
      <c r="G487" s="389"/>
      <c r="H487" s="389"/>
      <c r="I487" s="389"/>
      <c r="J487" s="389"/>
      <c r="K487" s="389"/>
      <c r="L487" s="389"/>
      <c r="M487" s="389"/>
      <c r="N487" s="389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  <c r="AA487" s="389"/>
    </row>
    <row r="488">
      <c r="A488" s="389"/>
      <c r="B488" s="389"/>
      <c r="C488" s="389"/>
      <c r="D488" s="389"/>
      <c r="E488" s="389"/>
      <c r="F488" s="389"/>
      <c r="G488" s="389"/>
      <c r="H488" s="389"/>
      <c r="I488" s="389"/>
      <c r="J488" s="389"/>
      <c r="K488" s="389"/>
      <c r="L488" s="389"/>
      <c r="M488" s="389"/>
      <c r="N488" s="389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  <c r="AA488" s="389"/>
    </row>
    <row r="489">
      <c r="A489" s="389"/>
      <c r="B489" s="389"/>
      <c r="C489" s="389"/>
      <c r="D489" s="389"/>
      <c r="E489" s="389"/>
      <c r="F489" s="389"/>
      <c r="G489" s="389"/>
      <c r="H489" s="389"/>
      <c r="I489" s="389"/>
      <c r="J489" s="389"/>
      <c r="K489" s="389"/>
      <c r="L489" s="389"/>
      <c r="M489" s="389"/>
      <c r="N489" s="389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  <c r="AA489" s="389"/>
    </row>
    <row r="490">
      <c r="A490" s="389"/>
      <c r="B490" s="389"/>
      <c r="C490" s="389"/>
      <c r="D490" s="389"/>
      <c r="E490" s="389"/>
      <c r="F490" s="389"/>
      <c r="G490" s="389"/>
      <c r="H490" s="389"/>
      <c r="I490" s="389"/>
      <c r="J490" s="389"/>
      <c r="K490" s="389"/>
      <c r="L490" s="389"/>
      <c r="M490" s="389"/>
      <c r="N490" s="389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  <c r="AA490" s="389"/>
    </row>
    <row r="491">
      <c r="A491" s="389"/>
      <c r="B491" s="389"/>
      <c r="C491" s="389"/>
      <c r="D491" s="389"/>
      <c r="E491" s="389"/>
      <c r="F491" s="389"/>
      <c r="G491" s="389"/>
      <c r="H491" s="389"/>
      <c r="I491" s="389"/>
      <c r="J491" s="389"/>
      <c r="K491" s="389"/>
      <c r="L491" s="389"/>
      <c r="M491" s="389"/>
      <c r="N491" s="389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  <c r="AA491" s="389"/>
    </row>
    <row r="492">
      <c r="A492" s="389"/>
      <c r="B492" s="389"/>
      <c r="C492" s="389"/>
      <c r="D492" s="389"/>
      <c r="E492" s="389"/>
      <c r="F492" s="389"/>
      <c r="G492" s="389"/>
      <c r="H492" s="389"/>
      <c r="I492" s="389"/>
      <c r="J492" s="389"/>
      <c r="K492" s="389"/>
      <c r="L492" s="389"/>
      <c r="M492" s="389"/>
      <c r="N492" s="389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  <c r="AA492" s="389"/>
    </row>
    <row r="493">
      <c r="A493" s="389"/>
      <c r="B493" s="389"/>
      <c r="C493" s="389"/>
      <c r="D493" s="389"/>
      <c r="E493" s="389"/>
      <c r="F493" s="389"/>
      <c r="G493" s="389"/>
      <c r="H493" s="389"/>
      <c r="I493" s="389"/>
      <c r="J493" s="389"/>
      <c r="K493" s="389"/>
      <c r="L493" s="389"/>
      <c r="M493" s="389"/>
      <c r="N493" s="389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  <c r="AA493" s="389"/>
    </row>
    <row r="494">
      <c r="A494" s="389"/>
      <c r="B494" s="389"/>
      <c r="C494" s="389"/>
      <c r="D494" s="389"/>
      <c r="E494" s="389"/>
      <c r="F494" s="389"/>
      <c r="G494" s="389"/>
      <c r="H494" s="389"/>
      <c r="I494" s="389"/>
      <c r="J494" s="389"/>
      <c r="K494" s="389"/>
      <c r="L494" s="389"/>
      <c r="M494" s="389"/>
      <c r="N494" s="389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  <c r="AA494" s="389"/>
    </row>
    <row r="495">
      <c r="A495" s="389"/>
      <c r="B495" s="389"/>
      <c r="C495" s="389"/>
      <c r="D495" s="389"/>
      <c r="E495" s="389"/>
      <c r="F495" s="389"/>
      <c r="G495" s="389"/>
      <c r="H495" s="389"/>
      <c r="I495" s="389"/>
      <c r="J495" s="389"/>
      <c r="K495" s="389"/>
      <c r="L495" s="389"/>
      <c r="M495" s="389"/>
      <c r="N495" s="389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  <c r="AA495" s="389"/>
    </row>
    <row r="496">
      <c r="A496" s="389"/>
      <c r="B496" s="389"/>
      <c r="C496" s="389"/>
      <c r="D496" s="389"/>
      <c r="E496" s="389"/>
      <c r="F496" s="389"/>
      <c r="G496" s="389"/>
      <c r="H496" s="389"/>
      <c r="I496" s="389"/>
      <c r="J496" s="389"/>
      <c r="K496" s="389"/>
      <c r="L496" s="389"/>
      <c r="M496" s="389"/>
      <c r="N496" s="389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  <c r="AA496" s="389"/>
    </row>
    <row r="497">
      <c r="A497" s="389"/>
      <c r="B497" s="389"/>
      <c r="C497" s="389"/>
      <c r="D497" s="389"/>
      <c r="E497" s="389"/>
      <c r="F497" s="389"/>
      <c r="G497" s="389"/>
      <c r="H497" s="389"/>
      <c r="I497" s="389"/>
      <c r="J497" s="389"/>
      <c r="K497" s="389"/>
      <c r="L497" s="389"/>
      <c r="M497" s="389"/>
      <c r="N497" s="389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  <c r="AA497" s="389"/>
    </row>
    <row r="498">
      <c r="A498" s="389"/>
      <c r="B498" s="389"/>
      <c r="C498" s="389"/>
      <c r="D498" s="389"/>
      <c r="E498" s="389"/>
      <c r="F498" s="389"/>
      <c r="G498" s="389"/>
      <c r="H498" s="389"/>
      <c r="I498" s="389"/>
      <c r="J498" s="389"/>
      <c r="K498" s="389"/>
      <c r="L498" s="389"/>
      <c r="M498" s="389"/>
      <c r="N498" s="389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  <c r="AA498" s="389"/>
    </row>
    <row r="499">
      <c r="A499" s="389"/>
      <c r="B499" s="389"/>
      <c r="C499" s="389"/>
      <c r="D499" s="389"/>
      <c r="E499" s="389"/>
      <c r="F499" s="389"/>
      <c r="G499" s="389"/>
      <c r="H499" s="389"/>
      <c r="I499" s="389"/>
      <c r="J499" s="389"/>
      <c r="K499" s="389"/>
      <c r="L499" s="389"/>
      <c r="M499" s="389"/>
      <c r="N499" s="389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  <c r="AA499" s="389"/>
    </row>
    <row r="500">
      <c r="A500" s="389"/>
      <c r="B500" s="389"/>
      <c r="C500" s="389"/>
      <c r="D500" s="389"/>
      <c r="E500" s="389"/>
      <c r="F500" s="389"/>
      <c r="G500" s="389"/>
      <c r="H500" s="389"/>
      <c r="I500" s="389"/>
      <c r="J500" s="389"/>
      <c r="K500" s="389"/>
      <c r="L500" s="389"/>
      <c r="M500" s="389"/>
      <c r="N500" s="389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  <c r="AA500" s="389"/>
    </row>
    <row r="501">
      <c r="A501" s="389"/>
      <c r="B501" s="389"/>
      <c r="C501" s="389"/>
      <c r="D501" s="389"/>
      <c r="E501" s="389"/>
      <c r="F501" s="389"/>
      <c r="G501" s="389"/>
      <c r="H501" s="389"/>
      <c r="I501" s="389"/>
      <c r="J501" s="389"/>
      <c r="K501" s="389"/>
      <c r="L501" s="389"/>
      <c r="M501" s="389"/>
      <c r="N501" s="389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  <c r="AA501" s="389"/>
    </row>
    <row r="502">
      <c r="A502" s="389"/>
      <c r="B502" s="389"/>
      <c r="C502" s="389"/>
      <c r="D502" s="389"/>
      <c r="E502" s="389"/>
      <c r="F502" s="389"/>
      <c r="G502" s="389"/>
      <c r="H502" s="389"/>
      <c r="I502" s="389"/>
      <c r="J502" s="389"/>
      <c r="K502" s="389"/>
      <c r="L502" s="389"/>
      <c r="M502" s="389"/>
      <c r="N502" s="389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  <c r="AA502" s="389"/>
    </row>
    <row r="503">
      <c r="A503" s="389"/>
      <c r="B503" s="389"/>
      <c r="C503" s="389"/>
      <c r="D503" s="389"/>
      <c r="E503" s="389"/>
      <c r="F503" s="389"/>
      <c r="G503" s="389"/>
      <c r="H503" s="389"/>
      <c r="I503" s="389"/>
      <c r="J503" s="389"/>
      <c r="K503" s="389"/>
      <c r="L503" s="389"/>
      <c r="M503" s="389"/>
      <c r="N503" s="389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  <c r="AA503" s="389"/>
    </row>
    <row r="504">
      <c r="A504" s="389"/>
      <c r="B504" s="389"/>
      <c r="C504" s="389"/>
      <c r="D504" s="389"/>
      <c r="E504" s="389"/>
      <c r="F504" s="389"/>
      <c r="G504" s="389"/>
      <c r="H504" s="389"/>
      <c r="I504" s="389"/>
      <c r="J504" s="389"/>
      <c r="K504" s="389"/>
      <c r="L504" s="389"/>
      <c r="M504" s="389"/>
      <c r="N504" s="389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  <c r="AA504" s="389"/>
    </row>
    <row r="505">
      <c r="A505" s="389"/>
      <c r="B505" s="389"/>
      <c r="C505" s="389"/>
      <c r="D505" s="389"/>
      <c r="E505" s="389"/>
      <c r="F505" s="389"/>
      <c r="G505" s="389"/>
      <c r="H505" s="389"/>
      <c r="I505" s="389"/>
      <c r="J505" s="389"/>
      <c r="K505" s="389"/>
      <c r="L505" s="389"/>
      <c r="M505" s="389"/>
      <c r="N505" s="389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  <c r="AA505" s="389"/>
    </row>
    <row r="506">
      <c r="A506" s="389"/>
      <c r="B506" s="389"/>
      <c r="C506" s="389"/>
      <c r="D506" s="389"/>
      <c r="E506" s="389"/>
      <c r="F506" s="389"/>
      <c r="G506" s="389"/>
      <c r="H506" s="389"/>
      <c r="I506" s="389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  <c r="AA506" s="389"/>
    </row>
    <row r="507">
      <c r="A507" s="389"/>
      <c r="B507" s="389"/>
      <c r="C507" s="389"/>
      <c r="D507" s="389"/>
      <c r="E507" s="389"/>
      <c r="F507" s="389"/>
      <c r="G507" s="389"/>
      <c r="H507" s="389"/>
      <c r="I507" s="389"/>
      <c r="J507" s="389"/>
      <c r="K507" s="389"/>
      <c r="L507" s="389"/>
      <c r="M507" s="389"/>
      <c r="N507" s="389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  <c r="AA507" s="389"/>
    </row>
    <row r="508">
      <c r="A508" s="389"/>
      <c r="B508" s="389"/>
      <c r="C508" s="389"/>
      <c r="D508" s="389"/>
      <c r="E508" s="389"/>
      <c r="F508" s="389"/>
      <c r="G508" s="389"/>
      <c r="H508" s="389"/>
      <c r="I508" s="389"/>
      <c r="J508" s="389"/>
      <c r="K508" s="389"/>
      <c r="L508" s="389"/>
      <c r="M508" s="389"/>
      <c r="N508" s="389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  <c r="AA508" s="389"/>
    </row>
    <row r="509">
      <c r="A509" s="389"/>
      <c r="B509" s="389"/>
      <c r="C509" s="389"/>
      <c r="D509" s="389"/>
      <c r="E509" s="389"/>
      <c r="F509" s="389"/>
      <c r="G509" s="389"/>
      <c r="H509" s="389"/>
      <c r="I509" s="389"/>
      <c r="J509" s="389"/>
      <c r="K509" s="389"/>
      <c r="L509" s="389"/>
      <c r="M509" s="389"/>
      <c r="N509" s="389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  <c r="AA509" s="389"/>
    </row>
    <row r="510">
      <c r="A510" s="389"/>
      <c r="B510" s="389"/>
      <c r="C510" s="389"/>
      <c r="D510" s="389"/>
      <c r="E510" s="389"/>
      <c r="F510" s="389"/>
      <c r="G510" s="389"/>
      <c r="H510" s="389"/>
      <c r="I510" s="389"/>
      <c r="J510" s="389"/>
      <c r="K510" s="389"/>
      <c r="L510" s="389"/>
      <c r="M510" s="389"/>
      <c r="N510" s="389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  <c r="AA510" s="389"/>
    </row>
    <row r="511">
      <c r="A511" s="389"/>
      <c r="B511" s="389"/>
      <c r="C511" s="389"/>
      <c r="D511" s="389"/>
      <c r="E511" s="389"/>
      <c r="F511" s="389"/>
      <c r="G511" s="389"/>
      <c r="H511" s="389"/>
      <c r="I511" s="389"/>
      <c r="J511" s="389"/>
      <c r="K511" s="389"/>
      <c r="L511" s="389"/>
      <c r="M511" s="389"/>
      <c r="N511" s="389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  <c r="AA511" s="389"/>
    </row>
    <row r="512">
      <c r="A512" s="389"/>
      <c r="B512" s="389"/>
      <c r="C512" s="389"/>
      <c r="D512" s="389"/>
      <c r="E512" s="389"/>
      <c r="F512" s="389"/>
      <c r="G512" s="389"/>
      <c r="H512" s="389"/>
      <c r="I512" s="389"/>
      <c r="J512" s="389"/>
      <c r="K512" s="389"/>
      <c r="L512" s="389"/>
      <c r="M512" s="389"/>
      <c r="N512" s="389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  <c r="AA512" s="389"/>
    </row>
    <row r="513">
      <c r="A513" s="389"/>
      <c r="B513" s="389"/>
      <c r="C513" s="389"/>
      <c r="D513" s="389"/>
      <c r="E513" s="389"/>
      <c r="F513" s="389"/>
      <c r="G513" s="389"/>
      <c r="H513" s="389"/>
      <c r="I513" s="389"/>
      <c r="J513" s="389"/>
      <c r="K513" s="389"/>
      <c r="L513" s="389"/>
      <c r="M513" s="389"/>
      <c r="N513" s="389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  <c r="AA513" s="389"/>
    </row>
    <row r="514">
      <c r="A514" s="389"/>
      <c r="B514" s="389"/>
      <c r="C514" s="389"/>
      <c r="D514" s="389"/>
      <c r="E514" s="389"/>
      <c r="F514" s="389"/>
      <c r="G514" s="389"/>
      <c r="H514" s="389"/>
      <c r="I514" s="389"/>
      <c r="J514" s="389"/>
      <c r="K514" s="389"/>
      <c r="L514" s="389"/>
      <c r="M514" s="389"/>
      <c r="N514" s="389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  <c r="AA514" s="389"/>
    </row>
    <row r="515">
      <c r="A515" s="389"/>
      <c r="B515" s="389"/>
      <c r="C515" s="389"/>
      <c r="D515" s="389"/>
      <c r="E515" s="389"/>
      <c r="F515" s="389"/>
      <c r="G515" s="389"/>
      <c r="H515" s="389"/>
      <c r="I515" s="389"/>
      <c r="J515" s="389"/>
      <c r="K515" s="389"/>
      <c r="L515" s="389"/>
      <c r="M515" s="389"/>
      <c r="N515" s="389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  <c r="AA515" s="389"/>
    </row>
    <row r="516">
      <c r="A516" s="389"/>
      <c r="B516" s="389"/>
      <c r="C516" s="389"/>
      <c r="D516" s="389"/>
      <c r="E516" s="389"/>
      <c r="F516" s="389"/>
      <c r="G516" s="389"/>
      <c r="H516" s="389"/>
      <c r="I516" s="389"/>
      <c r="J516" s="389"/>
      <c r="K516" s="389"/>
      <c r="L516" s="389"/>
      <c r="M516" s="389"/>
      <c r="N516" s="389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  <c r="AA516" s="389"/>
    </row>
    <row r="517">
      <c r="A517" s="389"/>
      <c r="B517" s="389"/>
      <c r="C517" s="389"/>
      <c r="D517" s="389"/>
      <c r="E517" s="389"/>
      <c r="F517" s="389"/>
      <c r="G517" s="389"/>
      <c r="H517" s="389"/>
      <c r="I517" s="389"/>
      <c r="J517" s="389"/>
      <c r="K517" s="389"/>
      <c r="L517" s="389"/>
      <c r="M517" s="389"/>
      <c r="N517" s="389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  <c r="AA517" s="389"/>
    </row>
    <row r="518">
      <c r="A518" s="389"/>
      <c r="B518" s="389"/>
      <c r="C518" s="389"/>
      <c r="D518" s="389"/>
      <c r="E518" s="389"/>
      <c r="F518" s="389"/>
      <c r="G518" s="389"/>
      <c r="H518" s="389"/>
      <c r="I518" s="389"/>
      <c r="J518" s="389"/>
      <c r="K518" s="389"/>
      <c r="L518" s="389"/>
      <c r="M518" s="389"/>
      <c r="N518" s="389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  <c r="AA518" s="389"/>
    </row>
    <row r="519">
      <c r="A519" s="389"/>
      <c r="B519" s="389"/>
      <c r="C519" s="389"/>
      <c r="D519" s="389"/>
      <c r="E519" s="389"/>
      <c r="F519" s="389"/>
      <c r="G519" s="389"/>
      <c r="H519" s="389"/>
      <c r="I519" s="389"/>
      <c r="J519" s="389"/>
      <c r="K519" s="389"/>
      <c r="L519" s="389"/>
      <c r="M519" s="389"/>
      <c r="N519" s="389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  <c r="AA519" s="389"/>
    </row>
    <row r="520">
      <c r="A520" s="389"/>
      <c r="B520" s="389"/>
      <c r="C520" s="389"/>
      <c r="D520" s="389"/>
      <c r="E520" s="389"/>
      <c r="F520" s="389"/>
      <c r="G520" s="389"/>
      <c r="H520" s="389"/>
      <c r="I520" s="389"/>
      <c r="J520" s="389"/>
      <c r="K520" s="389"/>
      <c r="L520" s="389"/>
      <c r="M520" s="389"/>
      <c r="N520" s="389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  <c r="AA520" s="389"/>
    </row>
    <row r="521">
      <c r="A521" s="389"/>
      <c r="B521" s="389"/>
      <c r="C521" s="389"/>
      <c r="D521" s="389"/>
      <c r="E521" s="389"/>
      <c r="F521" s="389"/>
      <c r="G521" s="389"/>
      <c r="H521" s="389"/>
      <c r="I521" s="389"/>
      <c r="J521" s="389"/>
      <c r="K521" s="389"/>
      <c r="L521" s="389"/>
      <c r="M521" s="389"/>
      <c r="N521" s="389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  <c r="AA521" s="389"/>
    </row>
    <row r="522">
      <c r="A522" s="389"/>
      <c r="B522" s="389"/>
      <c r="C522" s="389"/>
      <c r="D522" s="389"/>
      <c r="E522" s="389"/>
      <c r="F522" s="389"/>
      <c r="G522" s="389"/>
      <c r="H522" s="389"/>
      <c r="I522" s="389"/>
      <c r="J522" s="389"/>
      <c r="K522" s="389"/>
      <c r="L522" s="389"/>
      <c r="M522" s="389"/>
      <c r="N522" s="389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  <c r="AA522" s="389"/>
    </row>
    <row r="523">
      <c r="A523" s="389"/>
      <c r="B523" s="389"/>
      <c r="C523" s="389"/>
      <c r="D523" s="389"/>
      <c r="E523" s="389"/>
      <c r="F523" s="389"/>
      <c r="G523" s="389"/>
      <c r="H523" s="389"/>
      <c r="I523" s="389"/>
      <c r="J523" s="389"/>
      <c r="K523" s="389"/>
      <c r="L523" s="389"/>
      <c r="M523" s="389"/>
      <c r="N523" s="389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  <c r="AA523" s="389"/>
    </row>
    <row r="524">
      <c r="A524" s="389"/>
      <c r="B524" s="389"/>
      <c r="C524" s="389"/>
      <c r="D524" s="389"/>
      <c r="E524" s="389"/>
      <c r="F524" s="389"/>
      <c r="G524" s="389"/>
      <c r="H524" s="389"/>
      <c r="I524" s="389"/>
      <c r="J524" s="389"/>
      <c r="K524" s="389"/>
      <c r="L524" s="389"/>
      <c r="M524" s="389"/>
      <c r="N524" s="389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  <c r="AA524" s="389"/>
    </row>
    <row r="525">
      <c r="A525" s="389"/>
      <c r="B525" s="389"/>
      <c r="C525" s="389"/>
      <c r="D525" s="389"/>
      <c r="E525" s="389"/>
      <c r="F525" s="389"/>
      <c r="G525" s="389"/>
      <c r="H525" s="389"/>
      <c r="I525" s="389"/>
      <c r="J525" s="389"/>
      <c r="K525" s="389"/>
      <c r="L525" s="389"/>
      <c r="M525" s="389"/>
      <c r="N525" s="389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  <c r="AA525" s="389"/>
    </row>
    <row r="526">
      <c r="A526" s="389"/>
      <c r="B526" s="389"/>
      <c r="C526" s="389"/>
      <c r="D526" s="389"/>
      <c r="E526" s="389"/>
      <c r="F526" s="389"/>
      <c r="G526" s="389"/>
      <c r="H526" s="389"/>
      <c r="I526" s="389"/>
      <c r="J526" s="389"/>
      <c r="K526" s="389"/>
      <c r="L526" s="389"/>
      <c r="M526" s="389"/>
      <c r="N526" s="389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  <c r="AA526" s="389"/>
    </row>
    <row r="527">
      <c r="A527" s="389"/>
      <c r="B527" s="389"/>
      <c r="C527" s="389"/>
      <c r="D527" s="389"/>
      <c r="E527" s="389"/>
      <c r="F527" s="389"/>
      <c r="G527" s="389"/>
      <c r="H527" s="389"/>
      <c r="I527" s="389"/>
      <c r="J527" s="389"/>
      <c r="K527" s="389"/>
      <c r="L527" s="389"/>
      <c r="M527" s="389"/>
      <c r="N527" s="389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  <c r="AA527" s="389"/>
    </row>
    <row r="528">
      <c r="A528" s="389"/>
      <c r="B528" s="389"/>
      <c r="C528" s="389"/>
      <c r="D528" s="389"/>
      <c r="E528" s="389"/>
      <c r="F528" s="389"/>
      <c r="G528" s="389"/>
      <c r="H528" s="389"/>
      <c r="I528" s="389"/>
      <c r="J528" s="389"/>
      <c r="K528" s="389"/>
      <c r="L528" s="389"/>
      <c r="M528" s="389"/>
      <c r="N528" s="389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  <c r="AA528" s="389"/>
    </row>
    <row r="529">
      <c r="A529" s="389"/>
      <c r="B529" s="389"/>
      <c r="C529" s="389"/>
      <c r="D529" s="389"/>
      <c r="E529" s="389"/>
      <c r="F529" s="389"/>
      <c r="G529" s="389"/>
      <c r="H529" s="389"/>
      <c r="I529" s="389"/>
      <c r="J529" s="389"/>
      <c r="K529" s="389"/>
      <c r="L529" s="389"/>
      <c r="M529" s="389"/>
      <c r="N529" s="389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  <c r="AA529" s="389"/>
    </row>
    <row r="530">
      <c r="A530" s="389"/>
      <c r="B530" s="389"/>
      <c r="C530" s="389"/>
      <c r="D530" s="389"/>
      <c r="E530" s="389"/>
      <c r="F530" s="389"/>
      <c r="G530" s="389"/>
      <c r="H530" s="389"/>
      <c r="I530" s="389"/>
      <c r="J530" s="389"/>
      <c r="K530" s="389"/>
      <c r="L530" s="389"/>
      <c r="M530" s="389"/>
      <c r="N530" s="389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  <c r="AA530" s="389"/>
    </row>
    <row r="531">
      <c r="A531" s="389"/>
      <c r="B531" s="389"/>
      <c r="C531" s="389"/>
      <c r="D531" s="389"/>
      <c r="E531" s="389"/>
      <c r="F531" s="389"/>
      <c r="G531" s="389"/>
      <c r="H531" s="389"/>
      <c r="I531" s="389"/>
      <c r="J531" s="389"/>
      <c r="K531" s="389"/>
      <c r="L531" s="389"/>
      <c r="M531" s="389"/>
      <c r="N531" s="389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  <c r="AA531" s="389"/>
    </row>
    <row r="532">
      <c r="A532" s="389"/>
      <c r="B532" s="389"/>
      <c r="C532" s="389"/>
      <c r="D532" s="389"/>
      <c r="E532" s="389"/>
      <c r="F532" s="389"/>
      <c r="G532" s="389"/>
      <c r="H532" s="389"/>
      <c r="I532" s="389"/>
      <c r="J532" s="389"/>
      <c r="K532" s="389"/>
      <c r="L532" s="389"/>
      <c r="M532" s="389"/>
      <c r="N532" s="389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  <c r="AA532" s="389"/>
    </row>
    <row r="533">
      <c r="A533" s="389"/>
      <c r="B533" s="389"/>
      <c r="C533" s="389"/>
      <c r="D533" s="389"/>
      <c r="E533" s="389"/>
      <c r="F533" s="389"/>
      <c r="G533" s="389"/>
      <c r="H533" s="389"/>
      <c r="I533" s="389"/>
      <c r="J533" s="389"/>
      <c r="K533" s="389"/>
      <c r="L533" s="389"/>
      <c r="M533" s="389"/>
      <c r="N533" s="389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  <c r="AA533" s="389"/>
    </row>
    <row r="534">
      <c r="A534" s="389"/>
      <c r="B534" s="389"/>
      <c r="C534" s="389"/>
      <c r="D534" s="389"/>
      <c r="E534" s="389"/>
      <c r="F534" s="389"/>
      <c r="G534" s="389"/>
      <c r="H534" s="389"/>
      <c r="I534" s="389"/>
      <c r="J534" s="389"/>
      <c r="K534" s="389"/>
      <c r="L534" s="389"/>
      <c r="M534" s="389"/>
      <c r="N534" s="389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  <c r="AA534" s="389"/>
    </row>
    <row r="535">
      <c r="A535" s="389"/>
      <c r="B535" s="389"/>
      <c r="C535" s="389"/>
      <c r="D535" s="389"/>
      <c r="E535" s="389"/>
      <c r="F535" s="389"/>
      <c r="G535" s="389"/>
      <c r="H535" s="389"/>
      <c r="I535" s="389"/>
      <c r="J535" s="389"/>
      <c r="K535" s="389"/>
      <c r="L535" s="389"/>
      <c r="M535" s="389"/>
      <c r="N535" s="389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  <c r="AA535" s="389"/>
    </row>
    <row r="536">
      <c r="A536" s="389"/>
      <c r="B536" s="389"/>
      <c r="C536" s="389"/>
      <c r="D536" s="389"/>
      <c r="E536" s="389"/>
      <c r="F536" s="389"/>
      <c r="G536" s="389"/>
      <c r="H536" s="389"/>
      <c r="I536" s="389"/>
      <c r="J536" s="389"/>
      <c r="K536" s="389"/>
      <c r="L536" s="389"/>
      <c r="M536" s="389"/>
      <c r="N536" s="389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  <c r="AA536" s="389"/>
    </row>
    <row r="537">
      <c r="A537" s="389"/>
      <c r="B537" s="389"/>
      <c r="C537" s="389"/>
      <c r="D537" s="389"/>
      <c r="E537" s="389"/>
      <c r="F537" s="389"/>
      <c r="G537" s="389"/>
      <c r="H537" s="389"/>
      <c r="I537" s="389"/>
      <c r="J537" s="389"/>
      <c r="K537" s="389"/>
      <c r="L537" s="389"/>
      <c r="M537" s="389"/>
      <c r="N537" s="389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  <c r="AA537" s="389"/>
    </row>
    <row r="538">
      <c r="A538" s="389"/>
      <c r="B538" s="389"/>
      <c r="C538" s="389"/>
      <c r="D538" s="389"/>
      <c r="E538" s="389"/>
      <c r="F538" s="389"/>
      <c r="G538" s="389"/>
      <c r="H538" s="389"/>
      <c r="I538" s="389"/>
      <c r="J538" s="389"/>
      <c r="K538" s="389"/>
      <c r="L538" s="389"/>
      <c r="M538" s="389"/>
      <c r="N538" s="389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  <c r="AA538" s="389"/>
    </row>
    <row r="539">
      <c r="A539" s="389"/>
      <c r="B539" s="389"/>
      <c r="C539" s="389"/>
      <c r="D539" s="389"/>
      <c r="E539" s="389"/>
      <c r="F539" s="389"/>
      <c r="G539" s="389"/>
      <c r="H539" s="389"/>
      <c r="I539" s="389"/>
      <c r="J539" s="389"/>
      <c r="K539" s="389"/>
      <c r="L539" s="389"/>
      <c r="M539" s="389"/>
      <c r="N539" s="389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  <c r="AA539" s="389"/>
    </row>
    <row r="540">
      <c r="A540" s="389"/>
      <c r="B540" s="389"/>
      <c r="C540" s="389"/>
      <c r="D540" s="389"/>
      <c r="E540" s="389"/>
      <c r="F540" s="389"/>
      <c r="G540" s="389"/>
      <c r="H540" s="389"/>
      <c r="I540" s="389"/>
      <c r="J540" s="389"/>
      <c r="K540" s="389"/>
      <c r="L540" s="389"/>
      <c r="M540" s="389"/>
      <c r="N540" s="389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  <c r="AA540" s="389"/>
    </row>
    <row r="541">
      <c r="A541" s="389"/>
      <c r="B541" s="389"/>
      <c r="C541" s="389"/>
      <c r="D541" s="389"/>
      <c r="E541" s="389"/>
      <c r="F541" s="389"/>
      <c r="G541" s="389"/>
      <c r="H541" s="389"/>
      <c r="I541" s="389"/>
      <c r="J541" s="389"/>
      <c r="K541" s="389"/>
      <c r="L541" s="389"/>
      <c r="M541" s="389"/>
      <c r="N541" s="389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  <c r="AA541" s="389"/>
    </row>
    <row r="542">
      <c r="A542" s="389"/>
      <c r="B542" s="389"/>
      <c r="C542" s="389"/>
      <c r="D542" s="389"/>
      <c r="E542" s="389"/>
      <c r="F542" s="389"/>
      <c r="G542" s="389"/>
      <c r="H542" s="389"/>
      <c r="I542" s="389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  <c r="AA542" s="389"/>
    </row>
    <row r="543">
      <c r="A543" s="389"/>
      <c r="B543" s="389"/>
      <c r="C543" s="389"/>
      <c r="D543" s="389"/>
      <c r="E543" s="389"/>
      <c r="F543" s="389"/>
      <c r="G543" s="389"/>
      <c r="H543" s="389"/>
      <c r="I543" s="389"/>
      <c r="J543" s="389"/>
      <c r="K543" s="389"/>
      <c r="L543" s="389"/>
      <c r="M543" s="389"/>
      <c r="N543" s="389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  <c r="AA543" s="389"/>
    </row>
    <row r="544">
      <c r="A544" s="389"/>
      <c r="B544" s="389"/>
      <c r="C544" s="389"/>
      <c r="D544" s="389"/>
      <c r="E544" s="389"/>
      <c r="F544" s="389"/>
      <c r="G544" s="389"/>
      <c r="H544" s="389"/>
      <c r="I544" s="389"/>
      <c r="J544" s="389"/>
      <c r="K544" s="389"/>
      <c r="L544" s="389"/>
      <c r="M544" s="389"/>
      <c r="N544" s="389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  <c r="AA544" s="389"/>
    </row>
    <row r="545">
      <c r="A545" s="389"/>
      <c r="B545" s="389"/>
      <c r="C545" s="389"/>
      <c r="D545" s="389"/>
      <c r="E545" s="389"/>
      <c r="F545" s="389"/>
      <c r="G545" s="389"/>
      <c r="H545" s="389"/>
      <c r="I545" s="389"/>
      <c r="J545" s="389"/>
      <c r="K545" s="389"/>
      <c r="L545" s="389"/>
      <c r="M545" s="389"/>
      <c r="N545" s="389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  <c r="AA545" s="389"/>
    </row>
    <row r="546">
      <c r="A546" s="389"/>
      <c r="B546" s="389"/>
      <c r="C546" s="389"/>
      <c r="D546" s="389"/>
      <c r="E546" s="389"/>
      <c r="F546" s="389"/>
      <c r="G546" s="389"/>
      <c r="H546" s="389"/>
      <c r="I546" s="389"/>
      <c r="J546" s="389"/>
      <c r="K546" s="389"/>
      <c r="L546" s="389"/>
      <c r="M546" s="389"/>
      <c r="N546" s="389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  <c r="AA546" s="389"/>
    </row>
    <row r="547">
      <c r="A547" s="389"/>
      <c r="B547" s="389"/>
      <c r="C547" s="389"/>
      <c r="D547" s="389"/>
      <c r="E547" s="389"/>
      <c r="F547" s="389"/>
      <c r="G547" s="389"/>
      <c r="H547" s="389"/>
      <c r="I547" s="389"/>
      <c r="J547" s="389"/>
      <c r="K547" s="389"/>
      <c r="L547" s="389"/>
      <c r="M547" s="389"/>
      <c r="N547" s="389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  <c r="AA547" s="389"/>
    </row>
    <row r="548">
      <c r="A548" s="389"/>
      <c r="B548" s="389"/>
      <c r="C548" s="389"/>
      <c r="D548" s="389"/>
      <c r="E548" s="389"/>
      <c r="F548" s="389"/>
      <c r="G548" s="389"/>
      <c r="H548" s="389"/>
      <c r="I548" s="389"/>
      <c r="J548" s="389"/>
      <c r="K548" s="389"/>
      <c r="L548" s="389"/>
      <c r="M548" s="389"/>
      <c r="N548" s="389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  <c r="AA548" s="389"/>
    </row>
    <row r="549">
      <c r="A549" s="389"/>
      <c r="B549" s="389"/>
      <c r="C549" s="389"/>
      <c r="D549" s="389"/>
      <c r="E549" s="389"/>
      <c r="F549" s="389"/>
      <c r="G549" s="389"/>
      <c r="H549" s="389"/>
      <c r="I549" s="389"/>
      <c r="J549" s="389"/>
      <c r="K549" s="389"/>
      <c r="L549" s="389"/>
      <c r="M549" s="389"/>
      <c r="N549" s="389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  <c r="AA549" s="389"/>
    </row>
    <row r="550">
      <c r="A550" s="389"/>
      <c r="B550" s="389"/>
      <c r="C550" s="389"/>
      <c r="D550" s="389"/>
      <c r="E550" s="389"/>
      <c r="F550" s="389"/>
      <c r="G550" s="389"/>
      <c r="H550" s="389"/>
      <c r="I550" s="389"/>
      <c r="J550" s="389"/>
      <c r="K550" s="389"/>
      <c r="L550" s="389"/>
      <c r="M550" s="389"/>
      <c r="N550" s="389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  <c r="AA550" s="389"/>
    </row>
    <row r="551">
      <c r="A551" s="389"/>
      <c r="B551" s="389"/>
      <c r="C551" s="389"/>
      <c r="D551" s="389"/>
      <c r="E551" s="389"/>
      <c r="F551" s="389"/>
      <c r="G551" s="389"/>
      <c r="H551" s="389"/>
      <c r="I551" s="389"/>
      <c r="J551" s="389"/>
      <c r="K551" s="389"/>
      <c r="L551" s="389"/>
      <c r="M551" s="389"/>
      <c r="N551" s="389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  <c r="AA551" s="389"/>
    </row>
    <row r="552">
      <c r="A552" s="389"/>
      <c r="B552" s="389"/>
      <c r="C552" s="389"/>
      <c r="D552" s="389"/>
      <c r="E552" s="389"/>
      <c r="F552" s="389"/>
      <c r="G552" s="389"/>
      <c r="H552" s="389"/>
      <c r="I552" s="389"/>
      <c r="J552" s="389"/>
      <c r="K552" s="389"/>
      <c r="L552" s="389"/>
      <c r="M552" s="389"/>
      <c r="N552" s="389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  <c r="AA552" s="389"/>
    </row>
    <row r="553">
      <c r="A553" s="389"/>
      <c r="B553" s="389"/>
      <c r="C553" s="389"/>
      <c r="D553" s="389"/>
      <c r="E553" s="389"/>
      <c r="F553" s="389"/>
      <c r="G553" s="389"/>
      <c r="H553" s="389"/>
      <c r="I553" s="389"/>
      <c r="J553" s="389"/>
      <c r="K553" s="389"/>
      <c r="L553" s="389"/>
      <c r="M553" s="389"/>
      <c r="N553" s="389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  <c r="AA553" s="389"/>
    </row>
    <row r="554">
      <c r="A554" s="389"/>
      <c r="B554" s="389"/>
      <c r="C554" s="389"/>
      <c r="D554" s="389"/>
      <c r="E554" s="389"/>
      <c r="F554" s="389"/>
      <c r="G554" s="389"/>
      <c r="H554" s="389"/>
      <c r="I554" s="389"/>
      <c r="J554" s="389"/>
      <c r="K554" s="389"/>
      <c r="L554" s="389"/>
      <c r="M554" s="389"/>
      <c r="N554" s="389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  <c r="AA554" s="389"/>
    </row>
    <row r="555">
      <c r="A555" s="389"/>
      <c r="B555" s="389"/>
      <c r="C555" s="389"/>
      <c r="D555" s="389"/>
      <c r="E555" s="389"/>
      <c r="F555" s="389"/>
      <c r="G555" s="389"/>
      <c r="H555" s="389"/>
      <c r="I555" s="389"/>
      <c r="J555" s="389"/>
      <c r="K555" s="389"/>
      <c r="L555" s="389"/>
      <c r="M555" s="389"/>
      <c r="N555" s="389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  <c r="AA555" s="389"/>
    </row>
    <row r="556">
      <c r="A556" s="389"/>
      <c r="B556" s="389"/>
      <c r="C556" s="389"/>
      <c r="D556" s="389"/>
      <c r="E556" s="389"/>
      <c r="F556" s="389"/>
      <c r="G556" s="389"/>
      <c r="H556" s="389"/>
      <c r="I556" s="389"/>
      <c r="J556" s="389"/>
      <c r="K556" s="389"/>
      <c r="L556" s="389"/>
      <c r="M556" s="389"/>
      <c r="N556" s="389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  <c r="AA556" s="389"/>
    </row>
    <row r="557">
      <c r="A557" s="389"/>
      <c r="B557" s="389"/>
      <c r="C557" s="389"/>
      <c r="D557" s="389"/>
      <c r="E557" s="389"/>
      <c r="F557" s="389"/>
      <c r="G557" s="389"/>
      <c r="H557" s="389"/>
      <c r="I557" s="389"/>
      <c r="J557" s="389"/>
      <c r="K557" s="389"/>
      <c r="L557" s="389"/>
      <c r="M557" s="389"/>
      <c r="N557" s="389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  <c r="AA557" s="389"/>
    </row>
    <row r="558">
      <c r="A558" s="389"/>
      <c r="B558" s="389"/>
      <c r="C558" s="389"/>
      <c r="D558" s="389"/>
      <c r="E558" s="389"/>
      <c r="F558" s="389"/>
      <c r="G558" s="389"/>
      <c r="H558" s="389"/>
      <c r="I558" s="389"/>
      <c r="J558" s="389"/>
      <c r="K558" s="389"/>
      <c r="L558" s="389"/>
      <c r="M558" s="389"/>
      <c r="N558" s="389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  <c r="AA558" s="389"/>
    </row>
    <row r="559">
      <c r="A559" s="389"/>
      <c r="B559" s="389"/>
      <c r="C559" s="389"/>
      <c r="D559" s="389"/>
      <c r="E559" s="389"/>
      <c r="F559" s="389"/>
      <c r="G559" s="389"/>
      <c r="H559" s="389"/>
      <c r="I559" s="389"/>
      <c r="J559" s="389"/>
      <c r="K559" s="389"/>
      <c r="L559" s="389"/>
      <c r="M559" s="389"/>
      <c r="N559" s="389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  <c r="AA559" s="389"/>
    </row>
    <row r="560">
      <c r="A560" s="389"/>
      <c r="B560" s="389"/>
      <c r="C560" s="389"/>
      <c r="D560" s="389"/>
      <c r="E560" s="389"/>
      <c r="F560" s="389"/>
      <c r="G560" s="389"/>
      <c r="H560" s="389"/>
      <c r="I560" s="389"/>
      <c r="J560" s="389"/>
      <c r="K560" s="389"/>
      <c r="L560" s="389"/>
      <c r="M560" s="389"/>
      <c r="N560" s="389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  <c r="AA560" s="389"/>
    </row>
    <row r="561">
      <c r="A561" s="389"/>
      <c r="B561" s="389"/>
      <c r="C561" s="389"/>
      <c r="D561" s="389"/>
      <c r="E561" s="389"/>
      <c r="F561" s="389"/>
      <c r="G561" s="389"/>
      <c r="H561" s="389"/>
      <c r="I561" s="389"/>
      <c r="J561" s="389"/>
      <c r="K561" s="389"/>
      <c r="L561" s="389"/>
      <c r="M561" s="389"/>
      <c r="N561" s="389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  <c r="AA561" s="389"/>
    </row>
    <row r="562">
      <c r="A562" s="389"/>
      <c r="B562" s="389"/>
      <c r="C562" s="389"/>
      <c r="D562" s="389"/>
      <c r="E562" s="389"/>
      <c r="F562" s="389"/>
      <c r="G562" s="389"/>
      <c r="H562" s="389"/>
      <c r="I562" s="389"/>
      <c r="J562" s="389"/>
      <c r="K562" s="389"/>
      <c r="L562" s="389"/>
      <c r="M562" s="389"/>
      <c r="N562" s="389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  <c r="AA562" s="389"/>
    </row>
    <row r="563">
      <c r="A563" s="389"/>
      <c r="B563" s="389"/>
      <c r="C563" s="389"/>
      <c r="D563" s="389"/>
      <c r="E563" s="389"/>
      <c r="F563" s="389"/>
      <c r="G563" s="389"/>
      <c r="H563" s="389"/>
      <c r="I563" s="389"/>
      <c r="J563" s="389"/>
      <c r="K563" s="389"/>
      <c r="L563" s="389"/>
      <c r="M563" s="389"/>
      <c r="N563" s="389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  <c r="AA563" s="389"/>
    </row>
    <row r="564">
      <c r="A564" s="389"/>
      <c r="B564" s="389"/>
      <c r="C564" s="389"/>
      <c r="D564" s="389"/>
      <c r="E564" s="389"/>
      <c r="F564" s="389"/>
      <c r="G564" s="389"/>
      <c r="H564" s="389"/>
      <c r="I564" s="389"/>
      <c r="J564" s="389"/>
      <c r="K564" s="389"/>
      <c r="L564" s="389"/>
      <c r="M564" s="389"/>
      <c r="N564" s="389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  <c r="AA564" s="389"/>
    </row>
    <row r="565">
      <c r="A565" s="389"/>
      <c r="B565" s="389"/>
      <c r="C565" s="389"/>
      <c r="D565" s="389"/>
      <c r="E565" s="389"/>
      <c r="F565" s="389"/>
      <c r="G565" s="389"/>
      <c r="H565" s="389"/>
      <c r="I565" s="389"/>
      <c r="J565" s="389"/>
      <c r="K565" s="389"/>
      <c r="L565" s="389"/>
      <c r="M565" s="389"/>
      <c r="N565" s="389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  <c r="AA565" s="389"/>
    </row>
    <row r="566">
      <c r="A566" s="389"/>
      <c r="B566" s="389"/>
      <c r="C566" s="389"/>
      <c r="D566" s="389"/>
      <c r="E566" s="389"/>
      <c r="F566" s="389"/>
      <c r="G566" s="389"/>
      <c r="H566" s="389"/>
      <c r="I566" s="389"/>
      <c r="J566" s="389"/>
      <c r="K566" s="389"/>
      <c r="L566" s="389"/>
      <c r="M566" s="389"/>
      <c r="N566" s="389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  <c r="AA566" s="389"/>
    </row>
    <row r="567">
      <c r="A567" s="389"/>
      <c r="B567" s="389"/>
      <c r="C567" s="389"/>
      <c r="D567" s="389"/>
      <c r="E567" s="389"/>
      <c r="F567" s="389"/>
      <c r="G567" s="389"/>
      <c r="H567" s="389"/>
      <c r="I567" s="389"/>
      <c r="J567" s="389"/>
      <c r="K567" s="389"/>
      <c r="L567" s="389"/>
      <c r="M567" s="389"/>
      <c r="N567" s="389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  <c r="AA567" s="389"/>
    </row>
    <row r="568">
      <c r="A568" s="389"/>
      <c r="B568" s="389"/>
      <c r="C568" s="389"/>
      <c r="D568" s="389"/>
      <c r="E568" s="389"/>
      <c r="F568" s="389"/>
      <c r="G568" s="389"/>
      <c r="H568" s="389"/>
      <c r="I568" s="389"/>
      <c r="J568" s="389"/>
      <c r="K568" s="389"/>
      <c r="L568" s="389"/>
      <c r="M568" s="389"/>
      <c r="N568" s="389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  <c r="AA568" s="389"/>
    </row>
    <row r="569">
      <c r="A569" s="389"/>
      <c r="B569" s="389"/>
      <c r="C569" s="389"/>
      <c r="D569" s="389"/>
      <c r="E569" s="389"/>
      <c r="F569" s="389"/>
      <c r="G569" s="389"/>
      <c r="H569" s="389"/>
      <c r="I569" s="389"/>
      <c r="J569" s="389"/>
      <c r="K569" s="389"/>
      <c r="L569" s="389"/>
      <c r="M569" s="389"/>
      <c r="N569" s="389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  <c r="AA569" s="389"/>
    </row>
    <row r="570">
      <c r="A570" s="389"/>
      <c r="B570" s="389"/>
      <c r="C570" s="389"/>
      <c r="D570" s="389"/>
      <c r="E570" s="389"/>
      <c r="F570" s="389"/>
      <c r="G570" s="389"/>
      <c r="H570" s="389"/>
      <c r="I570" s="389"/>
      <c r="J570" s="389"/>
      <c r="K570" s="389"/>
      <c r="L570" s="389"/>
      <c r="M570" s="389"/>
      <c r="N570" s="389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  <c r="AA570" s="389"/>
    </row>
    <row r="571">
      <c r="A571" s="389"/>
      <c r="B571" s="389"/>
      <c r="C571" s="389"/>
      <c r="D571" s="389"/>
      <c r="E571" s="389"/>
      <c r="F571" s="389"/>
      <c r="G571" s="389"/>
      <c r="H571" s="389"/>
      <c r="I571" s="389"/>
      <c r="J571" s="389"/>
      <c r="K571" s="389"/>
      <c r="L571" s="389"/>
      <c r="M571" s="389"/>
      <c r="N571" s="389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  <c r="AA571" s="389"/>
    </row>
    <row r="572">
      <c r="A572" s="389"/>
      <c r="B572" s="389"/>
      <c r="C572" s="389"/>
      <c r="D572" s="389"/>
      <c r="E572" s="389"/>
      <c r="F572" s="389"/>
      <c r="G572" s="389"/>
      <c r="H572" s="389"/>
      <c r="I572" s="389"/>
      <c r="J572" s="389"/>
      <c r="K572" s="389"/>
      <c r="L572" s="389"/>
      <c r="M572" s="389"/>
      <c r="N572" s="389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  <c r="AA572" s="389"/>
    </row>
    <row r="573">
      <c r="A573" s="389"/>
      <c r="B573" s="389"/>
      <c r="C573" s="389"/>
      <c r="D573" s="389"/>
      <c r="E573" s="389"/>
      <c r="F573" s="389"/>
      <c r="G573" s="389"/>
      <c r="H573" s="389"/>
      <c r="I573" s="389"/>
      <c r="J573" s="389"/>
      <c r="K573" s="389"/>
      <c r="L573" s="389"/>
      <c r="M573" s="389"/>
      <c r="N573" s="389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  <c r="AA573" s="389"/>
    </row>
    <row r="574">
      <c r="A574" s="389"/>
      <c r="B574" s="389"/>
      <c r="C574" s="389"/>
      <c r="D574" s="389"/>
      <c r="E574" s="389"/>
      <c r="F574" s="389"/>
      <c r="G574" s="389"/>
      <c r="H574" s="389"/>
      <c r="I574" s="389"/>
      <c r="J574" s="389"/>
      <c r="K574" s="389"/>
      <c r="L574" s="389"/>
      <c r="M574" s="389"/>
      <c r="N574" s="389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  <c r="AA574" s="389"/>
    </row>
    <row r="575">
      <c r="A575" s="389"/>
      <c r="B575" s="389"/>
      <c r="C575" s="389"/>
      <c r="D575" s="389"/>
      <c r="E575" s="389"/>
      <c r="F575" s="389"/>
      <c r="G575" s="389"/>
      <c r="H575" s="389"/>
      <c r="I575" s="389"/>
      <c r="J575" s="389"/>
      <c r="K575" s="389"/>
      <c r="L575" s="389"/>
      <c r="M575" s="389"/>
      <c r="N575" s="389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  <c r="AA575" s="389"/>
    </row>
    <row r="576">
      <c r="A576" s="389"/>
      <c r="B576" s="389"/>
      <c r="C576" s="389"/>
      <c r="D576" s="389"/>
      <c r="E576" s="389"/>
      <c r="F576" s="389"/>
      <c r="G576" s="389"/>
      <c r="H576" s="389"/>
      <c r="I576" s="389"/>
      <c r="J576" s="389"/>
      <c r="K576" s="389"/>
      <c r="L576" s="389"/>
      <c r="M576" s="389"/>
      <c r="N576" s="389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  <c r="AA576" s="389"/>
    </row>
    <row r="577">
      <c r="A577" s="389"/>
      <c r="B577" s="389"/>
      <c r="C577" s="389"/>
      <c r="D577" s="389"/>
      <c r="E577" s="389"/>
      <c r="F577" s="389"/>
      <c r="G577" s="389"/>
      <c r="H577" s="389"/>
      <c r="I577" s="389"/>
      <c r="J577" s="389"/>
      <c r="K577" s="389"/>
      <c r="L577" s="389"/>
      <c r="M577" s="389"/>
      <c r="N577" s="389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  <c r="AA577" s="389"/>
    </row>
    <row r="578">
      <c r="A578" s="389"/>
      <c r="B578" s="389"/>
      <c r="C578" s="389"/>
      <c r="D578" s="389"/>
      <c r="E578" s="389"/>
      <c r="F578" s="389"/>
      <c r="G578" s="389"/>
      <c r="H578" s="389"/>
      <c r="I578" s="389"/>
      <c r="J578" s="389"/>
      <c r="K578" s="389"/>
      <c r="L578" s="389"/>
      <c r="M578" s="389"/>
      <c r="N578" s="389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  <c r="AA578" s="389"/>
    </row>
    <row r="579">
      <c r="A579" s="389"/>
      <c r="B579" s="389"/>
      <c r="C579" s="389"/>
      <c r="D579" s="389"/>
      <c r="E579" s="389"/>
      <c r="F579" s="389"/>
      <c r="G579" s="389"/>
      <c r="H579" s="389"/>
      <c r="I579" s="389"/>
      <c r="J579" s="389"/>
      <c r="K579" s="389"/>
      <c r="L579" s="389"/>
      <c r="M579" s="389"/>
      <c r="N579" s="389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  <c r="AA579" s="389"/>
    </row>
    <row r="580">
      <c r="A580" s="389"/>
      <c r="B580" s="389"/>
      <c r="C580" s="389"/>
      <c r="D580" s="389"/>
      <c r="E580" s="389"/>
      <c r="F580" s="389"/>
      <c r="G580" s="389"/>
      <c r="H580" s="389"/>
      <c r="I580" s="389"/>
      <c r="J580" s="389"/>
      <c r="K580" s="389"/>
      <c r="L580" s="389"/>
      <c r="M580" s="389"/>
      <c r="N580" s="389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  <c r="AA580" s="389"/>
    </row>
    <row r="581">
      <c r="A581" s="389"/>
      <c r="B581" s="389"/>
      <c r="C581" s="389"/>
      <c r="D581" s="389"/>
      <c r="E581" s="389"/>
      <c r="F581" s="389"/>
      <c r="G581" s="389"/>
      <c r="H581" s="389"/>
      <c r="I581" s="389"/>
      <c r="J581" s="389"/>
      <c r="K581" s="389"/>
      <c r="L581" s="389"/>
      <c r="M581" s="389"/>
      <c r="N581" s="389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  <c r="AA581" s="389"/>
    </row>
    <row r="582">
      <c r="A582" s="389"/>
      <c r="B582" s="389"/>
      <c r="C582" s="389"/>
      <c r="D582" s="389"/>
      <c r="E582" s="389"/>
      <c r="F582" s="389"/>
      <c r="G582" s="389"/>
      <c r="H582" s="389"/>
      <c r="I582" s="389"/>
      <c r="J582" s="389"/>
      <c r="K582" s="389"/>
      <c r="L582" s="389"/>
      <c r="M582" s="389"/>
      <c r="N582" s="389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  <c r="AA582" s="389"/>
    </row>
    <row r="583">
      <c r="A583" s="389"/>
      <c r="B583" s="389"/>
      <c r="C583" s="389"/>
      <c r="D583" s="389"/>
      <c r="E583" s="389"/>
      <c r="F583" s="389"/>
      <c r="G583" s="389"/>
      <c r="H583" s="389"/>
      <c r="I583" s="389"/>
      <c r="J583" s="389"/>
      <c r="K583" s="389"/>
      <c r="L583" s="389"/>
      <c r="M583" s="389"/>
      <c r="N583" s="389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  <c r="AA583" s="389"/>
    </row>
    <row r="584">
      <c r="A584" s="389"/>
      <c r="B584" s="389"/>
      <c r="C584" s="389"/>
      <c r="D584" s="389"/>
      <c r="E584" s="389"/>
      <c r="F584" s="389"/>
      <c r="G584" s="389"/>
      <c r="H584" s="389"/>
      <c r="I584" s="389"/>
      <c r="J584" s="389"/>
      <c r="K584" s="389"/>
      <c r="L584" s="389"/>
      <c r="M584" s="389"/>
      <c r="N584" s="389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  <c r="AA584" s="389"/>
    </row>
    <row r="585">
      <c r="A585" s="389"/>
      <c r="B585" s="389"/>
      <c r="C585" s="389"/>
      <c r="D585" s="389"/>
      <c r="E585" s="389"/>
      <c r="F585" s="389"/>
      <c r="G585" s="389"/>
      <c r="H585" s="389"/>
      <c r="I585" s="389"/>
      <c r="J585" s="389"/>
      <c r="K585" s="389"/>
      <c r="L585" s="389"/>
      <c r="M585" s="389"/>
      <c r="N585" s="389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  <c r="AA585" s="389"/>
    </row>
    <row r="586">
      <c r="A586" s="389"/>
      <c r="B586" s="389"/>
      <c r="C586" s="389"/>
      <c r="D586" s="389"/>
      <c r="E586" s="389"/>
      <c r="F586" s="389"/>
      <c r="G586" s="389"/>
      <c r="H586" s="389"/>
      <c r="I586" s="389"/>
      <c r="J586" s="389"/>
      <c r="K586" s="389"/>
      <c r="L586" s="389"/>
      <c r="M586" s="389"/>
      <c r="N586" s="389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  <c r="AA586" s="389"/>
    </row>
    <row r="587">
      <c r="A587" s="389"/>
      <c r="B587" s="389"/>
      <c r="C587" s="389"/>
      <c r="D587" s="389"/>
      <c r="E587" s="389"/>
      <c r="F587" s="389"/>
      <c r="G587" s="389"/>
      <c r="H587" s="389"/>
      <c r="I587" s="389"/>
      <c r="J587" s="389"/>
      <c r="K587" s="389"/>
      <c r="L587" s="389"/>
      <c r="M587" s="389"/>
      <c r="N587" s="389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  <c r="AA587" s="389"/>
    </row>
    <row r="588">
      <c r="A588" s="389"/>
      <c r="B588" s="389"/>
      <c r="C588" s="389"/>
      <c r="D588" s="389"/>
      <c r="E588" s="389"/>
      <c r="F588" s="389"/>
      <c r="G588" s="389"/>
      <c r="H588" s="389"/>
      <c r="I588" s="389"/>
      <c r="J588" s="389"/>
      <c r="K588" s="389"/>
      <c r="L588" s="389"/>
      <c r="M588" s="389"/>
      <c r="N588" s="389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  <c r="AA588" s="389"/>
    </row>
    <row r="589">
      <c r="A589" s="389"/>
      <c r="B589" s="389"/>
      <c r="C589" s="389"/>
      <c r="D589" s="389"/>
      <c r="E589" s="389"/>
      <c r="F589" s="389"/>
      <c r="G589" s="389"/>
      <c r="H589" s="389"/>
      <c r="I589" s="389"/>
      <c r="J589" s="389"/>
      <c r="K589" s="389"/>
      <c r="L589" s="389"/>
      <c r="M589" s="389"/>
      <c r="N589" s="389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  <c r="AA589" s="389"/>
    </row>
    <row r="590">
      <c r="A590" s="389"/>
      <c r="B590" s="389"/>
      <c r="C590" s="389"/>
      <c r="D590" s="389"/>
      <c r="E590" s="389"/>
      <c r="F590" s="389"/>
      <c r="G590" s="389"/>
      <c r="H590" s="389"/>
      <c r="I590" s="389"/>
      <c r="J590" s="389"/>
      <c r="K590" s="389"/>
      <c r="L590" s="389"/>
      <c r="M590" s="389"/>
      <c r="N590" s="389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  <c r="AA590" s="389"/>
    </row>
    <row r="591">
      <c r="A591" s="389"/>
      <c r="B591" s="389"/>
      <c r="C591" s="389"/>
      <c r="D591" s="389"/>
      <c r="E591" s="389"/>
      <c r="F591" s="389"/>
      <c r="G591" s="389"/>
      <c r="H591" s="389"/>
      <c r="I591" s="389"/>
      <c r="J591" s="389"/>
      <c r="K591" s="389"/>
      <c r="L591" s="389"/>
      <c r="M591" s="389"/>
      <c r="N591" s="389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  <c r="AA591" s="389"/>
    </row>
    <row r="592">
      <c r="A592" s="389"/>
      <c r="B592" s="389"/>
      <c r="C592" s="389"/>
      <c r="D592" s="389"/>
      <c r="E592" s="389"/>
      <c r="F592" s="389"/>
      <c r="G592" s="389"/>
      <c r="H592" s="389"/>
      <c r="I592" s="389"/>
      <c r="J592" s="389"/>
      <c r="K592" s="389"/>
      <c r="L592" s="389"/>
      <c r="M592" s="389"/>
      <c r="N592" s="389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  <c r="AA592" s="389"/>
    </row>
    <row r="593">
      <c r="A593" s="389"/>
      <c r="B593" s="389"/>
      <c r="C593" s="389"/>
      <c r="D593" s="389"/>
      <c r="E593" s="389"/>
      <c r="F593" s="389"/>
      <c r="G593" s="389"/>
      <c r="H593" s="389"/>
      <c r="I593" s="389"/>
      <c r="J593" s="389"/>
      <c r="K593" s="389"/>
      <c r="L593" s="389"/>
      <c r="M593" s="389"/>
      <c r="N593" s="389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  <c r="AA593" s="389"/>
    </row>
    <row r="594">
      <c r="A594" s="389"/>
      <c r="B594" s="389"/>
      <c r="C594" s="389"/>
      <c r="D594" s="389"/>
      <c r="E594" s="389"/>
      <c r="F594" s="389"/>
      <c r="G594" s="389"/>
      <c r="H594" s="389"/>
      <c r="I594" s="389"/>
      <c r="J594" s="389"/>
      <c r="K594" s="389"/>
      <c r="L594" s="389"/>
      <c r="M594" s="389"/>
      <c r="N594" s="389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  <c r="AA594" s="389"/>
    </row>
    <row r="595">
      <c r="A595" s="389"/>
      <c r="B595" s="389"/>
      <c r="C595" s="389"/>
      <c r="D595" s="389"/>
      <c r="E595" s="389"/>
      <c r="F595" s="389"/>
      <c r="G595" s="389"/>
      <c r="H595" s="389"/>
      <c r="I595" s="389"/>
      <c r="J595" s="389"/>
      <c r="K595" s="389"/>
      <c r="L595" s="389"/>
      <c r="M595" s="389"/>
      <c r="N595" s="389"/>
      <c r="O595" s="389"/>
      <c r="P595" s="389"/>
      <c r="Q595" s="389"/>
      <c r="R595" s="389"/>
      <c r="S595" s="389"/>
      <c r="T595" s="389"/>
      <c r="U595" s="389"/>
      <c r="V595" s="389"/>
      <c r="W595" s="389"/>
      <c r="X595" s="389"/>
      <c r="Y595" s="389"/>
      <c r="Z595" s="389"/>
      <c r="AA595" s="389"/>
    </row>
    <row r="596">
      <c r="A596" s="389"/>
      <c r="B596" s="389"/>
      <c r="C596" s="389"/>
      <c r="D596" s="389"/>
      <c r="E596" s="389"/>
      <c r="F596" s="389"/>
      <c r="G596" s="389"/>
      <c r="H596" s="389"/>
      <c r="I596" s="389"/>
      <c r="J596" s="389"/>
      <c r="K596" s="389"/>
      <c r="L596" s="389"/>
      <c r="M596" s="389"/>
      <c r="N596" s="389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  <c r="AA596" s="389"/>
    </row>
    <row r="597">
      <c r="A597" s="389"/>
      <c r="B597" s="389"/>
      <c r="C597" s="389"/>
      <c r="D597" s="389"/>
      <c r="E597" s="389"/>
      <c r="F597" s="389"/>
      <c r="G597" s="389"/>
      <c r="H597" s="389"/>
      <c r="I597" s="389"/>
      <c r="J597" s="389"/>
      <c r="K597" s="389"/>
      <c r="L597" s="389"/>
      <c r="M597" s="389"/>
      <c r="N597" s="389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  <c r="AA597" s="389"/>
    </row>
    <row r="598">
      <c r="A598" s="389"/>
      <c r="B598" s="389"/>
      <c r="C598" s="389"/>
      <c r="D598" s="389"/>
      <c r="E598" s="389"/>
      <c r="F598" s="389"/>
      <c r="G598" s="389"/>
      <c r="H598" s="389"/>
      <c r="I598" s="389"/>
      <c r="J598" s="389"/>
      <c r="K598" s="389"/>
      <c r="L598" s="389"/>
      <c r="M598" s="389"/>
      <c r="N598" s="389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  <c r="AA598" s="389"/>
    </row>
    <row r="599">
      <c r="A599" s="389"/>
      <c r="B599" s="389"/>
      <c r="C599" s="389"/>
      <c r="D599" s="389"/>
      <c r="E599" s="389"/>
      <c r="F599" s="389"/>
      <c r="G599" s="389"/>
      <c r="H599" s="389"/>
      <c r="I599" s="389"/>
      <c r="J599" s="389"/>
      <c r="K599" s="389"/>
      <c r="L599" s="389"/>
      <c r="M599" s="389"/>
      <c r="N599" s="389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  <c r="AA599" s="389"/>
    </row>
    <row r="600">
      <c r="A600" s="389"/>
      <c r="B600" s="389"/>
      <c r="C600" s="389"/>
      <c r="D600" s="389"/>
      <c r="E600" s="389"/>
      <c r="F600" s="389"/>
      <c r="G600" s="389"/>
      <c r="H600" s="389"/>
      <c r="I600" s="389"/>
      <c r="J600" s="389"/>
      <c r="K600" s="389"/>
      <c r="L600" s="389"/>
      <c r="M600" s="389"/>
      <c r="N600" s="389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  <c r="AA600" s="389"/>
    </row>
    <row r="601">
      <c r="A601" s="389"/>
      <c r="B601" s="389"/>
      <c r="C601" s="389"/>
      <c r="D601" s="389"/>
      <c r="E601" s="389"/>
      <c r="F601" s="389"/>
      <c r="G601" s="389"/>
      <c r="H601" s="389"/>
      <c r="I601" s="389"/>
      <c r="J601" s="389"/>
      <c r="K601" s="389"/>
      <c r="L601" s="389"/>
      <c r="M601" s="389"/>
      <c r="N601" s="389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  <c r="AA601" s="389"/>
    </row>
    <row r="602">
      <c r="A602" s="389"/>
      <c r="B602" s="389"/>
      <c r="C602" s="389"/>
      <c r="D602" s="389"/>
      <c r="E602" s="389"/>
      <c r="F602" s="389"/>
      <c r="G602" s="389"/>
      <c r="H602" s="389"/>
      <c r="I602" s="389"/>
      <c r="J602" s="389"/>
      <c r="K602" s="389"/>
      <c r="L602" s="389"/>
      <c r="M602" s="389"/>
      <c r="N602" s="389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  <c r="AA602" s="389"/>
    </row>
    <row r="603">
      <c r="A603" s="389"/>
      <c r="B603" s="389"/>
      <c r="C603" s="389"/>
      <c r="D603" s="389"/>
      <c r="E603" s="389"/>
      <c r="F603" s="389"/>
      <c r="G603" s="389"/>
      <c r="H603" s="389"/>
      <c r="I603" s="389"/>
      <c r="J603" s="389"/>
      <c r="K603" s="389"/>
      <c r="L603" s="389"/>
      <c r="M603" s="389"/>
      <c r="N603" s="389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  <c r="AA603" s="389"/>
    </row>
    <row r="604">
      <c r="A604" s="389"/>
      <c r="B604" s="389"/>
      <c r="C604" s="389"/>
      <c r="D604" s="389"/>
      <c r="E604" s="389"/>
      <c r="F604" s="389"/>
      <c r="G604" s="389"/>
      <c r="H604" s="389"/>
      <c r="I604" s="389"/>
      <c r="J604" s="389"/>
      <c r="K604" s="389"/>
      <c r="L604" s="389"/>
      <c r="M604" s="389"/>
      <c r="N604" s="389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  <c r="AA604" s="389"/>
    </row>
    <row r="605">
      <c r="A605" s="389"/>
      <c r="B605" s="389"/>
      <c r="C605" s="389"/>
      <c r="D605" s="389"/>
      <c r="E605" s="389"/>
      <c r="F605" s="389"/>
      <c r="G605" s="389"/>
      <c r="H605" s="389"/>
      <c r="I605" s="389"/>
      <c r="J605" s="389"/>
      <c r="K605" s="389"/>
      <c r="L605" s="389"/>
      <c r="M605" s="389"/>
      <c r="N605" s="389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  <c r="AA605" s="389"/>
    </row>
    <row r="606">
      <c r="A606" s="389"/>
      <c r="B606" s="389"/>
      <c r="C606" s="389"/>
      <c r="D606" s="389"/>
      <c r="E606" s="389"/>
      <c r="F606" s="389"/>
      <c r="G606" s="389"/>
      <c r="H606" s="389"/>
      <c r="I606" s="389"/>
      <c r="J606" s="389"/>
      <c r="K606" s="389"/>
      <c r="L606" s="389"/>
      <c r="M606" s="389"/>
      <c r="N606" s="389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  <c r="AA606" s="389"/>
    </row>
    <row r="607">
      <c r="A607" s="389"/>
      <c r="B607" s="389"/>
      <c r="C607" s="389"/>
      <c r="D607" s="389"/>
      <c r="E607" s="389"/>
      <c r="F607" s="389"/>
      <c r="G607" s="389"/>
      <c r="H607" s="389"/>
      <c r="I607" s="389"/>
      <c r="J607" s="389"/>
      <c r="K607" s="389"/>
      <c r="L607" s="389"/>
      <c r="M607" s="389"/>
      <c r="N607" s="389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  <c r="AA607" s="389"/>
    </row>
    <row r="608">
      <c r="A608" s="389"/>
      <c r="B608" s="389"/>
      <c r="C608" s="389"/>
      <c r="D608" s="389"/>
      <c r="E608" s="389"/>
      <c r="F608" s="389"/>
      <c r="G608" s="389"/>
      <c r="H608" s="389"/>
      <c r="I608" s="389"/>
      <c r="J608" s="389"/>
      <c r="K608" s="389"/>
      <c r="L608" s="389"/>
      <c r="M608" s="389"/>
      <c r="N608" s="389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  <c r="AA608" s="389"/>
    </row>
    <row r="609">
      <c r="A609" s="389"/>
      <c r="B609" s="389"/>
      <c r="C609" s="389"/>
      <c r="D609" s="389"/>
      <c r="E609" s="389"/>
      <c r="F609" s="389"/>
      <c r="G609" s="389"/>
      <c r="H609" s="389"/>
      <c r="I609" s="389"/>
      <c r="J609" s="389"/>
      <c r="K609" s="389"/>
      <c r="L609" s="389"/>
      <c r="M609" s="389"/>
      <c r="N609" s="389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  <c r="AA609" s="389"/>
    </row>
    <row r="610">
      <c r="A610" s="389"/>
      <c r="B610" s="389"/>
      <c r="C610" s="389"/>
      <c r="D610" s="389"/>
      <c r="E610" s="389"/>
      <c r="F610" s="389"/>
      <c r="G610" s="389"/>
      <c r="H610" s="389"/>
      <c r="I610" s="389"/>
      <c r="J610" s="389"/>
      <c r="K610" s="389"/>
      <c r="L610" s="389"/>
      <c r="M610" s="389"/>
      <c r="N610" s="389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  <c r="AA610" s="389"/>
    </row>
    <row r="611">
      <c r="A611" s="389"/>
      <c r="B611" s="389"/>
      <c r="C611" s="389"/>
      <c r="D611" s="389"/>
      <c r="E611" s="389"/>
      <c r="F611" s="389"/>
      <c r="G611" s="389"/>
      <c r="H611" s="389"/>
      <c r="I611" s="389"/>
      <c r="J611" s="389"/>
      <c r="K611" s="389"/>
      <c r="L611" s="389"/>
      <c r="M611" s="389"/>
      <c r="N611" s="389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  <c r="AA611" s="389"/>
    </row>
    <row r="612">
      <c r="A612" s="389"/>
      <c r="B612" s="389"/>
      <c r="C612" s="389"/>
      <c r="D612" s="389"/>
      <c r="E612" s="389"/>
      <c r="F612" s="389"/>
      <c r="G612" s="389"/>
      <c r="H612" s="389"/>
      <c r="I612" s="389"/>
      <c r="J612" s="389"/>
      <c r="K612" s="389"/>
      <c r="L612" s="389"/>
      <c r="M612" s="389"/>
      <c r="N612" s="389"/>
      <c r="O612" s="389"/>
      <c r="P612" s="389"/>
      <c r="Q612" s="389"/>
      <c r="R612" s="389"/>
      <c r="S612" s="389"/>
      <c r="T612" s="389"/>
      <c r="U612" s="389"/>
      <c r="V612" s="389"/>
      <c r="W612" s="389"/>
      <c r="X612" s="389"/>
      <c r="Y612" s="389"/>
      <c r="Z612" s="389"/>
      <c r="AA612" s="389"/>
    </row>
    <row r="613">
      <c r="A613" s="389"/>
      <c r="B613" s="389"/>
      <c r="C613" s="389"/>
      <c r="D613" s="389"/>
      <c r="E613" s="389"/>
      <c r="F613" s="389"/>
      <c r="G613" s="389"/>
      <c r="H613" s="389"/>
      <c r="I613" s="389"/>
      <c r="J613" s="389"/>
      <c r="K613" s="389"/>
      <c r="L613" s="389"/>
      <c r="M613" s="389"/>
      <c r="N613" s="389"/>
      <c r="O613" s="389"/>
      <c r="P613" s="389"/>
      <c r="Q613" s="389"/>
      <c r="R613" s="389"/>
      <c r="S613" s="389"/>
      <c r="T613" s="389"/>
      <c r="U613" s="389"/>
      <c r="V613" s="389"/>
      <c r="W613" s="389"/>
      <c r="X613" s="389"/>
      <c r="Y613" s="389"/>
      <c r="Z613" s="389"/>
      <c r="AA613" s="389"/>
    </row>
    <row r="614">
      <c r="A614" s="389"/>
      <c r="B614" s="389"/>
      <c r="C614" s="389"/>
      <c r="D614" s="389"/>
      <c r="E614" s="389"/>
      <c r="F614" s="389"/>
      <c r="G614" s="389"/>
      <c r="H614" s="389"/>
      <c r="I614" s="389"/>
      <c r="J614" s="389"/>
      <c r="K614" s="389"/>
      <c r="L614" s="389"/>
      <c r="M614" s="389"/>
      <c r="N614" s="389"/>
      <c r="O614" s="389"/>
      <c r="P614" s="389"/>
      <c r="Q614" s="389"/>
      <c r="R614" s="389"/>
      <c r="S614" s="389"/>
      <c r="T614" s="389"/>
      <c r="U614" s="389"/>
      <c r="V614" s="389"/>
      <c r="W614" s="389"/>
      <c r="X614" s="389"/>
      <c r="Y614" s="389"/>
      <c r="Z614" s="389"/>
      <c r="AA614" s="389"/>
    </row>
    <row r="615">
      <c r="A615" s="389"/>
      <c r="B615" s="389"/>
      <c r="C615" s="389"/>
      <c r="D615" s="389"/>
      <c r="E615" s="389"/>
      <c r="F615" s="389"/>
      <c r="G615" s="389"/>
      <c r="H615" s="389"/>
      <c r="I615" s="389"/>
      <c r="J615" s="389"/>
      <c r="K615" s="389"/>
      <c r="L615" s="389"/>
      <c r="M615" s="389"/>
      <c r="N615" s="389"/>
      <c r="O615" s="389"/>
      <c r="P615" s="389"/>
      <c r="Q615" s="389"/>
      <c r="R615" s="389"/>
      <c r="S615" s="389"/>
      <c r="T615" s="389"/>
      <c r="U615" s="389"/>
      <c r="V615" s="389"/>
      <c r="W615" s="389"/>
      <c r="X615" s="389"/>
      <c r="Y615" s="389"/>
      <c r="Z615" s="389"/>
      <c r="AA615" s="389"/>
    </row>
    <row r="616">
      <c r="A616" s="389"/>
      <c r="B616" s="389"/>
      <c r="C616" s="389"/>
      <c r="D616" s="389"/>
      <c r="E616" s="389"/>
      <c r="F616" s="389"/>
      <c r="G616" s="389"/>
      <c r="H616" s="389"/>
      <c r="I616" s="389"/>
      <c r="J616" s="389"/>
      <c r="K616" s="389"/>
      <c r="L616" s="389"/>
      <c r="M616" s="389"/>
      <c r="N616" s="389"/>
      <c r="O616" s="389"/>
      <c r="P616" s="389"/>
      <c r="Q616" s="389"/>
      <c r="R616" s="389"/>
      <c r="S616" s="389"/>
      <c r="T616" s="389"/>
      <c r="U616" s="389"/>
      <c r="V616" s="389"/>
      <c r="W616" s="389"/>
      <c r="X616" s="389"/>
      <c r="Y616" s="389"/>
      <c r="Z616" s="389"/>
      <c r="AA616" s="389"/>
    </row>
    <row r="617">
      <c r="A617" s="389"/>
      <c r="B617" s="389"/>
      <c r="C617" s="389"/>
      <c r="D617" s="389"/>
      <c r="E617" s="389"/>
      <c r="F617" s="389"/>
      <c r="G617" s="389"/>
      <c r="H617" s="389"/>
      <c r="I617" s="389"/>
      <c r="J617" s="389"/>
      <c r="K617" s="389"/>
      <c r="L617" s="389"/>
      <c r="M617" s="389"/>
      <c r="N617" s="389"/>
      <c r="O617" s="389"/>
      <c r="P617" s="389"/>
      <c r="Q617" s="389"/>
      <c r="R617" s="389"/>
      <c r="S617" s="389"/>
      <c r="T617" s="389"/>
      <c r="U617" s="389"/>
      <c r="V617" s="389"/>
      <c r="W617" s="389"/>
      <c r="X617" s="389"/>
      <c r="Y617" s="389"/>
      <c r="Z617" s="389"/>
      <c r="AA617" s="389"/>
    </row>
    <row r="618">
      <c r="A618" s="389"/>
      <c r="B618" s="389"/>
      <c r="C618" s="389"/>
      <c r="D618" s="389"/>
      <c r="E618" s="389"/>
      <c r="F618" s="389"/>
      <c r="G618" s="389"/>
      <c r="H618" s="389"/>
      <c r="I618" s="389"/>
      <c r="J618" s="389"/>
      <c r="K618" s="389"/>
      <c r="L618" s="389"/>
      <c r="M618" s="389"/>
      <c r="N618" s="389"/>
      <c r="O618" s="389"/>
      <c r="P618" s="389"/>
      <c r="Q618" s="389"/>
      <c r="R618" s="389"/>
      <c r="S618" s="389"/>
      <c r="T618" s="389"/>
      <c r="U618" s="389"/>
      <c r="V618" s="389"/>
      <c r="W618" s="389"/>
      <c r="X618" s="389"/>
      <c r="Y618" s="389"/>
      <c r="Z618" s="389"/>
      <c r="AA618" s="389"/>
    </row>
    <row r="619">
      <c r="A619" s="389"/>
      <c r="B619" s="389"/>
      <c r="C619" s="389"/>
      <c r="D619" s="389"/>
      <c r="E619" s="389"/>
      <c r="F619" s="389"/>
      <c r="G619" s="389"/>
      <c r="H619" s="389"/>
      <c r="I619" s="389"/>
      <c r="J619" s="389"/>
      <c r="K619" s="389"/>
      <c r="L619" s="389"/>
      <c r="M619" s="389"/>
      <c r="N619" s="389"/>
      <c r="O619" s="389"/>
      <c r="P619" s="389"/>
      <c r="Q619" s="389"/>
      <c r="R619" s="389"/>
      <c r="S619" s="389"/>
      <c r="T619" s="389"/>
      <c r="U619" s="389"/>
      <c r="V619" s="389"/>
      <c r="W619" s="389"/>
      <c r="X619" s="389"/>
      <c r="Y619" s="389"/>
      <c r="Z619" s="389"/>
      <c r="AA619" s="389"/>
    </row>
    <row r="620">
      <c r="A620" s="389"/>
      <c r="B620" s="389"/>
      <c r="C620" s="389"/>
      <c r="D620" s="389"/>
      <c r="E620" s="389"/>
      <c r="F620" s="389"/>
      <c r="G620" s="389"/>
      <c r="H620" s="389"/>
      <c r="I620" s="389"/>
      <c r="J620" s="389"/>
      <c r="K620" s="389"/>
      <c r="L620" s="389"/>
      <c r="M620" s="389"/>
      <c r="N620" s="389"/>
      <c r="O620" s="389"/>
      <c r="P620" s="389"/>
      <c r="Q620" s="389"/>
      <c r="R620" s="389"/>
      <c r="S620" s="389"/>
      <c r="T620" s="389"/>
      <c r="U620" s="389"/>
      <c r="V620" s="389"/>
      <c r="W620" s="389"/>
      <c r="X620" s="389"/>
      <c r="Y620" s="389"/>
      <c r="Z620" s="389"/>
      <c r="AA620" s="389"/>
    </row>
    <row r="621">
      <c r="A621" s="389"/>
      <c r="B621" s="389"/>
      <c r="C621" s="389"/>
      <c r="D621" s="389"/>
      <c r="E621" s="389"/>
      <c r="F621" s="389"/>
      <c r="G621" s="389"/>
      <c r="H621" s="389"/>
      <c r="I621" s="389"/>
      <c r="J621" s="389"/>
      <c r="K621" s="389"/>
      <c r="L621" s="389"/>
      <c r="M621" s="389"/>
      <c r="N621" s="389"/>
      <c r="O621" s="389"/>
      <c r="P621" s="389"/>
      <c r="Q621" s="389"/>
      <c r="R621" s="389"/>
      <c r="S621" s="389"/>
      <c r="T621" s="389"/>
      <c r="U621" s="389"/>
      <c r="V621" s="389"/>
      <c r="W621" s="389"/>
      <c r="X621" s="389"/>
      <c r="Y621" s="389"/>
      <c r="Z621" s="389"/>
      <c r="AA621" s="389"/>
    </row>
    <row r="622">
      <c r="A622" s="389"/>
      <c r="B622" s="389"/>
      <c r="C622" s="389"/>
      <c r="D622" s="389"/>
      <c r="E622" s="389"/>
      <c r="F622" s="389"/>
      <c r="G622" s="389"/>
      <c r="H622" s="389"/>
      <c r="I622" s="389"/>
      <c r="J622" s="389"/>
      <c r="K622" s="389"/>
      <c r="L622" s="389"/>
      <c r="M622" s="389"/>
      <c r="N622" s="389"/>
      <c r="O622" s="389"/>
      <c r="P622" s="389"/>
      <c r="Q622" s="389"/>
      <c r="R622" s="389"/>
      <c r="S622" s="389"/>
      <c r="T622" s="389"/>
      <c r="U622" s="389"/>
      <c r="V622" s="389"/>
      <c r="W622" s="389"/>
      <c r="X622" s="389"/>
      <c r="Y622" s="389"/>
      <c r="Z622" s="389"/>
      <c r="AA622" s="389"/>
    </row>
    <row r="623">
      <c r="A623" s="389"/>
      <c r="B623" s="389"/>
      <c r="C623" s="389"/>
      <c r="D623" s="389"/>
      <c r="E623" s="389"/>
      <c r="F623" s="389"/>
      <c r="G623" s="389"/>
      <c r="H623" s="389"/>
      <c r="I623" s="389"/>
      <c r="J623" s="389"/>
      <c r="K623" s="389"/>
      <c r="L623" s="389"/>
      <c r="M623" s="389"/>
      <c r="N623" s="389"/>
      <c r="O623" s="389"/>
      <c r="P623" s="389"/>
      <c r="Q623" s="389"/>
      <c r="R623" s="389"/>
      <c r="S623" s="389"/>
      <c r="T623" s="389"/>
      <c r="U623" s="389"/>
      <c r="V623" s="389"/>
      <c r="W623" s="389"/>
      <c r="X623" s="389"/>
      <c r="Y623" s="389"/>
      <c r="Z623" s="389"/>
      <c r="AA623" s="389"/>
    </row>
    <row r="624">
      <c r="A624" s="389"/>
      <c r="B624" s="389"/>
      <c r="C624" s="389"/>
      <c r="D624" s="389"/>
      <c r="E624" s="389"/>
      <c r="F624" s="389"/>
      <c r="G624" s="389"/>
      <c r="H624" s="389"/>
      <c r="I624" s="389"/>
      <c r="J624" s="389"/>
      <c r="K624" s="389"/>
      <c r="L624" s="389"/>
      <c r="M624" s="389"/>
      <c r="N624" s="389"/>
      <c r="O624" s="389"/>
      <c r="P624" s="389"/>
      <c r="Q624" s="389"/>
      <c r="R624" s="389"/>
      <c r="S624" s="389"/>
      <c r="T624" s="389"/>
      <c r="U624" s="389"/>
      <c r="V624" s="389"/>
      <c r="W624" s="389"/>
      <c r="X624" s="389"/>
      <c r="Y624" s="389"/>
      <c r="Z624" s="389"/>
      <c r="AA624" s="389"/>
    </row>
    <row r="625">
      <c r="A625" s="389"/>
      <c r="B625" s="389"/>
      <c r="C625" s="389"/>
      <c r="D625" s="389"/>
      <c r="E625" s="389"/>
      <c r="F625" s="389"/>
      <c r="G625" s="389"/>
      <c r="H625" s="389"/>
      <c r="I625" s="389"/>
      <c r="J625" s="389"/>
      <c r="K625" s="389"/>
      <c r="L625" s="389"/>
      <c r="M625" s="389"/>
      <c r="N625" s="389"/>
      <c r="O625" s="389"/>
      <c r="P625" s="389"/>
      <c r="Q625" s="389"/>
      <c r="R625" s="389"/>
      <c r="S625" s="389"/>
      <c r="T625" s="389"/>
      <c r="U625" s="389"/>
      <c r="V625" s="389"/>
      <c r="W625" s="389"/>
      <c r="X625" s="389"/>
      <c r="Y625" s="389"/>
      <c r="Z625" s="389"/>
      <c r="AA625" s="389"/>
    </row>
    <row r="626">
      <c r="A626" s="389"/>
      <c r="B626" s="389"/>
      <c r="C626" s="389"/>
      <c r="D626" s="389"/>
      <c r="E626" s="389"/>
      <c r="F626" s="389"/>
      <c r="G626" s="389"/>
      <c r="H626" s="389"/>
      <c r="I626" s="389"/>
      <c r="J626" s="389"/>
      <c r="K626" s="389"/>
      <c r="L626" s="389"/>
      <c r="M626" s="389"/>
      <c r="N626" s="389"/>
      <c r="O626" s="389"/>
      <c r="P626" s="389"/>
      <c r="Q626" s="389"/>
      <c r="R626" s="389"/>
      <c r="S626" s="389"/>
      <c r="T626" s="389"/>
      <c r="U626" s="389"/>
      <c r="V626" s="389"/>
      <c r="W626" s="389"/>
      <c r="X626" s="389"/>
      <c r="Y626" s="389"/>
      <c r="Z626" s="389"/>
      <c r="AA626" s="389"/>
    </row>
    <row r="627">
      <c r="A627" s="389"/>
      <c r="B627" s="389"/>
      <c r="C627" s="389"/>
      <c r="D627" s="389"/>
      <c r="E627" s="389"/>
      <c r="F627" s="389"/>
      <c r="G627" s="389"/>
      <c r="H627" s="389"/>
      <c r="I627" s="389"/>
      <c r="J627" s="389"/>
      <c r="K627" s="389"/>
      <c r="L627" s="389"/>
      <c r="M627" s="389"/>
      <c r="N627" s="389"/>
      <c r="O627" s="389"/>
      <c r="P627" s="389"/>
      <c r="Q627" s="389"/>
      <c r="R627" s="389"/>
      <c r="S627" s="389"/>
      <c r="T627" s="389"/>
      <c r="U627" s="389"/>
      <c r="V627" s="389"/>
      <c r="W627" s="389"/>
      <c r="X627" s="389"/>
      <c r="Y627" s="389"/>
      <c r="Z627" s="389"/>
      <c r="AA627" s="389"/>
    </row>
    <row r="628">
      <c r="A628" s="389"/>
      <c r="B628" s="389"/>
      <c r="C628" s="389"/>
      <c r="D628" s="389"/>
      <c r="E628" s="389"/>
      <c r="F628" s="389"/>
      <c r="G628" s="389"/>
      <c r="H628" s="389"/>
      <c r="I628" s="389"/>
      <c r="J628" s="389"/>
      <c r="K628" s="389"/>
      <c r="L628" s="389"/>
      <c r="M628" s="389"/>
      <c r="N628" s="389"/>
      <c r="O628" s="389"/>
      <c r="P628" s="389"/>
      <c r="Q628" s="389"/>
      <c r="R628" s="389"/>
      <c r="S628" s="389"/>
      <c r="T628" s="389"/>
      <c r="U628" s="389"/>
      <c r="V628" s="389"/>
      <c r="W628" s="389"/>
      <c r="X628" s="389"/>
      <c r="Y628" s="389"/>
      <c r="Z628" s="389"/>
      <c r="AA628" s="389"/>
    </row>
    <row r="629">
      <c r="A629" s="389"/>
      <c r="B629" s="389"/>
      <c r="C629" s="389"/>
      <c r="D629" s="389"/>
      <c r="E629" s="389"/>
      <c r="F629" s="389"/>
      <c r="G629" s="389"/>
      <c r="H629" s="389"/>
      <c r="I629" s="389"/>
      <c r="J629" s="389"/>
      <c r="K629" s="389"/>
      <c r="L629" s="389"/>
      <c r="M629" s="389"/>
      <c r="N629" s="389"/>
      <c r="O629" s="389"/>
      <c r="P629" s="389"/>
      <c r="Q629" s="389"/>
      <c r="R629" s="389"/>
      <c r="S629" s="389"/>
      <c r="T629" s="389"/>
      <c r="U629" s="389"/>
      <c r="V629" s="389"/>
      <c r="W629" s="389"/>
      <c r="X629" s="389"/>
      <c r="Y629" s="389"/>
      <c r="Z629" s="389"/>
      <c r="AA629" s="389"/>
    </row>
    <row r="630">
      <c r="A630" s="389"/>
      <c r="B630" s="389"/>
      <c r="C630" s="389"/>
      <c r="D630" s="389"/>
      <c r="E630" s="389"/>
      <c r="F630" s="389"/>
      <c r="G630" s="389"/>
      <c r="H630" s="389"/>
      <c r="I630" s="389"/>
      <c r="J630" s="389"/>
      <c r="K630" s="389"/>
      <c r="L630" s="389"/>
      <c r="M630" s="389"/>
      <c r="N630" s="389"/>
      <c r="O630" s="389"/>
      <c r="P630" s="389"/>
      <c r="Q630" s="389"/>
      <c r="R630" s="389"/>
      <c r="S630" s="389"/>
      <c r="T630" s="389"/>
      <c r="U630" s="389"/>
      <c r="V630" s="389"/>
      <c r="W630" s="389"/>
      <c r="X630" s="389"/>
      <c r="Y630" s="389"/>
      <c r="Z630" s="389"/>
      <c r="AA630" s="389"/>
    </row>
    <row r="631">
      <c r="A631" s="389"/>
      <c r="B631" s="389"/>
      <c r="C631" s="389"/>
      <c r="D631" s="389"/>
      <c r="E631" s="389"/>
      <c r="F631" s="389"/>
      <c r="G631" s="389"/>
      <c r="H631" s="389"/>
      <c r="I631" s="389"/>
      <c r="J631" s="389"/>
      <c r="K631" s="389"/>
      <c r="L631" s="389"/>
      <c r="M631" s="389"/>
      <c r="N631" s="389"/>
      <c r="O631" s="389"/>
      <c r="P631" s="389"/>
      <c r="Q631" s="389"/>
      <c r="R631" s="389"/>
      <c r="S631" s="389"/>
      <c r="T631" s="389"/>
      <c r="U631" s="389"/>
      <c r="V631" s="389"/>
      <c r="W631" s="389"/>
      <c r="X631" s="389"/>
      <c r="Y631" s="389"/>
      <c r="Z631" s="389"/>
      <c r="AA631" s="389"/>
    </row>
    <row r="632">
      <c r="A632" s="389"/>
      <c r="B632" s="389"/>
      <c r="C632" s="389"/>
      <c r="D632" s="389"/>
      <c r="E632" s="389"/>
      <c r="F632" s="389"/>
      <c r="G632" s="389"/>
      <c r="H632" s="389"/>
      <c r="I632" s="389"/>
      <c r="J632" s="389"/>
      <c r="K632" s="389"/>
      <c r="L632" s="389"/>
      <c r="M632" s="389"/>
      <c r="N632" s="389"/>
      <c r="O632" s="389"/>
      <c r="P632" s="389"/>
      <c r="Q632" s="389"/>
      <c r="R632" s="389"/>
      <c r="S632" s="389"/>
      <c r="T632" s="389"/>
      <c r="U632" s="389"/>
      <c r="V632" s="389"/>
      <c r="W632" s="389"/>
      <c r="X632" s="389"/>
      <c r="Y632" s="389"/>
      <c r="Z632" s="389"/>
      <c r="AA632" s="389"/>
    </row>
    <row r="633">
      <c r="A633" s="389"/>
      <c r="B633" s="389"/>
      <c r="C633" s="389"/>
      <c r="D633" s="389"/>
      <c r="E633" s="389"/>
      <c r="F633" s="389"/>
      <c r="G633" s="389"/>
      <c r="H633" s="389"/>
      <c r="I633" s="389"/>
      <c r="J633" s="389"/>
      <c r="K633" s="389"/>
      <c r="L633" s="389"/>
      <c r="M633" s="389"/>
      <c r="N633" s="389"/>
      <c r="O633" s="389"/>
      <c r="P633" s="389"/>
      <c r="Q633" s="389"/>
      <c r="R633" s="389"/>
      <c r="S633" s="389"/>
      <c r="T633" s="389"/>
      <c r="U633" s="389"/>
      <c r="V633" s="389"/>
      <c r="W633" s="389"/>
      <c r="X633" s="389"/>
      <c r="Y633" s="389"/>
      <c r="Z633" s="389"/>
      <c r="AA633" s="389"/>
    </row>
    <row r="634">
      <c r="A634" s="389"/>
      <c r="B634" s="389"/>
      <c r="C634" s="389"/>
      <c r="D634" s="389"/>
      <c r="E634" s="389"/>
      <c r="F634" s="389"/>
      <c r="G634" s="389"/>
      <c r="H634" s="389"/>
      <c r="I634" s="389"/>
      <c r="J634" s="389"/>
      <c r="K634" s="389"/>
      <c r="L634" s="389"/>
      <c r="M634" s="389"/>
      <c r="N634" s="389"/>
      <c r="O634" s="389"/>
      <c r="P634" s="389"/>
      <c r="Q634" s="389"/>
      <c r="R634" s="389"/>
      <c r="S634" s="389"/>
      <c r="T634" s="389"/>
      <c r="U634" s="389"/>
      <c r="V634" s="389"/>
      <c r="W634" s="389"/>
      <c r="X634" s="389"/>
      <c r="Y634" s="389"/>
      <c r="Z634" s="389"/>
      <c r="AA634" s="389"/>
    </row>
    <row r="635">
      <c r="A635" s="389"/>
      <c r="B635" s="389"/>
      <c r="C635" s="389"/>
      <c r="D635" s="389"/>
      <c r="E635" s="389"/>
      <c r="F635" s="389"/>
      <c r="G635" s="389"/>
      <c r="H635" s="389"/>
      <c r="I635" s="389"/>
      <c r="J635" s="389"/>
      <c r="K635" s="389"/>
      <c r="L635" s="389"/>
      <c r="M635" s="389"/>
      <c r="N635" s="389"/>
      <c r="O635" s="389"/>
      <c r="P635" s="389"/>
      <c r="Q635" s="389"/>
      <c r="R635" s="389"/>
      <c r="S635" s="389"/>
      <c r="T635" s="389"/>
      <c r="U635" s="389"/>
      <c r="V635" s="389"/>
      <c r="W635" s="389"/>
      <c r="X635" s="389"/>
      <c r="Y635" s="389"/>
      <c r="Z635" s="389"/>
      <c r="AA635" s="389"/>
    </row>
    <row r="636">
      <c r="A636" s="389"/>
      <c r="B636" s="389"/>
      <c r="C636" s="389"/>
      <c r="D636" s="389"/>
      <c r="E636" s="389"/>
      <c r="F636" s="389"/>
      <c r="G636" s="389"/>
      <c r="H636" s="389"/>
      <c r="I636" s="389"/>
      <c r="J636" s="389"/>
      <c r="K636" s="389"/>
      <c r="L636" s="389"/>
      <c r="M636" s="389"/>
      <c r="N636" s="389"/>
      <c r="O636" s="389"/>
      <c r="P636" s="389"/>
      <c r="Q636" s="389"/>
      <c r="R636" s="389"/>
      <c r="S636" s="389"/>
      <c r="T636" s="389"/>
      <c r="U636" s="389"/>
      <c r="V636" s="389"/>
      <c r="W636" s="389"/>
      <c r="X636" s="389"/>
      <c r="Y636" s="389"/>
      <c r="Z636" s="389"/>
      <c r="AA636" s="389"/>
    </row>
    <row r="637">
      <c r="A637" s="389"/>
      <c r="B637" s="389"/>
      <c r="C637" s="389"/>
      <c r="D637" s="389"/>
      <c r="E637" s="389"/>
      <c r="F637" s="389"/>
      <c r="G637" s="389"/>
      <c r="H637" s="389"/>
      <c r="I637" s="389"/>
      <c r="J637" s="389"/>
      <c r="K637" s="389"/>
      <c r="L637" s="389"/>
      <c r="M637" s="389"/>
      <c r="N637" s="389"/>
      <c r="O637" s="389"/>
      <c r="P637" s="389"/>
      <c r="Q637" s="389"/>
      <c r="R637" s="389"/>
      <c r="S637" s="389"/>
      <c r="T637" s="389"/>
      <c r="U637" s="389"/>
      <c r="V637" s="389"/>
      <c r="W637" s="389"/>
      <c r="X637" s="389"/>
      <c r="Y637" s="389"/>
      <c r="Z637" s="389"/>
      <c r="AA637" s="389"/>
    </row>
    <row r="638">
      <c r="A638" s="389"/>
      <c r="B638" s="389"/>
      <c r="C638" s="389"/>
      <c r="D638" s="389"/>
      <c r="E638" s="389"/>
      <c r="F638" s="389"/>
      <c r="G638" s="389"/>
      <c r="H638" s="389"/>
      <c r="I638" s="389"/>
      <c r="J638" s="389"/>
      <c r="K638" s="389"/>
      <c r="L638" s="389"/>
      <c r="M638" s="389"/>
      <c r="N638" s="389"/>
      <c r="O638" s="389"/>
      <c r="P638" s="389"/>
      <c r="Q638" s="389"/>
      <c r="R638" s="389"/>
      <c r="S638" s="389"/>
      <c r="T638" s="389"/>
      <c r="U638" s="389"/>
      <c r="V638" s="389"/>
      <c r="W638" s="389"/>
      <c r="X638" s="389"/>
      <c r="Y638" s="389"/>
      <c r="Z638" s="389"/>
      <c r="AA638" s="389"/>
    </row>
    <row r="639">
      <c r="A639" s="389"/>
      <c r="B639" s="389"/>
      <c r="C639" s="389"/>
      <c r="D639" s="389"/>
      <c r="E639" s="389"/>
      <c r="F639" s="389"/>
      <c r="G639" s="389"/>
      <c r="H639" s="389"/>
      <c r="I639" s="389"/>
      <c r="J639" s="389"/>
      <c r="K639" s="389"/>
      <c r="L639" s="389"/>
      <c r="M639" s="389"/>
      <c r="N639" s="389"/>
      <c r="O639" s="389"/>
      <c r="P639" s="389"/>
      <c r="Q639" s="389"/>
      <c r="R639" s="389"/>
      <c r="S639" s="389"/>
      <c r="T639" s="389"/>
      <c r="U639" s="389"/>
      <c r="V639" s="389"/>
      <c r="W639" s="389"/>
      <c r="X639" s="389"/>
      <c r="Y639" s="389"/>
      <c r="Z639" s="389"/>
      <c r="AA639" s="389"/>
    </row>
    <row r="640">
      <c r="A640" s="389"/>
      <c r="B640" s="389"/>
      <c r="C640" s="389"/>
      <c r="D640" s="389"/>
      <c r="E640" s="389"/>
      <c r="F640" s="389"/>
      <c r="G640" s="389"/>
      <c r="H640" s="389"/>
      <c r="I640" s="389"/>
      <c r="J640" s="389"/>
      <c r="K640" s="389"/>
      <c r="L640" s="389"/>
      <c r="M640" s="389"/>
      <c r="N640" s="389"/>
      <c r="O640" s="389"/>
      <c r="P640" s="389"/>
      <c r="Q640" s="389"/>
      <c r="R640" s="389"/>
      <c r="S640" s="389"/>
      <c r="T640" s="389"/>
      <c r="U640" s="389"/>
      <c r="V640" s="389"/>
      <c r="W640" s="389"/>
      <c r="X640" s="389"/>
      <c r="Y640" s="389"/>
      <c r="Z640" s="389"/>
      <c r="AA640" s="389"/>
    </row>
    <row r="641">
      <c r="A641" s="389"/>
      <c r="B641" s="389"/>
      <c r="C641" s="389"/>
      <c r="D641" s="389"/>
      <c r="E641" s="389"/>
      <c r="F641" s="389"/>
      <c r="G641" s="389"/>
      <c r="H641" s="389"/>
      <c r="I641" s="389"/>
      <c r="J641" s="389"/>
      <c r="K641" s="389"/>
      <c r="L641" s="389"/>
      <c r="M641" s="389"/>
      <c r="N641" s="389"/>
      <c r="O641" s="389"/>
      <c r="P641" s="389"/>
      <c r="Q641" s="389"/>
      <c r="R641" s="389"/>
      <c r="S641" s="389"/>
      <c r="T641" s="389"/>
      <c r="U641" s="389"/>
      <c r="V641" s="389"/>
      <c r="W641" s="389"/>
      <c r="X641" s="389"/>
      <c r="Y641" s="389"/>
      <c r="Z641" s="389"/>
      <c r="AA641" s="389"/>
    </row>
    <row r="642">
      <c r="A642" s="389"/>
      <c r="B642" s="389"/>
      <c r="C642" s="389"/>
      <c r="D642" s="389"/>
      <c r="E642" s="389"/>
      <c r="F642" s="389"/>
      <c r="G642" s="389"/>
      <c r="H642" s="389"/>
      <c r="I642" s="389"/>
      <c r="J642" s="389"/>
      <c r="K642" s="389"/>
      <c r="L642" s="389"/>
      <c r="M642" s="389"/>
      <c r="N642" s="389"/>
      <c r="O642" s="389"/>
      <c r="P642" s="389"/>
      <c r="Q642" s="389"/>
      <c r="R642" s="389"/>
      <c r="S642" s="389"/>
      <c r="T642" s="389"/>
      <c r="U642" s="389"/>
      <c r="V642" s="389"/>
      <c r="W642" s="389"/>
      <c r="X642" s="389"/>
      <c r="Y642" s="389"/>
      <c r="Z642" s="389"/>
      <c r="AA642" s="389"/>
    </row>
    <row r="643">
      <c r="A643" s="389"/>
      <c r="B643" s="389"/>
      <c r="C643" s="389"/>
      <c r="D643" s="389"/>
      <c r="E643" s="389"/>
      <c r="F643" s="389"/>
      <c r="G643" s="389"/>
      <c r="H643" s="389"/>
      <c r="I643" s="389"/>
      <c r="J643" s="389"/>
      <c r="K643" s="389"/>
      <c r="L643" s="389"/>
      <c r="M643" s="389"/>
      <c r="N643" s="389"/>
      <c r="O643" s="389"/>
      <c r="P643" s="389"/>
      <c r="Q643" s="389"/>
      <c r="R643" s="389"/>
      <c r="S643" s="389"/>
      <c r="T643" s="389"/>
      <c r="U643" s="389"/>
      <c r="V643" s="389"/>
      <c r="W643" s="389"/>
      <c r="X643" s="389"/>
      <c r="Y643" s="389"/>
      <c r="Z643" s="389"/>
      <c r="AA643" s="389"/>
    </row>
    <row r="644">
      <c r="A644" s="389"/>
      <c r="B644" s="389"/>
      <c r="C644" s="389"/>
      <c r="D644" s="389"/>
      <c r="E644" s="389"/>
      <c r="F644" s="389"/>
      <c r="G644" s="389"/>
      <c r="H644" s="389"/>
      <c r="I644" s="389"/>
      <c r="J644" s="389"/>
      <c r="K644" s="389"/>
      <c r="L644" s="389"/>
      <c r="M644" s="389"/>
      <c r="N644" s="389"/>
      <c r="O644" s="389"/>
      <c r="P644" s="389"/>
      <c r="Q644" s="389"/>
      <c r="R644" s="389"/>
      <c r="S644" s="389"/>
      <c r="T644" s="389"/>
      <c r="U644" s="389"/>
      <c r="V644" s="389"/>
      <c r="W644" s="389"/>
      <c r="X644" s="389"/>
      <c r="Y644" s="389"/>
      <c r="Z644" s="389"/>
      <c r="AA644" s="389"/>
    </row>
    <row r="645">
      <c r="A645" s="389"/>
      <c r="B645" s="389"/>
      <c r="C645" s="389"/>
      <c r="D645" s="389"/>
      <c r="E645" s="389"/>
      <c r="F645" s="389"/>
      <c r="G645" s="389"/>
      <c r="H645" s="389"/>
      <c r="I645" s="389"/>
      <c r="J645" s="389"/>
      <c r="K645" s="389"/>
      <c r="L645" s="389"/>
      <c r="M645" s="389"/>
      <c r="N645" s="389"/>
      <c r="O645" s="389"/>
      <c r="P645" s="389"/>
      <c r="Q645" s="389"/>
      <c r="R645" s="389"/>
      <c r="S645" s="389"/>
      <c r="T645" s="389"/>
      <c r="U645" s="389"/>
      <c r="V645" s="389"/>
      <c r="W645" s="389"/>
      <c r="X645" s="389"/>
      <c r="Y645" s="389"/>
      <c r="Z645" s="389"/>
      <c r="AA645" s="389"/>
    </row>
    <row r="646">
      <c r="A646" s="389"/>
      <c r="B646" s="389"/>
      <c r="C646" s="389"/>
      <c r="D646" s="389"/>
      <c r="E646" s="389"/>
      <c r="F646" s="389"/>
      <c r="G646" s="389"/>
      <c r="H646" s="389"/>
      <c r="I646" s="389"/>
      <c r="J646" s="389"/>
      <c r="K646" s="389"/>
      <c r="L646" s="389"/>
      <c r="M646" s="389"/>
      <c r="N646" s="389"/>
      <c r="O646" s="389"/>
      <c r="P646" s="389"/>
      <c r="Q646" s="389"/>
      <c r="R646" s="389"/>
      <c r="S646" s="389"/>
      <c r="T646" s="389"/>
      <c r="U646" s="389"/>
      <c r="V646" s="389"/>
      <c r="W646" s="389"/>
      <c r="X646" s="389"/>
      <c r="Y646" s="389"/>
      <c r="Z646" s="389"/>
      <c r="AA646" s="389"/>
    </row>
    <row r="647">
      <c r="A647" s="389"/>
      <c r="B647" s="389"/>
      <c r="C647" s="389"/>
      <c r="D647" s="389"/>
      <c r="E647" s="389"/>
      <c r="F647" s="389"/>
      <c r="G647" s="389"/>
      <c r="H647" s="389"/>
      <c r="I647" s="389"/>
      <c r="J647" s="389"/>
      <c r="K647" s="389"/>
      <c r="L647" s="389"/>
      <c r="M647" s="389"/>
      <c r="N647" s="389"/>
      <c r="O647" s="389"/>
      <c r="P647" s="389"/>
      <c r="Q647" s="389"/>
      <c r="R647" s="389"/>
      <c r="S647" s="389"/>
      <c r="T647" s="389"/>
      <c r="U647" s="389"/>
      <c r="V647" s="389"/>
      <c r="W647" s="389"/>
      <c r="X647" s="389"/>
      <c r="Y647" s="389"/>
      <c r="Z647" s="389"/>
      <c r="AA647" s="389"/>
    </row>
    <row r="648">
      <c r="A648" s="389"/>
      <c r="B648" s="389"/>
      <c r="C648" s="389"/>
      <c r="D648" s="389"/>
      <c r="E648" s="389"/>
      <c r="F648" s="389"/>
      <c r="G648" s="389"/>
      <c r="H648" s="389"/>
      <c r="I648" s="389"/>
      <c r="J648" s="389"/>
      <c r="K648" s="389"/>
      <c r="L648" s="389"/>
      <c r="M648" s="389"/>
      <c r="N648" s="389"/>
      <c r="O648" s="389"/>
      <c r="P648" s="389"/>
      <c r="Q648" s="389"/>
      <c r="R648" s="389"/>
      <c r="S648" s="389"/>
      <c r="T648" s="389"/>
      <c r="U648" s="389"/>
      <c r="V648" s="389"/>
      <c r="W648" s="389"/>
      <c r="X648" s="389"/>
      <c r="Y648" s="389"/>
      <c r="Z648" s="389"/>
      <c r="AA648" s="389"/>
    </row>
    <row r="649">
      <c r="A649" s="389"/>
      <c r="B649" s="389"/>
      <c r="C649" s="389"/>
      <c r="D649" s="389"/>
      <c r="E649" s="389"/>
      <c r="F649" s="389"/>
      <c r="G649" s="389"/>
      <c r="H649" s="389"/>
      <c r="I649" s="389"/>
      <c r="J649" s="389"/>
      <c r="K649" s="389"/>
      <c r="L649" s="389"/>
      <c r="M649" s="389"/>
      <c r="N649" s="389"/>
      <c r="O649" s="389"/>
      <c r="P649" s="389"/>
      <c r="Q649" s="389"/>
      <c r="R649" s="389"/>
      <c r="S649" s="389"/>
      <c r="T649" s="389"/>
      <c r="U649" s="389"/>
      <c r="V649" s="389"/>
      <c r="W649" s="389"/>
      <c r="X649" s="389"/>
      <c r="Y649" s="389"/>
      <c r="Z649" s="389"/>
      <c r="AA649" s="389"/>
    </row>
    <row r="650">
      <c r="A650" s="389"/>
      <c r="B650" s="389"/>
      <c r="C650" s="389"/>
      <c r="D650" s="389"/>
      <c r="E650" s="389"/>
      <c r="F650" s="389"/>
      <c r="G650" s="389"/>
      <c r="H650" s="389"/>
      <c r="I650" s="389"/>
      <c r="J650" s="389"/>
      <c r="K650" s="389"/>
      <c r="L650" s="389"/>
      <c r="M650" s="389"/>
      <c r="N650" s="389"/>
      <c r="O650" s="389"/>
      <c r="P650" s="389"/>
      <c r="Q650" s="389"/>
      <c r="R650" s="389"/>
      <c r="S650" s="389"/>
      <c r="T650" s="389"/>
      <c r="U650" s="389"/>
      <c r="V650" s="389"/>
      <c r="W650" s="389"/>
      <c r="X650" s="389"/>
      <c r="Y650" s="389"/>
      <c r="Z650" s="389"/>
      <c r="AA650" s="389"/>
    </row>
    <row r="651">
      <c r="A651" s="389"/>
      <c r="B651" s="389"/>
      <c r="C651" s="389"/>
      <c r="D651" s="389"/>
      <c r="E651" s="389"/>
      <c r="F651" s="389"/>
      <c r="G651" s="389"/>
      <c r="H651" s="389"/>
      <c r="I651" s="389"/>
      <c r="J651" s="389"/>
      <c r="K651" s="389"/>
      <c r="L651" s="389"/>
      <c r="M651" s="389"/>
      <c r="N651" s="389"/>
      <c r="O651" s="389"/>
      <c r="P651" s="389"/>
      <c r="Q651" s="389"/>
      <c r="R651" s="389"/>
      <c r="S651" s="389"/>
      <c r="T651" s="389"/>
      <c r="U651" s="389"/>
      <c r="V651" s="389"/>
      <c r="W651" s="389"/>
      <c r="X651" s="389"/>
      <c r="Y651" s="389"/>
      <c r="Z651" s="389"/>
      <c r="AA651" s="389"/>
    </row>
    <row r="652">
      <c r="A652" s="389"/>
      <c r="B652" s="389"/>
      <c r="C652" s="389"/>
      <c r="D652" s="389"/>
      <c r="E652" s="389"/>
      <c r="F652" s="389"/>
      <c r="G652" s="389"/>
      <c r="H652" s="389"/>
      <c r="I652" s="389"/>
      <c r="J652" s="389"/>
      <c r="K652" s="389"/>
      <c r="L652" s="389"/>
      <c r="M652" s="389"/>
      <c r="N652" s="389"/>
      <c r="O652" s="389"/>
      <c r="P652" s="389"/>
      <c r="Q652" s="389"/>
      <c r="R652" s="389"/>
      <c r="S652" s="389"/>
      <c r="T652" s="389"/>
      <c r="U652" s="389"/>
      <c r="V652" s="389"/>
      <c r="W652" s="389"/>
      <c r="X652" s="389"/>
      <c r="Y652" s="389"/>
      <c r="Z652" s="389"/>
      <c r="AA652" s="389"/>
    </row>
    <row r="653">
      <c r="A653" s="389"/>
      <c r="B653" s="389"/>
      <c r="C653" s="389"/>
      <c r="D653" s="389"/>
      <c r="E653" s="389"/>
      <c r="F653" s="389"/>
      <c r="G653" s="389"/>
      <c r="H653" s="389"/>
      <c r="I653" s="389"/>
      <c r="J653" s="389"/>
      <c r="K653" s="389"/>
      <c r="L653" s="389"/>
      <c r="M653" s="389"/>
      <c r="N653" s="389"/>
      <c r="O653" s="389"/>
      <c r="P653" s="389"/>
      <c r="Q653" s="389"/>
      <c r="R653" s="389"/>
      <c r="S653" s="389"/>
      <c r="T653" s="389"/>
      <c r="U653" s="389"/>
      <c r="V653" s="389"/>
      <c r="W653" s="389"/>
      <c r="X653" s="389"/>
      <c r="Y653" s="389"/>
      <c r="Z653" s="389"/>
      <c r="AA653" s="389"/>
    </row>
    <row r="654">
      <c r="A654" s="389"/>
      <c r="B654" s="389"/>
      <c r="C654" s="389"/>
      <c r="D654" s="389"/>
      <c r="E654" s="389"/>
      <c r="F654" s="389"/>
      <c r="G654" s="389"/>
      <c r="H654" s="389"/>
      <c r="I654" s="389"/>
      <c r="J654" s="389"/>
      <c r="K654" s="389"/>
      <c r="L654" s="389"/>
      <c r="M654" s="389"/>
      <c r="N654" s="389"/>
      <c r="O654" s="389"/>
      <c r="P654" s="389"/>
      <c r="Q654" s="389"/>
      <c r="R654" s="389"/>
      <c r="S654" s="389"/>
      <c r="T654" s="389"/>
      <c r="U654" s="389"/>
      <c r="V654" s="389"/>
      <c r="W654" s="389"/>
      <c r="X654" s="389"/>
      <c r="Y654" s="389"/>
      <c r="Z654" s="389"/>
      <c r="AA654" s="389"/>
    </row>
    <row r="655">
      <c r="A655" s="389"/>
      <c r="B655" s="389"/>
      <c r="C655" s="389"/>
      <c r="D655" s="389"/>
      <c r="E655" s="389"/>
      <c r="F655" s="389"/>
      <c r="G655" s="389"/>
      <c r="H655" s="389"/>
      <c r="I655" s="389"/>
      <c r="J655" s="389"/>
      <c r="K655" s="389"/>
      <c r="L655" s="389"/>
      <c r="M655" s="389"/>
      <c r="N655" s="389"/>
      <c r="O655" s="389"/>
      <c r="P655" s="389"/>
      <c r="Q655" s="389"/>
      <c r="R655" s="389"/>
      <c r="S655" s="389"/>
      <c r="T655" s="389"/>
      <c r="U655" s="389"/>
      <c r="V655" s="389"/>
      <c r="W655" s="389"/>
      <c r="X655" s="389"/>
      <c r="Y655" s="389"/>
      <c r="Z655" s="389"/>
      <c r="AA655" s="389"/>
    </row>
    <row r="656">
      <c r="A656" s="389"/>
      <c r="B656" s="389"/>
      <c r="C656" s="389"/>
      <c r="D656" s="389"/>
      <c r="E656" s="389"/>
      <c r="F656" s="389"/>
      <c r="G656" s="389"/>
      <c r="H656" s="389"/>
      <c r="I656" s="389"/>
      <c r="J656" s="389"/>
      <c r="K656" s="389"/>
      <c r="L656" s="389"/>
      <c r="M656" s="389"/>
      <c r="N656" s="389"/>
      <c r="O656" s="389"/>
      <c r="P656" s="389"/>
      <c r="Q656" s="389"/>
      <c r="R656" s="389"/>
      <c r="S656" s="389"/>
      <c r="T656" s="389"/>
      <c r="U656" s="389"/>
      <c r="V656" s="389"/>
      <c r="W656" s="389"/>
      <c r="X656" s="389"/>
      <c r="Y656" s="389"/>
      <c r="Z656" s="389"/>
      <c r="AA656" s="389"/>
    </row>
    <row r="657">
      <c r="A657" s="389"/>
      <c r="B657" s="389"/>
      <c r="C657" s="389"/>
      <c r="D657" s="389"/>
      <c r="E657" s="389"/>
      <c r="F657" s="389"/>
      <c r="G657" s="389"/>
      <c r="H657" s="389"/>
      <c r="I657" s="389"/>
      <c r="J657" s="389"/>
      <c r="K657" s="389"/>
      <c r="L657" s="389"/>
      <c r="M657" s="389"/>
      <c r="N657" s="389"/>
      <c r="O657" s="389"/>
      <c r="P657" s="389"/>
      <c r="Q657" s="389"/>
      <c r="R657" s="389"/>
      <c r="S657" s="389"/>
      <c r="T657" s="389"/>
      <c r="U657" s="389"/>
      <c r="V657" s="389"/>
      <c r="W657" s="389"/>
      <c r="X657" s="389"/>
      <c r="Y657" s="389"/>
      <c r="Z657" s="389"/>
      <c r="AA657" s="389"/>
    </row>
    <row r="658">
      <c r="A658" s="389"/>
      <c r="B658" s="389"/>
      <c r="C658" s="389"/>
      <c r="D658" s="389"/>
      <c r="E658" s="389"/>
      <c r="F658" s="389"/>
      <c r="G658" s="389"/>
      <c r="H658" s="389"/>
      <c r="I658" s="389"/>
      <c r="J658" s="389"/>
      <c r="K658" s="389"/>
      <c r="L658" s="389"/>
      <c r="M658" s="389"/>
      <c r="N658" s="389"/>
      <c r="O658" s="389"/>
      <c r="P658" s="389"/>
      <c r="Q658" s="389"/>
      <c r="R658" s="389"/>
      <c r="S658" s="389"/>
      <c r="T658" s="389"/>
      <c r="U658" s="389"/>
      <c r="V658" s="389"/>
      <c r="W658" s="389"/>
      <c r="X658" s="389"/>
      <c r="Y658" s="389"/>
      <c r="Z658" s="389"/>
      <c r="AA658" s="389"/>
    </row>
    <row r="659">
      <c r="A659" s="389"/>
      <c r="B659" s="389"/>
      <c r="C659" s="389"/>
      <c r="D659" s="389"/>
      <c r="E659" s="389"/>
      <c r="F659" s="389"/>
      <c r="G659" s="389"/>
      <c r="H659" s="389"/>
      <c r="I659" s="389"/>
      <c r="J659" s="389"/>
      <c r="K659" s="389"/>
      <c r="L659" s="389"/>
      <c r="M659" s="389"/>
      <c r="N659" s="389"/>
      <c r="O659" s="389"/>
      <c r="P659" s="389"/>
      <c r="Q659" s="389"/>
      <c r="R659" s="389"/>
      <c r="S659" s="389"/>
      <c r="T659" s="389"/>
      <c r="U659" s="389"/>
      <c r="V659" s="389"/>
      <c r="W659" s="389"/>
      <c r="X659" s="389"/>
      <c r="Y659" s="389"/>
      <c r="Z659" s="389"/>
      <c r="AA659" s="389"/>
    </row>
    <row r="660">
      <c r="A660" s="389"/>
      <c r="B660" s="389"/>
      <c r="C660" s="389"/>
      <c r="D660" s="389"/>
      <c r="E660" s="389"/>
      <c r="F660" s="389"/>
      <c r="G660" s="389"/>
      <c r="H660" s="389"/>
      <c r="I660" s="389"/>
      <c r="J660" s="389"/>
      <c r="K660" s="389"/>
      <c r="L660" s="389"/>
      <c r="M660" s="389"/>
      <c r="N660" s="389"/>
      <c r="O660" s="389"/>
      <c r="P660" s="389"/>
      <c r="Q660" s="389"/>
      <c r="R660" s="389"/>
      <c r="S660" s="389"/>
      <c r="T660" s="389"/>
      <c r="U660" s="389"/>
      <c r="V660" s="389"/>
      <c r="W660" s="389"/>
      <c r="X660" s="389"/>
      <c r="Y660" s="389"/>
      <c r="Z660" s="389"/>
      <c r="AA660" s="389"/>
    </row>
    <row r="661">
      <c r="A661" s="389"/>
      <c r="B661" s="389"/>
      <c r="C661" s="389"/>
      <c r="D661" s="389"/>
      <c r="E661" s="389"/>
      <c r="F661" s="389"/>
      <c r="G661" s="389"/>
      <c r="H661" s="389"/>
      <c r="I661" s="389"/>
      <c r="J661" s="389"/>
      <c r="K661" s="389"/>
      <c r="L661" s="389"/>
      <c r="M661" s="389"/>
      <c r="N661" s="389"/>
      <c r="O661" s="389"/>
      <c r="P661" s="389"/>
      <c r="Q661" s="389"/>
      <c r="R661" s="389"/>
      <c r="S661" s="389"/>
      <c r="T661" s="389"/>
      <c r="U661" s="389"/>
      <c r="V661" s="389"/>
      <c r="W661" s="389"/>
      <c r="X661" s="389"/>
      <c r="Y661" s="389"/>
      <c r="Z661" s="389"/>
      <c r="AA661" s="389"/>
    </row>
    <row r="662">
      <c r="A662" s="389"/>
      <c r="B662" s="389"/>
      <c r="C662" s="389"/>
      <c r="D662" s="389"/>
      <c r="E662" s="389"/>
      <c r="F662" s="389"/>
      <c r="G662" s="389"/>
      <c r="H662" s="389"/>
      <c r="I662" s="389"/>
      <c r="J662" s="389"/>
      <c r="K662" s="389"/>
      <c r="L662" s="389"/>
      <c r="M662" s="389"/>
      <c r="N662" s="389"/>
      <c r="O662" s="389"/>
      <c r="P662" s="389"/>
      <c r="Q662" s="389"/>
      <c r="R662" s="389"/>
      <c r="S662" s="389"/>
      <c r="T662" s="389"/>
      <c r="U662" s="389"/>
      <c r="V662" s="389"/>
      <c r="W662" s="389"/>
      <c r="X662" s="389"/>
      <c r="Y662" s="389"/>
      <c r="Z662" s="389"/>
      <c r="AA662" s="389"/>
    </row>
    <row r="663">
      <c r="A663" s="389"/>
      <c r="B663" s="389"/>
      <c r="C663" s="389"/>
      <c r="D663" s="389"/>
      <c r="E663" s="389"/>
      <c r="F663" s="389"/>
      <c r="G663" s="389"/>
      <c r="H663" s="389"/>
      <c r="I663" s="389"/>
      <c r="J663" s="389"/>
      <c r="K663" s="389"/>
      <c r="L663" s="389"/>
      <c r="M663" s="389"/>
      <c r="N663" s="389"/>
      <c r="O663" s="389"/>
      <c r="P663" s="389"/>
      <c r="Q663" s="389"/>
      <c r="R663" s="389"/>
      <c r="S663" s="389"/>
      <c r="T663" s="389"/>
      <c r="U663" s="389"/>
      <c r="V663" s="389"/>
      <c r="W663" s="389"/>
      <c r="X663" s="389"/>
      <c r="Y663" s="389"/>
      <c r="Z663" s="389"/>
      <c r="AA663" s="389"/>
    </row>
    <row r="664">
      <c r="A664" s="389"/>
      <c r="B664" s="389"/>
      <c r="C664" s="389"/>
      <c r="D664" s="389"/>
      <c r="E664" s="389"/>
      <c r="F664" s="389"/>
      <c r="G664" s="389"/>
      <c r="H664" s="389"/>
      <c r="I664" s="389"/>
      <c r="J664" s="389"/>
      <c r="K664" s="389"/>
      <c r="L664" s="389"/>
      <c r="M664" s="389"/>
      <c r="N664" s="389"/>
      <c r="O664" s="389"/>
      <c r="P664" s="389"/>
      <c r="Q664" s="389"/>
      <c r="R664" s="389"/>
      <c r="S664" s="389"/>
      <c r="T664" s="389"/>
      <c r="U664" s="389"/>
      <c r="V664" s="389"/>
      <c r="W664" s="389"/>
      <c r="X664" s="389"/>
      <c r="Y664" s="389"/>
      <c r="Z664" s="389"/>
      <c r="AA664" s="389"/>
    </row>
    <row r="665">
      <c r="A665" s="389"/>
      <c r="B665" s="389"/>
      <c r="C665" s="389"/>
      <c r="D665" s="389"/>
      <c r="E665" s="389"/>
      <c r="F665" s="389"/>
      <c r="G665" s="389"/>
      <c r="H665" s="389"/>
      <c r="I665" s="389"/>
      <c r="J665" s="389"/>
      <c r="K665" s="389"/>
      <c r="L665" s="389"/>
      <c r="M665" s="389"/>
      <c r="N665" s="389"/>
      <c r="O665" s="389"/>
      <c r="P665" s="389"/>
      <c r="Q665" s="389"/>
      <c r="R665" s="389"/>
      <c r="S665" s="389"/>
      <c r="T665" s="389"/>
      <c r="U665" s="389"/>
      <c r="V665" s="389"/>
      <c r="W665" s="389"/>
      <c r="X665" s="389"/>
      <c r="Y665" s="389"/>
      <c r="Z665" s="389"/>
      <c r="AA665" s="389"/>
    </row>
    <row r="666">
      <c r="A666" s="389"/>
      <c r="B666" s="389"/>
      <c r="C666" s="389"/>
      <c r="D666" s="389"/>
      <c r="E666" s="389"/>
      <c r="F666" s="389"/>
      <c r="G666" s="389"/>
      <c r="H666" s="389"/>
      <c r="I666" s="389"/>
      <c r="J666" s="389"/>
      <c r="K666" s="389"/>
      <c r="L666" s="389"/>
      <c r="M666" s="389"/>
      <c r="N666" s="389"/>
      <c r="O666" s="389"/>
      <c r="P666" s="389"/>
      <c r="Q666" s="389"/>
      <c r="R666" s="389"/>
      <c r="S666" s="389"/>
      <c r="T666" s="389"/>
      <c r="U666" s="389"/>
      <c r="V666" s="389"/>
      <c r="W666" s="389"/>
      <c r="X666" s="389"/>
      <c r="Y666" s="389"/>
      <c r="Z666" s="389"/>
      <c r="AA666" s="389"/>
    </row>
    <row r="667">
      <c r="A667" s="389"/>
      <c r="B667" s="389"/>
      <c r="C667" s="389"/>
      <c r="D667" s="389"/>
      <c r="E667" s="389"/>
      <c r="F667" s="389"/>
      <c r="G667" s="389"/>
      <c r="H667" s="389"/>
      <c r="I667" s="389"/>
      <c r="J667" s="389"/>
      <c r="K667" s="389"/>
      <c r="L667" s="389"/>
      <c r="M667" s="389"/>
      <c r="N667" s="389"/>
      <c r="O667" s="389"/>
      <c r="P667" s="389"/>
      <c r="Q667" s="389"/>
      <c r="R667" s="389"/>
      <c r="S667" s="389"/>
      <c r="T667" s="389"/>
      <c r="U667" s="389"/>
      <c r="V667" s="389"/>
      <c r="W667" s="389"/>
      <c r="X667" s="389"/>
      <c r="Y667" s="389"/>
      <c r="Z667" s="389"/>
      <c r="AA667" s="389"/>
    </row>
    <row r="668">
      <c r="A668" s="389"/>
      <c r="B668" s="389"/>
      <c r="C668" s="389"/>
      <c r="D668" s="389"/>
      <c r="E668" s="389"/>
      <c r="F668" s="389"/>
      <c r="G668" s="389"/>
      <c r="H668" s="389"/>
      <c r="I668" s="389"/>
      <c r="J668" s="389"/>
      <c r="K668" s="389"/>
      <c r="L668" s="389"/>
      <c r="M668" s="389"/>
      <c r="N668" s="389"/>
      <c r="O668" s="389"/>
      <c r="P668" s="389"/>
      <c r="Q668" s="389"/>
      <c r="R668" s="389"/>
      <c r="S668" s="389"/>
      <c r="T668" s="389"/>
      <c r="U668" s="389"/>
      <c r="V668" s="389"/>
      <c r="W668" s="389"/>
      <c r="X668" s="389"/>
      <c r="Y668" s="389"/>
      <c r="Z668" s="389"/>
      <c r="AA668" s="389"/>
    </row>
    <row r="669">
      <c r="A669" s="389"/>
      <c r="B669" s="389"/>
      <c r="C669" s="389"/>
      <c r="D669" s="389"/>
      <c r="E669" s="389"/>
      <c r="F669" s="389"/>
      <c r="G669" s="389"/>
      <c r="H669" s="389"/>
      <c r="I669" s="389"/>
      <c r="J669" s="389"/>
      <c r="K669" s="389"/>
      <c r="L669" s="389"/>
      <c r="M669" s="389"/>
      <c r="N669" s="389"/>
      <c r="O669" s="389"/>
      <c r="P669" s="389"/>
      <c r="Q669" s="389"/>
      <c r="R669" s="389"/>
      <c r="S669" s="389"/>
      <c r="T669" s="389"/>
      <c r="U669" s="389"/>
      <c r="V669" s="389"/>
      <c r="W669" s="389"/>
      <c r="X669" s="389"/>
      <c r="Y669" s="389"/>
      <c r="Z669" s="389"/>
      <c r="AA669" s="389"/>
    </row>
    <row r="670">
      <c r="A670" s="389"/>
      <c r="B670" s="389"/>
      <c r="C670" s="389"/>
      <c r="D670" s="389"/>
      <c r="E670" s="389"/>
      <c r="F670" s="389"/>
      <c r="G670" s="389"/>
      <c r="H670" s="389"/>
      <c r="I670" s="389"/>
      <c r="J670" s="389"/>
      <c r="K670" s="389"/>
      <c r="L670" s="389"/>
      <c r="M670" s="389"/>
      <c r="N670" s="389"/>
      <c r="O670" s="389"/>
      <c r="P670" s="389"/>
      <c r="Q670" s="389"/>
      <c r="R670" s="389"/>
      <c r="S670" s="389"/>
      <c r="T670" s="389"/>
      <c r="U670" s="389"/>
      <c r="V670" s="389"/>
      <c r="W670" s="389"/>
      <c r="X670" s="389"/>
      <c r="Y670" s="389"/>
      <c r="Z670" s="389"/>
      <c r="AA670" s="389"/>
    </row>
    <row r="671">
      <c r="A671" s="389"/>
      <c r="B671" s="389"/>
      <c r="C671" s="389"/>
      <c r="D671" s="389"/>
      <c r="E671" s="389"/>
      <c r="F671" s="389"/>
      <c r="G671" s="389"/>
      <c r="H671" s="389"/>
      <c r="I671" s="389"/>
      <c r="J671" s="389"/>
      <c r="K671" s="389"/>
      <c r="L671" s="389"/>
      <c r="M671" s="389"/>
      <c r="N671" s="389"/>
      <c r="O671" s="389"/>
      <c r="P671" s="389"/>
      <c r="Q671" s="389"/>
      <c r="R671" s="389"/>
      <c r="S671" s="389"/>
      <c r="T671" s="389"/>
      <c r="U671" s="389"/>
      <c r="V671" s="389"/>
      <c r="W671" s="389"/>
      <c r="X671" s="389"/>
      <c r="Y671" s="389"/>
      <c r="Z671" s="389"/>
      <c r="AA671" s="389"/>
    </row>
    <row r="672">
      <c r="A672" s="389"/>
      <c r="B672" s="389"/>
      <c r="C672" s="389"/>
      <c r="D672" s="389"/>
      <c r="E672" s="389"/>
      <c r="F672" s="389"/>
      <c r="G672" s="389"/>
      <c r="H672" s="389"/>
      <c r="I672" s="389"/>
      <c r="J672" s="389"/>
      <c r="K672" s="389"/>
      <c r="L672" s="389"/>
      <c r="M672" s="389"/>
      <c r="N672" s="389"/>
      <c r="O672" s="389"/>
      <c r="P672" s="389"/>
      <c r="Q672" s="389"/>
      <c r="R672" s="389"/>
      <c r="S672" s="389"/>
      <c r="T672" s="389"/>
      <c r="U672" s="389"/>
      <c r="V672" s="389"/>
      <c r="W672" s="389"/>
      <c r="X672" s="389"/>
      <c r="Y672" s="389"/>
      <c r="Z672" s="389"/>
      <c r="AA672" s="389"/>
    </row>
    <row r="673">
      <c r="A673" s="389"/>
      <c r="B673" s="389"/>
      <c r="C673" s="389"/>
      <c r="D673" s="389"/>
      <c r="E673" s="389"/>
      <c r="F673" s="389"/>
      <c r="G673" s="389"/>
      <c r="H673" s="389"/>
      <c r="I673" s="389"/>
      <c r="J673" s="389"/>
      <c r="K673" s="389"/>
      <c r="L673" s="389"/>
      <c r="M673" s="389"/>
      <c r="N673" s="389"/>
      <c r="O673" s="389"/>
      <c r="P673" s="389"/>
      <c r="Q673" s="389"/>
      <c r="R673" s="389"/>
      <c r="S673" s="389"/>
      <c r="T673" s="389"/>
      <c r="U673" s="389"/>
      <c r="V673" s="389"/>
      <c r="W673" s="389"/>
      <c r="X673" s="389"/>
      <c r="Y673" s="389"/>
      <c r="Z673" s="389"/>
      <c r="AA673" s="389"/>
    </row>
    <row r="674">
      <c r="A674" s="389"/>
      <c r="B674" s="389"/>
      <c r="C674" s="389"/>
      <c r="D674" s="389"/>
      <c r="E674" s="389"/>
      <c r="F674" s="389"/>
      <c r="G674" s="389"/>
      <c r="H674" s="389"/>
      <c r="I674" s="389"/>
      <c r="J674" s="389"/>
      <c r="K674" s="389"/>
      <c r="L674" s="389"/>
      <c r="M674" s="389"/>
      <c r="N674" s="389"/>
      <c r="O674" s="389"/>
      <c r="P674" s="389"/>
      <c r="Q674" s="389"/>
      <c r="R674" s="389"/>
      <c r="S674" s="389"/>
      <c r="T674" s="389"/>
      <c r="U674" s="389"/>
      <c r="V674" s="389"/>
      <c r="W674" s="389"/>
      <c r="X674" s="389"/>
      <c r="Y674" s="389"/>
      <c r="Z674" s="389"/>
      <c r="AA674" s="389"/>
    </row>
    <row r="675">
      <c r="A675" s="389"/>
      <c r="B675" s="389"/>
      <c r="C675" s="389"/>
      <c r="D675" s="389"/>
      <c r="E675" s="389"/>
      <c r="F675" s="389"/>
      <c r="G675" s="389"/>
      <c r="H675" s="389"/>
      <c r="I675" s="389"/>
      <c r="J675" s="389"/>
      <c r="K675" s="389"/>
      <c r="L675" s="389"/>
      <c r="M675" s="389"/>
      <c r="N675" s="389"/>
      <c r="O675" s="389"/>
      <c r="P675" s="389"/>
      <c r="Q675" s="389"/>
      <c r="R675" s="389"/>
      <c r="S675" s="389"/>
      <c r="T675" s="389"/>
      <c r="U675" s="389"/>
      <c r="V675" s="389"/>
      <c r="W675" s="389"/>
      <c r="X675" s="389"/>
      <c r="Y675" s="389"/>
      <c r="Z675" s="389"/>
      <c r="AA675" s="389"/>
    </row>
    <row r="676">
      <c r="A676" s="389"/>
      <c r="B676" s="389"/>
      <c r="C676" s="389"/>
      <c r="D676" s="389"/>
      <c r="E676" s="389"/>
      <c r="F676" s="389"/>
      <c r="G676" s="389"/>
      <c r="H676" s="389"/>
      <c r="I676" s="389"/>
      <c r="J676" s="389"/>
      <c r="K676" s="389"/>
      <c r="L676" s="389"/>
      <c r="M676" s="389"/>
      <c r="N676" s="389"/>
      <c r="O676" s="389"/>
      <c r="P676" s="389"/>
      <c r="Q676" s="389"/>
      <c r="R676" s="389"/>
      <c r="S676" s="389"/>
      <c r="T676" s="389"/>
      <c r="U676" s="389"/>
      <c r="V676" s="389"/>
      <c r="W676" s="389"/>
      <c r="X676" s="389"/>
      <c r="Y676" s="389"/>
      <c r="Z676" s="389"/>
      <c r="AA676" s="389"/>
    </row>
    <row r="677">
      <c r="A677" s="389"/>
      <c r="B677" s="389"/>
      <c r="C677" s="389"/>
      <c r="D677" s="389"/>
      <c r="E677" s="389"/>
      <c r="F677" s="389"/>
      <c r="G677" s="389"/>
      <c r="H677" s="389"/>
      <c r="I677" s="389"/>
      <c r="J677" s="389"/>
      <c r="K677" s="389"/>
      <c r="L677" s="389"/>
      <c r="M677" s="389"/>
      <c r="N677" s="389"/>
      <c r="O677" s="389"/>
      <c r="P677" s="389"/>
      <c r="Q677" s="389"/>
      <c r="R677" s="389"/>
      <c r="S677" s="389"/>
      <c r="T677" s="389"/>
      <c r="U677" s="389"/>
      <c r="V677" s="389"/>
      <c r="W677" s="389"/>
      <c r="X677" s="389"/>
      <c r="Y677" s="389"/>
      <c r="Z677" s="389"/>
      <c r="AA677" s="389"/>
    </row>
    <row r="678">
      <c r="A678" s="389"/>
      <c r="B678" s="389"/>
      <c r="C678" s="389"/>
      <c r="D678" s="389"/>
      <c r="E678" s="389"/>
      <c r="F678" s="389"/>
      <c r="G678" s="389"/>
      <c r="H678" s="389"/>
      <c r="I678" s="389"/>
      <c r="J678" s="389"/>
      <c r="K678" s="389"/>
      <c r="L678" s="389"/>
      <c r="M678" s="389"/>
      <c r="N678" s="389"/>
      <c r="O678" s="389"/>
      <c r="P678" s="389"/>
      <c r="Q678" s="389"/>
      <c r="R678" s="389"/>
      <c r="S678" s="389"/>
      <c r="T678" s="389"/>
      <c r="U678" s="389"/>
      <c r="V678" s="389"/>
      <c r="W678" s="389"/>
      <c r="X678" s="389"/>
      <c r="Y678" s="389"/>
      <c r="Z678" s="389"/>
      <c r="AA678" s="389"/>
    </row>
    <row r="679">
      <c r="A679" s="389"/>
      <c r="B679" s="389"/>
      <c r="C679" s="389"/>
      <c r="D679" s="389"/>
      <c r="E679" s="389"/>
      <c r="F679" s="389"/>
      <c r="G679" s="389"/>
      <c r="H679" s="389"/>
      <c r="I679" s="389"/>
      <c r="J679" s="389"/>
      <c r="K679" s="389"/>
      <c r="L679" s="389"/>
      <c r="M679" s="389"/>
      <c r="N679" s="389"/>
      <c r="O679" s="389"/>
      <c r="P679" s="389"/>
      <c r="Q679" s="389"/>
      <c r="R679" s="389"/>
      <c r="S679" s="389"/>
      <c r="T679" s="389"/>
      <c r="U679" s="389"/>
      <c r="V679" s="389"/>
      <c r="W679" s="389"/>
      <c r="X679" s="389"/>
      <c r="Y679" s="389"/>
      <c r="Z679" s="389"/>
      <c r="AA679" s="389"/>
    </row>
    <row r="680">
      <c r="A680" s="389"/>
      <c r="B680" s="389"/>
      <c r="C680" s="389"/>
      <c r="D680" s="389"/>
      <c r="E680" s="389"/>
      <c r="F680" s="389"/>
      <c r="G680" s="389"/>
      <c r="H680" s="389"/>
      <c r="I680" s="389"/>
      <c r="J680" s="389"/>
      <c r="K680" s="389"/>
      <c r="L680" s="389"/>
      <c r="M680" s="389"/>
      <c r="N680" s="389"/>
      <c r="O680" s="389"/>
      <c r="P680" s="389"/>
      <c r="Q680" s="389"/>
      <c r="R680" s="389"/>
      <c r="S680" s="389"/>
      <c r="T680" s="389"/>
      <c r="U680" s="389"/>
      <c r="V680" s="389"/>
      <c r="W680" s="389"/>
      <c r="X680" s="389"/>
      <c r="Y680" s="389"/>
      <c r="Z680" s="389"/>
      <c r="AA680" s="389"/>
    </row>
    <row r="681">
      <c r="A681" s="389"/>
      <c r="B681" s="389"/>
      <c r="C681" s="389"/>
      <c r="D681" s="389"/>
      <c r="E681" s="389"/>
      <c r="F681" s="389"/>
      <c r="G681" s="389"/>
      <c r="H681" s="389"/>
      <c r="I681" s="389"/>
      <c r="J681" s="389"/>
      <c r="K681" s="389"/>
      <c r="L681" s="389"/>
      <c r="M681" s="389"/>
      <c r="N681" s="389"/>
      <c r="O681" s="389"/>
      <c r="P681" s="389"/>
      <c r="Q681" s="389"/>
      <c r="R681" s="389"/>
      <c r="S681" s="389"/>
      <c r="T681" s="389"/>
      <c r="U681" s="389"/>
      <c r="V681" s="389"/>
      <c r="W681" s="389"/>
      <c r="X681" s="389"/>
      <c r="Y681" s="389"/>
      <c r="Z681" s="389"/>
      <c r="AA681" s="389"/>
    </row>
    <row r="682">
      <c r="A682" s="389"/>
      <c r="B682" s="389"/>
      <c r="C682" s="389"/>
      <c r="D682" s="389"/>
      <c r="E682" s="389"/>
      <c r="F682" s="389"/>
      <c r="G682" s="389"/>
      <c r="H682" s="389"/>
      <c r="I682" s="389"/>
      <c r="J682" s="389"/>
      <c r="K682" s="389"/>
      <c r="L682" s="389"/>
      <c r="M682" s="389"/>
      <c r="N682" s="389"/>
      <c r="O682" s="389"/>
      <c r="P682" s="389"/>
      <c r="Q682" s="389"/>
      <c r="R682" s="389"/>
      <c r="S682" s="389"/>
      <c r="T682" s="389"/>
      <c r="U682" s="389"/>
      <c r="V682" s="389"/>
      <c r="W682" s="389"/>
      <c r="X682" s="389"/>
      <c r="Y682" s="389"/>
      <c r="Z682" s="389"/>
      <c r="AA682" s="389"/>
    </row>
    <row r="683">
      <c r="A683" s="389"/>
      <c r="B683" s="389"/>
      <c r="C683" s="389"/>
      <c r="D683" s="389"/>
      <c r="E683" s="389"/>
      <c r="F683" s="389"/>
      <c r="G683" s="389"/>
      <c r="H683" s="389"/>
      <c r="I683" s="389"/>
      <c r="J683" s="389"/>
      <c r="K683" s="389"/>
      <c r="L683" s="389"/>
      <c r="M683" s="389"/>
      <c r="N683" s="389"/>
      <c r="O683" s="389"/>
      <c r="P683" s="389"/>
      <c r="Q683" s="389"/>
      <c r="R683" s="389"/>
      <c r="S683" s="389"/>
      <c r="T683" s="389"/>
      <c r="U683" s="389"/>
      <c r="V683" s="389"/>
      <c r="W683" s="389"/>
      <c r="X683" s="389"/>
      <c r="Y683" s="389"/>
      <c r="Z683" s="389"/>
      <c r="AA683" s="389"/>
    </row>
    <row r="684">
      <c r="A684" s="389"/>
      <c r="B684" s="389"/>
      <c r="C684" s="389"/>
      <c r="D684" s="389"/>
      <c r="E684" s="389"/>
      <c r="F684" s="389"/>
      <c r="G684" s="389"/>
      <c r="H684" s="389"/>
      <c r="I684" s="389"/>
      <c r="J684" s="389"/>
      <c r="K684" s="389"/>
      <c r="L684" s="389"/>
      <c r="M684" s="389"/>
      <c r="N684" s="389"/>
      <c r="O684" s="389"/>
      <c r="P684" s="389"/>
      <c r="Q684" s="389"/>
      <c r="R684" s="389"/>
      <c r="S684" s="389"/>
      <c r="T684" s="389"/>
      <c r="U684" s="389"/>
      <c r="V684" s="389"/>
      <c r="W684" s="389"/>
      <c r="X684" s="389"/>
      <c r="Y684" s="389"/>
      <c r="Z684" s="389"/>
      <c r="AA684" s="389"/>
    </row>
    <row r="685">
      <c r="A685" s="389"/>
      <c r="B685" s="389"/>
      <c r="C685" s="389"/>
      <c r="D685" s="389"/>
      <c r="E685" s="389"/>
      <c r="F685" s="389"/>
      <c r="G685" s="389"/>
      <c r="H685" s="389"/>
      <c r="I685" s="389"/>
      <c r="J685" s="389"/>
      <c r="K685" s="389"/>
      <c r="L685" s="389"/>
      <c r="M685" s="389"/>
      <c r="N685" s="389"/>
      <c r="O685" s="389"/>
      <c r="P685" s="389"/>
      <c r="Q685" s="389"/>
      <c r="R685" s="389"/>
      <c r="S685" s="389"/>
      <c r="T685" s="389"/>
      <c r="U685" s="389"/>
      <c r="V685" s="389"/>
      <c r="W685" s="389"/>
      <c r="X685" s="389"/>
      <c r="Y685" s="389"/>
      <c r="Z685" s="389"/>
      <c r="AA685" s="389"/>
    </row>
    <row r="686">
      <c r="A686" s="389"/>
      <c r="B686" s="389"/>
      <c r="C686" s="389"/>
      <c r="D686" s="389"/>
      <c r="E686" s="389"/>
      <c r="F686" s="389"/>
      <c r="G686" s="389"/>
      <c r="H686" s="389"/>
      <c r="I686" s="389"/>
      <c r="J686" s="389"/>
      <c r="K686" s="389"/>
      <c r="L686" s="389"/>
      <c r="M686" s="389"/>
      <c r="N686" s="389"/>
      <c r="O686" s="389"/>
      <c r="P686" s="389"/>
      <c r="Q686" s="389"/>
      <c r="R686" s="389"/>
      <c r="S686" s="389"/>
      <c r="T686" s="389"/>
      <c r="U686" s="389"/>
      <c r="V686" s="389"/>
      <c r="W686" s="389"/>
      <c r="X686" s="389"/>
      <c r="Y686" s="389"/>
      <c r="Z686" s="389"/>
      <c r="AA686" s="389"/>
    </row>
    <row r="687">
      <c r="A687" s="389"/>
      <c r="B687" s="389"/>
      <c r="C687" s="389"/>
      <c r="D687" s="389"/>
      <c r="E687" s="389"/>
      <c r="F687" s="389"/>
      <c r="G687" s="389"/>
      <c r="H687" s="389"/>
      <c r="I687" s="389"/>
      <c r="J687" s="389"/>
      <c r="K687" s="389"/>
      <c r="L687" s="389"/>
      <c r="M687" s="389"/>
      <c r="N687" s="389"/>
      <c r="O687" s="389"/>
      <c r="P687" s="389"/>
      <c r="Q687" s="389"/>
      <c r="R687" s="389"/>
      <c r="S687" s="389"/>
      <c r="T687" s="389"/>
      <c r="U687" s="389"/>
      <c r="V687" s="389"/>
      <c r="W687" s="389"/>
      <c r="X687" s="389"/>
      <c r="Y687" s="389"/>
      <c r="Z687" s="389"/>
      <c r="AA687" s="389"/>
    </row>
    <row r="688">
      <c r="A688" s="389"/>
      <c r="B688" s="389"/>
      <c r="C688" s="389"/>
      <c r="D688" s="389"/>
      <c r="E688" s="389"/>
      <c r="F688" s="389"/>
      <c r="G688" s="389"/>
      <c r="H688" s="389"/>
      <c r="I688" s="389"/>
      <c r="J688" s="389"/>
      <c r="K688" s="389"/>
      <c r="L688" s="389"/>
      <c r="M688" s="389"/>
      <c r="N688" s="389"/>
      <c r="O688" s="389"/>
      <c r="P688" s="389"/>
      <c r="Q688" s="389"/>
      <c r="R688" s="389"/>
      <c r="S688" s="389"/>
      <c r="T688" s="389"/>
      <c r="U688" s="389"/>
      <c r="V688" s="389"/>
      <c r="W688" s="389"/>
      <c r="X688" s="389"/>
      <c r="Y688" s="389"/>
      <c r="Z688" s="389"/>
      <c r="AA688" s="389"/>
    </row>
    <row r="689">
      <c r="A689" s="389"/>
      <c r="B689" s="389"/>
      <c r="C689" s="389"/>
      <c r="D689" s="389"/>
      <c r="E689" s="389"/>
      <c r="F689" s="389"/>
      <c r="G689" s="389"/>
      <c r="H689" s="389"/>
      <c r="I689" s="389"/>
      <c r="J689" s="389"/>
      <c r="K689" s="389"/>
      <c r="L689" s="389"/>
      <c r="M689" s="389"/>
      <c r="N689" s="389"/>
      <c r="O689" s="389"/>
      <c r="P689" s="389"/>
      <c r="Q689" s="389"/>
      <c r="R689" s="389"/>
      <c r="S689" s="389"/>
      <c r="T689" s="389"/>
      <c r="U689" s="389"/>
      <c r="V689" s="389"/>
      <c r="W689" s="389"/>
      <c r="X689" s="389"/>
      <c r="Y689" s="389"/>
      <c r="Z689" s="389"/>
      <c r="AA689" s="389"/>
    </row>
    <row r="690">
      <c r="A690" s="389"/>
      <c r="B690" s="389"/>
      <c r="C690" s="389"/>
      <c r="D690" s="389"/>
      <c r="E690" s="389"/>
      <c r="F690" s="389"/>
      <c r="G690" s="389"/>
      <c r="H690" s="389"/>
      <c r="I690" s="389"/>
      <c r="J690" s="389"/>
      <c r="K690" s="389"/>
      <c r="L690" s="389"/>
      <c r="M690" s="389"/>
      <c r="N690" s="389"/>
      <c r="O690" s="389"/>
      <c r="P690" s="389"/>
      <c r="Q690" s="389"/>
      <c r="R690" s="389"/>
      <c r="S690" s="389"/>
      <c r="T690" s="389"/>
      <c r="U690" s="389"/>
      <c r="V690" s="389"/>
      <c r="W690" s="389"/>
      <c r="X690" s="389"/>
      <c r="Y690" s="389"/>
      <c r="Z690" s="389"/>
      <c r="AA690" s="389"/>
    </row>
    <row r="691">
      <c r="A691" s="389"/>
      <c r="B691" s="389"/>
      <c r="C691" s="389"/>
      <c r="D691" s="389"/>
      <c r="E691" s="389"/>
      <c r="F691" s="389"/>
      <c r="G691" s="389"/>
      <c r="H691" s="389"/>
      <c r="I691" s="389"/>
      <c r="J691" s="389"/>
      <c r="K691" s="389"/>
      <c r="L691" s="389"/>
      <c r="M691" s="389"/>
      <c r="N691" s="389"/>
      <c r="O691" s="389"/>
      <c r="P691" s="389"/>
      <c r="Q691" s="389"/>
      <c r="R691" s="389"/>
      <c r="S691" s="389"/>
      <c r="T691" s="389"/>
      <c r="U691" s="389"/>
      <c r="V691" s="389"/>
      <c r="W691" s="389"/>
      <c r="X691" s="389"/>
      <c r="Y691" s="389"/>
      <c r="Z691" s="389"/>
      <c r="AA691" s="389"/>
    </row>
    <row r="692">
      <c r="A692" s="389"/>
      <c r="B692" s="389"/>
      <c r="C692" s="389"/>
      <c r="D692" s="389"/>
      <c r="E692" s="389"/>
      <c r="F692" s="389"/>
      <c r="G692" s="389"/>
      <c r="H692" s="389"/>
      <c r="I692" s="389"/>
      <c r="J692" s="389"/>
      <c r="K692" s="389"/>
      <c r="L692" s="389"/>
      <c r="M692" s="389"/>
      <c r="N692" s="389"/>
      <c r="O692" s="389"/>
      <c r="P692" s="389"/>
      <c r="Q692" s="389"/>
      <c r="R692" s="389"/>
      <c r="S692" s="389"/>
      <c r="T692" s="389"/>
      <c r="U692" s="389"/>
      <c r="V692" s="389"/>
      <c r="W692" s="389"/>
      <c r="X692" s="389"/>
      <c r="Y692" s="389"/>
      <c r="Z692" s="389"/>
      <c r="AA692" s="389"/>
    </row>
    <row r="693">
      <c r="A693" s="389"/>
      <c r="B693" s="389"/>
      <c r="C693" s="389"/>
      <c r="D693" s="389"/>
      <c r="E693" s="389"/>
      <c r="F693" s="389"/>
      <c r="G693" s="389"/>
      <c r="H693" s="389"/>
      <c r="I693" s="389"/>
      <c r="J693" s="389"/>
      <c r="K693" s="389"/>
      <c r="L693" s="389"/>
      <c r="M693" s="389"/>
      <c r="N693" s="389"/>
      <c r="O693" s="389"/>
      <c r="P693" s="389"/>
      <c r="Q693" s="389"/>
      <c r="R693" s="389"/>
      <c r="S693" s="389"/>
      <c r="T693" s="389"/>
      <c r="U693" s="389"/>
      <c r="V693" s="389"/>
      <c r="W693" s="389"/>
      <c r="X693" s="389"/>
      <c r="Y693" s="389"/>
      <c r="Z693" s="389"/>
      <c r="AA693" s="389"/>
    </row>
    <row r="694">
      <c r="A694" s="389"/>
      <c r="B694" s="389"/>
      <c r="C694" s="389"/>
      <c r="D694" s="389"/>
      <c r="E694" s="389"/>
      <c r="F694" s="389"/>
      <c r="G694" s="389"/>
      <c r="H694" s="389"/>
      <c r="I694" s="389"/>
      <c r="J694" s="389"/>
      <c r="K694" s="389"/>
      <c r="L694" s="389"/>
      <c r="M694" s="389"/>
      <c r="N694" s="389"/>
      <c r="O694" s="389"/>
      <c r="P694" s="389"/>
      <c r="Q694" s="389"/>
      <c r="R694" s="389"/>
      <c r="S694" s="389"/>
      <c r="T694" s="389"/>
      <c r="U694" s="389"/>
      <c r="V694" s="389"/>
      <c r="W694" s="389"/>
      <c r="X694" s="389"/>
      <c r="Y694" s="389"/>
      <c r="Z694" s="389"/>
      <c r="AA694" s="389"/>
    </row>
    <row r="695">
      <c r="A695" s="389"/>
      <c r="B695" s="389"/>
      <c r="C695" s="389"/>
      <c r="D695" s="389"/>
      <c r="E695" s="389"/>
      <c r="F695" s="389"/>
      <c r="G695" s="389"/>
      <c r="H695" s="389"/>
      <c r="I695" s="389"/>
      <c r="J695" s="389"/>
      <c r="K695" s="389"/>
      <c r="L695" s="389"/>
      <c r="M695" s="389"/>
      <c r="N695" s="389"/>
      <c r="O695" s="389"/>
      <c r="P695" s="389"/>
      <c r="Q695" s="389"/>
      <c r="R695" s="389"/>
      <c r="S695" s="389"/>
      <c r="T695" s="389"/>
      <c r="U695" s="389"/>
      <c r="V695" s="389"/>
      <c r="W695" s="389"/>
      <c r="X695" s="389"/>
      <c r="Y695" s="389"/>
      <c r="Z695" s="389"/>
      <c r="AA695" s="389"/>
    </row>
    <row r="696">
      <c r="A696" s="389"/>
      <c r="B696" s="389"/>
      <c r="C696" s="389"/>
      <c r="D696" s="389"/>
      <c r="E696" s="389"/>
      <c r="F696" s="389"/>
      <c r="G696" s="389"/>
      <c r="H696" s="389"/>
      <c r="I696" s="389"/>
      <c r="J696" s="389"/>
      <c r="K696" s="389"/>
      <c r="L696" s="389"/>
      <c r="M696" s="389"/>
      <c r="N696" s="389"/>
      <c r="O696" s="389"/>
      <c r="P696" s="389"/>
      <c r="Q696" s="389"/>
      <c r="R696" s="389"/>
      <c r="S696" s="389"/>
      <c r="T696" s="389"/>
      <c r="U696" s="389"/>
      <c r="V696" s="389"/>
      <c r="W696" s="389"/>
      <c r="X696" s="389"/>
      <c r="Y696" s="389"/>
      <c r="Z696" s="389"/>
      <c r="AA696" s="389"/>
    </row>
    <row r="697">
      <c r="A697" s="389"/>
      <c r="B697" s="389"/>
      <c r="C697" s="389"/>
      <c r="D697" s="389"/>
      <c r="E697" s="389"/>
      <c r="F697" s="389"/>
      <c r="G697" s="389"/>
      <c r="H697" s="389"/>
      <c r="I697" s="389"/>
      <c r="J697" s="389"/>
      <c r="K697" s="389"/>
      <c r="L697" s="389"/>
      <c r="M697" s="389"/>
      <c r="N697" s="389"/>
      <c r="O697" s="389"/>
      <c r="P697" s="389"/>
      <c r="Q697" s="389"/>
      <c r="R697" s="389"/>
      <c r="S697" s="389"/>
      <c r="T697" s="389"/>
      <c r="U697" s="389"/>
      <c r="V697" s="389"/>
      <c r="W697" s="389"/>
      <c r="X697" s="389"/>
      <c r="Y697" s="389"/>
      <c r="Z697" s="389"/>
      <c r="AA697" s="389"/>
    </row>
    <row r="698">
      <c r="A698" s="389"/>
      <c r="B698" s="389"/>
      <c r="C698" s="389"/>
      <c r="D698" s="389"/>
      <c r="E698" s="389"/>
      <c r="F698" s="389"/>
      <c r="G698" s="389"/>
      <c r="H698" s="389"/>
      <c r="I698" s="389"/>
      <c r="J698" s="389"/>
      <c r="K698" s="389"/>
      <c r="L698" s="389"/>
      <c r="M698" s="389"/>
      <c r="N698" s="389"/>
      <c r="O698" s="389"/>
      <c r="P698" s="389"/>
      <c r="Q698" s="389"/>
      <c r="R698" s="389"/>
      <c r="S698" s="389"/>
      <c r="T698" s="389"/>
      <c r="U698" s="389"/>
      <c r="V698" s="389"/>
      <c r="W698" s="389"/>
      <c r="X698" s="389"/>
      <c r="Y698" s="389"/>
      <c r="Z698" s="389"/>
      <c r="AA698" s="389"/>
    </row>
    <row r="699">
      <c r="A699" s="389"/>
      <c r="B699" s="389"/>
      <c r="C699" s="389"/>
      <c r="D699" s="389"/>
      <c r="E699" s="389"/>
      <c r="F699" s="389"/>
      <c r="G699" s="389"/>
      <c r="H699" s="389"/>
      <c r="I699" s="389"/>
      <c r="J699" s="389"/>
      <c r="K699" s="389"/>
      <c r="L699" s="389"/>
      <c r="M699" s="389"/>
      <c r="N699" s="389"/>
      <c r="O699" s="389"/>
      <c r="P699" s="389"/>
      <c r="Q699" s="389"/>
      <c r="R699" s="389"/>
      <c r="S699" s="389"/>
      <c r="T699" s="389"/>
      <c r="U699" s="389"/>
      <c r="V699" s="389"/>
      <c r="W699" s="389"/>
      <c r="X699" s="389"/>
      <c r="Y699" s="389"/>
      <c r="Z699" s="389"/>
      <c r="AA699" s="389"/>
    </row>
    <row r="700">
      <c r="A700" s="389"/>
      <c r="B700" s="389"/>
      <c r="C700" s="389"/>
      <c r="D700" s="389"/>
      <c r="E700" s="389"/>
      <c r="F700" s="389"/>
      <c r="G700" s="389"/>
      <c r="H700" s="389"/>
      <c r="I700" s="389"/>
      <c r="J700" s="389"/>
      <c r="K700" s="389"/>
      <c r="L700" s="389"/>
      <c r="M700" s="389"/>
      <c r="N700" s="389"/>
      <c r="O700" s="389"/>
      <c r="P700" s="389"/>
      <c r="Q700" s="389"/>
      <c r="R700" s="389"/>
      <c r="S700" s="389"/>
      <c r="T700" s="389"/>
      <c r="U700" s="389"/>
      <c r="V700" s="389"/>
      <c r="W700" s="389"/>
      <c r="X700" s="389"/>
      <c r="Y700" s="389"/>
      <c r="Z700" s="389"/>
      <c r="AA700" s="389"/>
    </row>
    <row r="701">
      <c r="A701" s="389"/>
      <c r="B701" s="389"/>
      <c r="C701" s="389"/>
      <c r="D701" s="389"/>
      <c r="E701" s="389"/>
      <c r="F701" s="389"/>
      <c r="G701" s="389"/>
      <c r="H701" s="389"/>
      <c r="I701" s="389"/>
      <c r="J701" s="389"/>
      <c r="K701" s="389"/>
      <c r="L701" s="389"/>
      <c r="M701" s="389"/>
      <c r="N701" s="389"/>
      <c r="O701" s="389"/>
      <c r="P701" s="389"/>
      <c r="Q701" s="389"/>
      <c r="R701" s="389"/>
      <c r="S701" s="389"/>
      <c r="T701" s="389"/>
      <c r="U701" s="389"/>
      <c r="V701" s="389"/>
      <c r="W701" s="389"/>
      <c r="X701" s="389"/>
      <c r="Y701" s="389"/>
      <c r="Z701" s="389"/>
      <c r="AA701" s="389"/>
    </row>
    <row r="702">
      <c r="A702" s="389"/>
      <c r="B702" s="389"/>
      <c r="C702" s="389"/>
      <c r="D702" s="389"/>
      <c r="E702" s="389"/>
      <c r="F702" s="389"/>
      <c r="G702" s="389"/>
      <c r="H702" s="389"/>
      <c r="I702" s="389"/>
      <c r="J702" s="389"/>
      <c r="K702" s="389"/>
      <c r="L702" s="389"/>
      <c r="M702" s="389"/>
      <c r="N702" s="389"/>
      <c r="O702" s="389"/>
      <c r="P702" s="389"/>
      <c r="Q702" s="389"/>
      <c r="R702" s="389"/>
      <c r="S702" s="389"/>
      <c r="T702" s="389"/>
      <c r="U702" s="389"/>
      <c r="V702" s="389"/>
      <c r="W702" s="389"/>
      <c r="X702" s="389"/>
      <c r="Y702" s="389"/>
      <c r="Z702" s="389"/>
      <c r="AA702" s="389"/>
    </row>
    <row r="703">
      <c r="A703" s="389"/>
      <c r="B703" s="389"/>
      <c r="C703" s="389"/>
      <c r="D703" s="389"/>
      <c r="E703" s="389"/>
      <c r="F703" s="389"/>
      <c r="G703" s="389"/>
      <c r="H703" s="389"/>
      <c r="I703" s="389"/>
      <c r="J703" s="389"/>
      <c r="K703" s="389"/>
      <c r="L703" s="389"/>
      <c r="M703" s="389"/>
      <c r="N703" s="389"/>
      <c r="O703" s="389"/>
      <c r="P703" s="389"/>
      <c r="Q703" s="389"/>
      <c r="R703" s="389"/>
      <c r="S703" s="389"/>
      <c r="T703" s="389"/>
      <c r="U703" s="389"/>
      <c r="V703" s="389"/>
      <c r="W703" s="389"/>
      <c r="X703" s="389"/>
      <c r="Y703" s="389"/>
      <c r="Z703" s="389"/>
      <c r="AA703" s="389"/>
    </row>
    <row r="704">
      <c r="A704" s="389"/>
      <c r="B704" s="389"/>
      <c r="C704" s="389"/>
      <c r="D704" s="389"/>
      <c r="E704" s="389"/>
      <c r="F704" s="389"/>
      <c r="G704" s="389"/>
      <c r="H704" s="389"/>
      <c r="I704" s="389"/>
      <c r="J704" s="389"/>
      <c r="K704" s="389"/>
      <c r="L704" s="389"/>
      <c r="M704" s="389"/>
      <c r="N704" s="389"/>
      <c r="O704" s="389"/>
      <c r="P704" s="389"/>
      <c r="Q704" s="389"/>
      <c r="R704" s="389"/>
      <c r="S704" s="389"/>
      <c r="T704" s="389"/>
      <c r="U704" s="389"/>
      <c r="V704" s="389"/>
      <c r="W704" s="389"/>
      <c r="X704" s="389"/>
      <c r="Y704" s="389"/>
      <c r="Z704" s="389"/>
      <c r="AA704" s="389"/>
    </row>
    <row r="705">
      <c r="A705" s="389"/>
      <c r="B705" s="389"/>
      <c r="C705" s="389"/>
      <c r="D705" s="389"/>
      <c r="E705" s="389"/>
      <c r="F705" s="389"/>
      <c r="G705" s="389"/>
      <c r="H705" s="389"/>
      <c r="I705" s="389"/>
      <c r="J705" s="389"/>
      <c r="K705" s="389"/>
      <c r="L705" s="389"/>
      <c r="M705" s="389"/>
      <c r="N705" s="389"/>
      <c r="O705" s="389"/>
      <c r="P705" s="389"/>
      <c r="Q705" s="389"/>
      <c r="R705" s="389"/>
      <c r="S705" s="389"/>
      <c r="T705" s="389"/>
      <c r="U705" s="389"/>
      <c r="V705" s="389"/>
      <c r="W705" s="389"/>
      <c r="X705" s="389"/>
      <c r="Y705" s="389"/>
      <c r="Z705" s="389"/>
      <c r="AA705" s="389"/>
    </row>
    <row r="706">
      <c r="A706" s="389"/>
      <c r="B706" s="389"/>
      <c r="C706" s="389"/>
      <c r="D706" s="389"/>
      <c r="E706" s="389"/>
      <c r="F706" s="389"/>
      <c r="G706" s="389"/>
      <c r="H706" s="389"/>
      <c r="I706" s="389"/>
      <c r="J706" s="389"/>
      <c r="K706" s="389"/>
      <c r="L706" s="389"/>
      <c r="M706" s="389"/>
      <c r="N706" s="389"/>
      <c r="O706" s="389"/>
      <c r="P706" s="389"/>
      <c r="Q706" s="389"/>
      <c r="R706" s="389"/>
      <c r="S706" s="389"/>
      <c r="T706" s="389"/>
      <c r="U706" s="389"/>
      <c r="V706" s="389"/>
      <c r="W706" s="389"/>
      <c r="X706" s="389"/>
      <c r="Y706" s="389"/>
      <c r="Z706" s="389"/>
      <c r="AA706" s="389"/>
    </row>
    <row r="707">
      <c r="A707" s="389"/>
      <c r="B707" s="389"/>
      <c r="C707" s="389"/>
      <c r="D707" s="389"/>
      <c r="E707" s="389"/>
      <c r="F707" s="389"/>
      <c r="G707" s="389"/>
      <c r="H707" s="389"/>
      <c r="I707" s="389"/>
      <c r="J707" s="389"/>
      <c r="K707" s="389"/>
      <c r="L707" s="389"/>
      <c r="M707" s="389"/>
      <c r="N707" s="389"/>
      <c r="O707" s="389"/>
      <c r="P707" s="389"/>
      <c r="Q707" s="389"/>
      <c r="R707" s="389"/>
      <c r="S707" s="389"/>
      <c r="T707" s="389"/>
      <c r="U707" s="389"/>
      <c r="V707" s="389"/>
      <c r="W707" s="389"/>
      <c r="X707" s="389"/>
      <c r="Y707" s="389"/>
      <c r="Z707" s="389"/>
      <c r="AA707" s="389"/>
    </row>
    <row r="708">
      <c r="A708" s="389"/>
      <c r="B708" s="389"/>
      <c r="C708" s="389"/>
      <c r="D708" s="389"/>
      <c r="E708" s="389"/>
      <c r="F708" s="389"/>
      <c r="G708" s="389"/>
      <c r="H708" s="389"/>
      <c r="I708" s="389"/>
      <c r="J708" s="389"/>
      <c r="K708" s="389"/>
      <c r="L708" s="389"/>
      <c r="M708" s="389"/>
      <c r="N708" s="389"/>
      <c r="O708" s="389"/>
      <c r="P708" s="389"/>
      <c r="Q708" s="389"/>
      <c r="R708" s="389"/>
      <c r="S708" s="389"/>
      <c r="T708" s="389"/>
      <c r="U708" s="389"/>
      <c r="V708" s="389"/>
      <c r="W708" s="389"/>
      <c r="X708" s="389"/>
      <c r="Y708" s="389"/>
      <c r="Z708" s="389"/>
      <c r="AA708" s="389"/>
    </row>
    <row r="709">
      <c r="A709" s="389"/>
      <c r="B709" s="389"/>
      <c r="C709" s="389"/>
      <c r="D709" s="389"/>
      <c r="E709" s="389"/>
      <c r="F709" s="389"/>
      <c r="G709" s="389"/>
      <c r="H709" s="389"/>
      <c r="I709" s="389"/>
      <c r="J709" s="389"/>
      <c r="K709" s="389"/>
      <c r="L709" s="389"/>
      <c r="M709" s="389"/>
      <c r="N709" s="389"/>
      <c r="O709" s="389"/>
      <c r="P709" s="389"/>
      <c r="Q709" s="389"/>
      <c r="R709" s="389"/>
      <c r="S709" s="389"/>
      <c r="T709" s="389"/>
      <c r="U709" s="389"/>
      <c r="V709" s="389"/>
      <c r="W709" s="389"/>
      <c r="X709" s="389"/>
      <c r="Y709" s="389"/>
      <c r="Z709" s="389"/>
      <c r="AA709" s="389"/>
    </row>
    <row r="710">
      <c r="A710" s="389"/>
      <c r="B710" s="389"/>
      <c r="C710" s="389"/>
      <c r="D710" s="389"/>
      <c r="E710" s="389"/>
      <c r="F710" s="389"/>
      <c r="G710" s="389"/>
      <c r="H710" s="389"/>
      <c r="I710" s="389"/>
      <c r="J710" s="389"/>
      <c r="K710" s="389"/>
      <c r="L710" s="389"/>
      <c r="M710" s="389"/>
      <c r="N710" s="389"/>
      <c r="O710" s="389"/>
      <c r="P710" s="389"/>
      <c r="Q710" s="389"/>
      <c r="R710" s="389"/>
      <c r="S710" s="389"/>
      <c r="T710" s="389"/>
      <c r="U710" s="389"/>
      <c r="V710" s="389"/>
      <c r="W710" s="389"/>
      <c r="X710" s="389"/>
      <c r="Y710" s="389"/>
      <c r="Z710" s="389"/>
      <c r="AA710" s="389"/>
    </row>
    <row r="711">
      <c r="A711" s="389"/>
      <c r="B711" s="389"/>
      <c r="C711" s="389"/>
      <c r="D711" s="389"/>
      <c r="E711" s="389"/>
      <c r="F711" s="389"/>
      <c r="G711" s="389"/>
      <c r="H711" s="389"/>
      <c r="I711" s="389"/>
      <c r="J711" s="389"/>
      <c r="K711" s="389"/>
      <c r="L711" s="389"/>
      <c r="M711" s="389"/>
      <c r="N711" s="389"/>
      <c r="O711" s="389"/>
      <c r="P711" s="389"/>
      <c r="Q711" s="389"/>
      <c r="R711" s="389"/>
      <c r="S711" s="389"/>
      <c r="T711" s="389"/>
      <c r="U711" s="389"/>
      <c r="V711" s="389"/>
      <c r="W711" s="389"/>
      <c r="X711" s="389"/>
      <c r="Y711" s="389"/>
      <c r="Z711" s="389"/>
      <c r="AA711" s="389"/>
    </row>
    <row r="712">
      <c r="A712" s="389"/>
      <c r="B712" s="389"/>
      <c r="C712" s="389"/>
      <c r="D712" s="389"/>
      <c r="E712" s="389"/>
      <c r="F712" s="389"/>
      <c r="G712" s="389"/>
      <c r="H712" s="389"/>
      <c r="I712" s="389"/>
      <c r="J712" s="389"/>
      <c r="K712" s="389"/>
      <c r="L712" s="389"/>
      <c r="M712" s="389"/>
      <c r="N712" s="389"/>
      <c r="O712" s="389"/>
      <c r="P712" s="389"/>
      <c r="Q712" s="389"/>
      <c r="R712" s="389"/>
      <c r="S712" s="389"/>
      <c r="T712" s="389"/>
      <c r="U712" s="389"/>
      <c r="V712" s="389"/>
      <c r="W712" s="389"/>
      <c r="X712" s="389"/>
      <c r="Y712" s="389"/>
      <c r="Z712" s="389"/>
      <c r="AA712" s="389"/>
    </row>
    <row r="713">
      <c r="A713" s="389"/>
      <c r="B713" s="389"/>
      <c r="C713" s="389"/>
      <c r="D713" s="389"/>
      <c r="E713" s="389"/>
      <c r="F713" s="389"/>
      <c r="G713" s="389"/>
      <c r="H713" s="389"/>
      <c r="I713" s="389"/>
      <c r="J713" s="389"/>
      <c r="K713" s="389"/>
      <c r="L713" s="389"/>
      <c r="M713" s="389"/>
      <c r="N713" s="389"/>
      <c r="O713" s="389"/>
      <c r="P713" s="389"/>
      <c r="Q713" s="389"/>
      <c r="R713" s="389"/>
      <c r="S713" s="389"/>
      <c r="T713" s="389"/>
      <c r="U713" s="389"/>
      <c r="V713" s="389"/>
      <c r="W713" s="389"/>
      <c r="X713" s="389"/>
      <c r="Y713" s="389"/>
      <c r="Z713" s="389"/>
      <c r="AA713" s="389"/>
    </row>
    <row r="714">
      <c r="A714" s="389"/>
      <c r="B714" s="389"/>
      <c r="C714" s="389"/>
      <c r="D714" s="389"/>
      <c r="E714" s="389"/>
      <c r="F714" s="389"/>
      <c r="G714" s="389"/>
      <c r="H714" s="389"/>
      <c r="I714" s="389"/>
      <c r="J714" s="389"/>
      <c r="K714" s="389"/>
      <c r="L714" s="389"/>
      <c r="M714" s="389"/>
      <c r="N714" s="389"/>
      <c r="O714" s="389"/>
      <c r="P714" s="389"/>
      <c r="Q714" s="389"/>
      <c r="R714" s="389"/>
      <c r="S714" s="389"/>
      <c r="T714" s="389"/>
      <c r="U714" s="389"/>
      <c r="V714" s="389"/>
      <c r="W714" s="389"/>
      <c r="X714" s="389"/>
      <c r="Y714" s="389"/>
      <c r="Z714" s="389"/>
      <c r="AA714" s="389"/>
    </row>
    <row r="715">
      <c r="A715" s="389"/>
      <c r="B715" s="389"/>
      <c r="C715" s="389"/>
      <c r="D715" s="389"/>
      <c r="E715" s="389"/>
      <c r="F715" s="389"/>
      <c r="G715" s="389"/>
      <c r="H715" s="389"/>
      <c r="I715" s="389"/>
      <c r="J715" s="389"/>
      <c r="K715" s="389"/>
      <c r="L715" s="389"/>
      <c r="M715" s="389"/>
      <c r="N715" s="389"/>
      <c r="O715" s="389"/>
      <c r="P715" s="389"/>
      <c r="Q715" s="389"/>
      <c r="R715" s="389"/>
      <c r="S715" s="389"/>
      <c r="T715" s="389"/>
      <c r="U715" s="389"/>
      <c r="V715" s="389"/>
      <c r="W715" s="389"/>
      <c r="X715" s="389"/>
      <c r="Y715" s="389"/>
      <c r="Z715" s="389"/>
      <c r="AA715" s="389"/>
    </row>
    <row r="716">
      <c r="A716" s="389"/>
      <c r="B716" s="389"/>
      <c r="C716" s="389"/>
      <c r="D716" s="389"/>
      <c r="E716" s="389"/>
      <c r="F716" s="389"/>
      <c r="G716" s="389"/>
      <c r="H716" s="389"/>
      <c r="I716" s="389"/>
      <c r="J716" s="389"/>
      <c r="K716" s="389"/>
      <c r="L716" s="389"/>
      <c r="M716" s="389"/>
      <c r="N716" s="389"/>
      <c r="O716" s="389"/>
      <c r="P716" s="389"/>
      <c r="Q716" s="389"/>
      <c r="R716" s="389"/>
      <c r="S716" s="389"/>
      <c r="T716" s="389"/>
      <c r="U716" s="389"/>
      <c r="V716" s="389"/>
      <c r="W716" s="389"/>
      <c r="X716" s="389"/>
      <c r="Y716" s="389"/>
      <c r="Z716" s="389"/>
      <c r="AA716" s="389"/>
    </row>
    <row r="717">
      <c r="A717" s="389"/>
      <c r="B717" s="389"/>
      <c r="C717" s="389"/>
      <c r="D717" s="389"/>
      <c r="E717" s="389"/>
      <c r="F717" s="389"/>
      <c r="G717" s="389"/>
      <c r="H717" s="389"/>
      <c r="I717" s="389"/>
      <c r="J717" s="389"/>
      <c r="K717" s="389"/>
      <c r="L717" s="389"/>
      <c r="M717" s="389"/>
      <c r="N717" s="389"/>
      <c r="O717" s="389"/>
      <c r="P717" s="389"/>
      <c r="Q717" s="389"/>
      <c r="R717" s="389"/>
      <c r="S717" s="389"/>
      <c r="T717" s="389"/>
      <c r="U717" s="389"/>
      <c r="V717" s="389"/>
      <c r="W717" s="389"/>
      <c r="X717" s="389"/>
      <c r="Y717" s="389"/>
      <c r="Z717" s="389"/>
      <c r="AA717" s="389"/>
    </row>
    <row r="718">
      <c r="A718" s="389"/>
      <c r="B718" s="389"/>
      <c r="C718" s="389"/>
      <c r="D718" s="389"/>
      <c r="E718" s="389"/>
      <c r="F718" s="389"/>
      <c r="G718" s="389"/>
      <c r="H718" s="389"/>
      <c r="I718" s="389"/>
      <c r="J718" s="389"/>
      <c r="K718" s="389"/>
      <c r="L718" s="389"/>
      <c r="M718" s="389"/>
      <c r="N718" s="389"/>
      <c r="O718" s="389"/>
      <c r="P718" s="389"/>
      <c r="Q718" s="389"/>
      <c r="R718" s="389"/>
      <c r="S718" s="389"/>
      <c r="T718" s="389"/>
      <c r="U718" s="389"/>
      <c r="V718" s="389"/>
      <c r="W718" s="389"/>
      <c r="X718" s="389"/>
      <c r="Y718" s="389"/>
      <c r="Z718" s="389"/>
      <c r="AA718" s="389"/>
    </row>
    <row r="719">
      <c r="A719" s="389"/>
      <c r="B719" s="389"/>
      <c r="C719" s="389"/>
      <c r="D719" s="389"/>
      <c r="E719" s="389"/>
      <c r="F719" s="389"/>
      <c r="G719" s="389"/>
      <c r="H719" s="389"/>
      <c r="I719" s="389"/>
      <c r="J719" s="389"/>
      <c r="K719" s="389"/>
      <c r="L719" s="389"/>
      <c r="M719" s="389"/>
      <c r="N719" s="389"/>
      <c r="O719" s="389"/>
      <c r="P719" s="389"/>
      <c r="Q719" s="389"/>
      <c r="R719" s="389"/>
      <c r="S719" s="389"/>
      <c r="T719" s="389"/>
      <c r="U719" s="389"/>
      <c r="V719" s="389"/>
      <c r="W719" s="389"/>
      <c r="X719" s="389"/>
      <c r="Y719" s="389"/>
      <c r="Z719" s="389"/>
      <c r="AA719" s="389"/>
    </row>
    <row r="720">
      <c r="A720" s="389"/>
      <c r="B720" s="389"/>
      <c r="C720" s="389"/>
      <c r="D720" s="389"/>
      <c r="E720" s="389"/>
      <c r="F720" s="389"/>
      <c r="G720" s="389"/>
      <c r="H720" s="389"/>
      <c r="I720" s="389"/>
      <c r="J720" s="389"/>
      <c r="K720" s="389"/>
      <c r="L720" s="389"/>
      <c r="M720" s="389"/>
      <c r="N720" s="389"/>
      <c r="O720" s="389"/>
      <c r="P720" s="389"/>
      <c r="Q720" s="389"/>
      <c r="R720" s="389"/>
      <c r="S720" s="389"/>
      <c r="T720" s="389"/>
      <c r="U720" s="389"/>
      <c r="V720" s="389"/>
      <c r="W720" s="389"/>
      <c r="X720" s="389"/>
      <c r="Y720" s="389"/>
      <c r="Z720" s="389"/>
      <c r="AA720" s="389"/>
    </row>
    <row r="721">
      <c r="A721" s="389"/>
      <c r="B721" s="389"/>
      <c r="C721" s="389"/>
      <c r="D721" s="389"/>
      <c r="E721" s="389"/>
      <c r="F721" s="389"/>
      <c r="G721" s="389"/>
      <c r="H721" s="389"/>
      <c r="I721" s="389"/>
      <c r="J721" s="389"/>
      <c r="K721" s="389"/>
      <c r="L721" s="389"/>
      <c r="M721" s="389"/>
      <c r="N721" s="389"/>
      <c r="O721" s="389"/>
      <c r="P721" s="389"/>
      <c r="Q721" s="389"/>
      <c r="R721" s="389"/>
      <c r="S721" s="389"/>
      <c r="T721" s="389"/>
      <c r="U721" s="389"/>
      <c r="V721" s="389"/>
      <c r="W721" s="389"/>
      <c r="X721" s="389"/>
      <c r="Y721" s="389"/>
      <c r="Z721" s="389"/>
      <c r="AA721" s="389"/>
    </row>
    <row r="722">
      <c r="A722" s="389"/>
      <c r="B722" s="389"/>
      <c r="C722" s="389"/>
      <c r="D722" s="389"/>
      <c r="E722" s="389"/>
      <c r="F722" s="389"/>
      <c r="G722" s="389"/>
      <c r="H722" s="389"/>
      <c r="I722" s="389"/>
      <c r="J722" s="389"/>
      <c r="K722" s="389"/>
      <c r="L722" s="389"/>
      <c r="M722" s="389"/>
      <c r="N722" s="389"/>
      <c r="O722" s="389"/>
      <c r="P722" s="389"/>
      <c r="Q722" s="389"/>
      <c r="R722" s="389"/>
      <c r="S722" s="389"/>
      <c r="T722" s="389"/>
      <c r="U722" s="389"/>
      <c r="V722" s="389"/>
      <c r="W722" s="389"/>
      <c r="X722" s="389"/>
      <c r="Y722" s="389"/>
      <c r="Z722" s="389"/>
      <c r="AA722" s="389"/>
    </row>
    <row r="723">
      <c r="A723" s="389"/>
      <c r="B723" s="389"/>
      <c r="C723" s="389"/>
      <c r="D723" s="389"/>
      <c r="E723" s="389"/>
      <c r="F723" s="389"/>
      <c r="G723" s="389"/>
      <c r="H723" s="389"/>
      <c r="I723" s="389"/>
      <c r="J723" s="389"/>
      <c r="K723" s="389"/>
      <c r="L723" s="389"/>
      <c r="M723" s="389"/>
      <c r="N723" s="389"/>
      <c r="O723" s="389"/>
      <c r="P723" s="389"/>
      <c r="Q723" s="389"/>
      <c r="R723" s="389"/>
      <c r="S723" s="389"/>
      <c r="T723" s="389"/>
      <c r="U723" s="389"/>
      <c r="V723" s="389"/>
      <c r="W723" s="389"/>
      <c r="X723" s="389"/>
      <c r="Y723" s="389"/>
      <c r="Z723" s="389"/>
      <c r="AA723" s="389"/>
    </row>
    <row r="724">
      <c r="A724" s="389"/>
      <c r="B724" s="389"/>
      <c r="C724" s="389"/>
      <c r="D724" s="389"/>
      <c r="E724" s="389"/>
      <c r="F724" s="389"/>
      <c r="G724" s="389"/>
      <c r="H724" s="389"/>
      <c r="I724" s="389"/>
      <c r="J724" s="389"/>
      <c r="K724" s="389"/>
      <c r="L724" s="389"/>
      <c r="M724" s="389"/>
      <c r="N724" s="389"/>
      <c r="O724" s="389"/>
      <c r="P724" s="389"/>
      <c r="Q724" s="389"/>
      <c r="R724" s="389"/>
      <c r="S724" s="389"/>
      <c r="T724" s="389"/>
      <c r="U724" s="389"/>
      <c r="V724" s="389"/>
      <c r="W724" s="389"/>
      <c r="X724" s="389"/>
      <c r="Y724" s="389"/>
      <c r="Z724" s="389"/>
      <c r="AA724" s="389"/>
    </row>
    <row r="725">
      <c r="A725" s="389"/>
      <c r="B725" s="389"/>
      <c r="C725" s="389"/>
      <c r="D725" s="389"/>
      <c r="E725" s="389"/>
      <c r="F725" s="389"/>
      <c r="G725" s="389"/>
      <c r="H725" s="389"/>
      <c r="I725" s="389"/>
      <c r="J725" s="389"/>
      <c r="K725" s="389"/>
      <c r="L725" s="389"/>
      <c r="M725" s="389"/>
      <c r="N725" s="389"/>
      <c r="O725" s="389"/>
      <c r="P725" s="389"/>
      <c r="Q725" s="389"/>
      <c r="R725" s="389"/>
      <c r="S725" s="389"/>
      <c r="T725" s="389"/>
      <c r="U725" s="389"/>
      <c r="V725" s="389"/>
      <c r="W725" s="389"/>
      <c r="X725" s="389"/>
      <c r="Y725" s="389"/>
      <c r="Z725" s="389"/>
      <c r="AA725" s="389"/>
    </row>
    <row r="726">
      <c r="A726" s="389"/>
      <c r="B726" s="389"/>
      <c r="C726" s="389"/>
      <c r="D726" s="389"/>
      <c r="E726" s="389"/>
      <c r="F726" s="389"/>
      <c r="G726" s="389"/>
      <c r="H726" s="389"/>
      <c r="I726" s="389"/>
      <c r="J726" s="389"/>
      <c r="K726" s="389"/>
      <c r="L726" s="389"/>
      <c r="M726" s="389"/>
      <c r="N726" s="389"/>
      <c r="O726" s="389"/>
      <c r="P726" s="389"/>
      <c r="Q726" s="389"/>
      <c r="R726" s="389"/>
      <c r="S726" s="389"/>
      <c r="T726" s="389"/>
      <c r="U726" s="389"/>
      <c r="V726" s="389"/>
      <c r="W726" s="389"/>
      <c r="X726" s="389"/>
      <c r="Y726" s="389"/>
      <c r="Z726" s="389"/>
      <c r="AA726" s="389"/>
    </row>
    <row r="727">
      <c r="A727" s="389"/>
      <c r="B727" s="389"/>
      <c r="C727" s="389"/>
      <c r="D727" s="389"/>
      <c r="E727" s="389"/>
      <c r="F727" s="389"/>
      <c r="G727" s="389"/>
      <c r="H727" s="389"/>
      <c r="I727" s="389"/>
      <c r="J727" s="389"/>
      <c r="K727" s="389"/>
      <c r="L727" s="389"/>
      <c r="M727" s="389"/>
      <c r="N727" s="389"/>
      <c r="O727" s="389"/>
      <c r="P727" s="389"/>
      <c r="Q727" s="389"/>
      <c r="R727" s="389"/>
      <c r="S727" s="389"/>
      <c r="T727" s="389"/>
      <c r="U727" s="389"/>
      <c r="V727" s="389"/>
      <c r="W727" s="389"/>
      <c r="X727" s="389"/>
      <c r="Y727" s="389"/>
      <c r="Z727" s="389"/>
      <c r="AA727" s="389"/>
    </row>
    <row r="728">
      <c r="A728" s="389"/>
      <c r="B728" s="389"/>
      <c r="C728" s="389"/>
      <c r="D728" s="389"/>
      <c r="E728" s="389"/>
      <c r="F728" s="389"/>
      <c r="G728" s="389"/>
      <c r="H728" s="389"/>
      <c r="I728" s="389"/>
      <c r="J728" s="389"/>
      <c r="K728" s="389"/>
      <c r="L728" s="389"/>
      <c r="M728" s="389"/>
      <c r="N728" s="389"/>
      <c r="O728" s="389"/>
      <c r="P728" s="389"/>
      <c r="Q728" s="389"/>
      <c r="R728" s="389"/>
      <c r="S728" s="389"/>
      <c r="T728" s="389"/>
      <c r="U728" s="389"/>
      <c r="V728" s="389"/>
      <c r="W728" s="389"/>
      <c r="X728" s="389"/>
      <c r="Y728" s="389"/>
      <c r="Z728" s="389"/>
      <c r="AA728" s="389"/>
    </row>
    <row r="729">
      <c r="A729" s="389"/>
      <c r="B729" s="389"/>
      <c r="C729" s="389"/>
      <c r="D729" s="389"/>
      <c r="E729" s="389"/>
      <c r="F729" s="389"/>
      <c r="G729" s="389"/>
      <c r="H729" s="389"/>
      <c r="I729" s="389"/>
      <c r="J729" s="389"/>
      <c r="K729" s="389"/>
      <c r="L729" s="389"/>
      <c r="M729" s="389"/>
      <c r="N729" s="389"/>
      <c r="O729" s="389"/>
      <c r="P729" s="389"/>
      <c r="Q729" s="389"/>
      <c r="R729" s="389"/>
      <c r="S729" s="389"/>
      <c r="T729" s="389"/>
      <c r="U729" s="389"/>
      <c r="V729" s="389"/>
      <c r="W729" s="389"/>
      <c r="X729" s="389"/>
      <c r="Y729" s="389"/>
      <c r="Z729" s="389"/>
      <c r="AA729" s="389"/>
    </row>
    <row r="730">
      <c r="A730" s="389"/>
      <c r="B730" s="389"/>
      <c r="C730" s="389"/>
      <c r="D730" s="389"/>
      <c r="E730" s="389"/>
      <c r="F730" s="389"/>
      <c r="G730" s="389"/>
      <c r="H730" s="389"/>
      <c r="I730" s="389"/>
      <c r="J730" s="389"/>
      <c r="K730" s="389"/>
      <c r="L730" s="389"/>
      <c r="M730" s="389"/>
      <c r="N730" s="389"/>
      <c r="O730" s="389"/>
      <c r="P730" s="389"/>
      <c r="Q730" s="389"/>
      <c r="R730" s="389"/>
      <c r="S730" s="389"/>
      <c r="T730" s="389"/>
      <c r="U730" s="389"/>
      <c r="V730" s="389"/>
      <c r="W730" s="389"/>
      <c r="X730" s="389"/>
      <c r="Y730" s="389"/>
      <c r="Z730" s="389"/>
      <c r="AA730" s="389"/>
    </row>
    <row r="731">
      <c r="A731" s="389"/>
      <c r="B731" s="389"/>
      <c r="C731" s="389"/>
      <c r="D731" s="389"/>
      <c r="E731" s="389"/>
      <c r="F731" s="389"/>
      <c r="G731" s="389"/>
      <c r="H731" s="389"/>
      <c r="I731" s="389"/>
      <c r="J731" s="389"/>
      <c r="K731" s="389"/>
      <c r="L731" s="389"/>
      <c r="M731" s="389"/>
      <c r="N731" s="389"/>
      <c r="O731" s="389"/>
      <c r="P731" s="389"/>
      <c r="Q731" s="389"/>
      <c r="R731" s="389"/>
      <c r="S731" s="389"/>
      <c r="T731" s="389"/>
      <c r="U731" s="389"/>
      <c r="V731" s="389"/>
      <c r="W731" s="389"/>
      <c r="X731" s="389"/>
      <c r="Y731" s="389"/>
      <c r="Z731" s="389"/>
      <c r="AA731" s="389"/>
    </row>
    <row r="732">
      <c r="A732" s="389"/>
      <c r="B732" s="389"/>
      <c r="C732" s="389"/>
      <c r="D732" s="389"/>
      <c r="E732" s="389"/>
      <c r="F732" s="389"/>
      <c r="G732" s="389"/>
      <c r="H732" s="389"/>
      <c r="I732" s="389"/>
      <c r="J732" s="389"/>
      <c r="K732" s="389"/>
      <c r="L732" s="389"/>
      <c r="M732" s="389"/>
      <c r="N732" s="389"/>
      <c r="O732" s="389"/>
      <c r="P732" s="389"/>
      <c r="Q732" s="389"/>
      <c r="R732" s="389"/>
      <c r="S732" s="389"/>
      <c r="T732" s="389"/>
      <c r="U732" s="389"/>
      <c r="V732" s="389"/>
      <c r="W732" s="389"/>
      <c r="X732" s="389"/>
      <c r="Y732" s="389"/>
      <c r="Z732" s="389"/>
      <c r="AA732" s="389"/>
    </row>
    <row r="733">
      <c r="A733" s="389"/>
      <c r="B733" s="389"/>
      <c r="C733" s="389"/>
      <c r="D733" s="389"/>
      <c r="E733" s="389"/>
      <c r="F733" s="389"/>
      <c r="G733" s="389"/>
      <c r="H733" s="389"/>
      <c r="I733" s="389"/>
      <c r="J733" s="389"/>
      <c r="K733" s="389"/>
      <c r="L733" s="389"/>
      <c r="M733" s="389"/>
      <c r="N733" s="389"/>
      <c r="O733" s="389"/>
      <c r="P733" s="389"/>
      <c r="Q733" s="389"/>
      <c r="R733" s="389"/>
      <c r="S733" s="389"/>
      <c r="T733" s="389"/>
      <c r="U733" s="389"/>
      <c r="V733" s="389"/>
      <c r="W733" s="389"/>
      <c r="X733" s="389"/>
      <c r="Y733" s="389"/>
      <c r="Z733" s="389"/>
      <c r="AA733" s="389"/>
    </row>
    <row r="734">
      <c r="A734" s="389"/>
      <c r="B734" s="389"/>
      <c r="C734" s="389"/>
      <c r="D734" s="389"/>
      <c r="E734" s="389"/>
      <c r="F734" s="389"/>
      <c r="G734" s="389"/>
      <c r="H734" s="389"/>
      <c r="I734" s="389"/>
      <c r="J734" s="389"/>
      <c r="K734" s="389"/>
      <c r="L734" s="389"/>
      <c r="M734" s="389"/>
      <c r="N734" s="389"/>
      <c r="O734" s="389"/>
      <c r="P734" s="389"/>
      <c r="Q734" s="389"/>
      <c r="R734" s="389"/>
      <c r="S734" s="389"/>
      <c r="T734" s="389"/>
      <c r="U734" s="389"/>
      <c r="V734" s="389"/>
      <c r="W734" s="389"/>
      <c r="X734" s="389"/>
      <c r="Y734" s="389"/>
      <c r="Z734" s="389"/>
      <c r="AA734" s="389"/>
    </row>
    <row r="735">
      <c r="A735" s="389"/>
      <c r="B735" s="389"/>
      <c r="C735" s="389"/>
      <c r="D735" s="389"/>
      <c r="E735" s="389"/>
      <c r="F735" s="389"/>
      <c r="G735" s="389"/>
      <c r="H735" s="389"/>
      <c r="I735" s="389"/>
      <c r="J735" s="389"/>
      <c r="K735" s="389"/>
      <c r="L735" s="389"/>
      <c r="M735" s="389"/>
      <c r="N735" s="389"/>
      <c r="O735" s="389"/>
      <c r="P735" s="389"/>
      <c r="Q735" s="389"/>
      <c r="R735" s="389"/>
      <c r="S735" s="389"/>
      <c r="T735" s="389"/>
      <c r="U735" s="389"/>
      <c r="V735" s="389"/>
      <c r="W735" s="389"/>
      <c r="X735" s="389"/>
      <c r="Y735" s="389"/>
      <c r="Z735" s="389"/>
      <c r="AA735" s="389"/>
    </row>
    <row r="736">
      <c r="A736" s="389"/>
      <c r="B736" s="389"/>
      <c r="C736" s="389"/>
      <c r="D736" s="389"/>
      <c r="E736" s="389"/>
      <c r="F736" s="389"/>
      <c r="G736" s="389"/>
      <c r="H736" s="389"/>
      <c r="I736" s="389"/>
      <c r="J736" s="389"/>
      <c r="K736" s="389"/>
      <c r="L736" s="389"/>
      <c r="M736" s="389"/>
      <c r="N736" s="389"/>
      <c r="O736" s="389"/>
      <c r="P736" s="389"/>
      <c r="Q736" s="389"/>
      <c r="R736" s="389"/>
      <c r="S736" s="389"/>
      <c r="T736" s="389"/>
      <c r="U736" s="389"/>
      <c r="V736" s="389"/>
      <c r="W736" s="389"/>
      <c r="X736" s="389"/>
      <c r="Y736" s="389"/>
      <c r="Z736" s="389"/>
      <c r="AA736" s="389"/>
    </row>
    <row r="737">
      <c r="A737" s="389"/>
      <c r="B737" s="389"/>
      <c r="C737" s="389"/>
      <c r="D737" s="389"/>
      <c r="E737" s="389"/>
      <c r="F737" s="389"/>
      <c r="G737" s="389"/>
      <c r="H737" s="389"/>
      <c r="I737" s="389"/>
      <c r="J737" s="389"/>
      <c r="K737" s="389"/>
      <c r="L737" s="389"/>
      <c r="M737" s="389"/>
      <c r="N737" s="389"/>
      <c r="O737" s="389"/>
      <c r="P737" s="389"/>
      <c r="Q737" s="389"/>
      <c r="R737" s="389"/>
      <c r="S737" s="389"/>
      <c r="T737" s="389"/>
      <c r="U737" s="389"/>
      <c r="V737" s="389"/>
      <c r="W737" s="389"/>
      <c r="X737" s="389"/>
      <c r="Y737" s="389"/>
      <c r="Z737" s="389"/>
      <c r="AA737" s="389"/>
    </row>
    <row r="738">
      <c r="A738" s="389"/>
      <c r="B738" s="389"/>
      <c r="C738" s="389"/>
      <c r="D738" s="389"/>
      <c r="E738" s="389"/>
      <c r="F738" s="389"/>
      <c r="G738" s="389"/>
      <c r="H738" s="389"/>
      <c r="I738" s="389"/>
      <c r="J738" s="389"/>
      <c r="K738" s="389"/>
      <c r="L738" s="389"/>
      <c r="M738" s="389"/>
      <c r="N738" s="389"/>
      <c r="O738" s="389"/>
      <c r="P738" s="389"/>
      <c r="Q738" s="389"/>
      <c r="R738" s="389"/>
      <c r="S738" s="389"/>
      <c r="T738" s="389"/>
      <c r="U738" s="389"/>
      <c r="V738" s="389"/>
      <c r="W738" s="389"/>
      <c r="X738" s="389"/>
      <c r="Y738" s="389"/>
      <c r="Z738" s="389"/>
      <c r="AA738" s="389"/>
    </row>
    <row r="739">
      <c r="A739" s="389"/>
      <c r="B739" s="389"/>
      <c r="C739" s="389"/>
      <c r="D739" s="389"/>
      <c r="E739" s="389"/>
      <c r="F739" s="389"/>
      <c r="G739" s="389"/>
      <c r="H739" s="389"/>
      <c r="I739" s="389"/>
      <c r="J739" s="389"/>
      <c r="K739" s="389"/>
      <c r="L739" s="389"/>
      <c r="M739" s="389"/>
      <c r="N739" s="389"/>
      <c r="O739" s="389"/>
      <c r="P739" s="389"/>
      <c r="Q739" s="389"/>
      <c r="R739" s="389"/>
      <c r="S739" s="389"/>
      <c r="T739" s="389"/>
      <c r="U739" s="389"/>
      <c r="V739" s="389"/>
      <c r="W739" s="389"/>
      <c r="X739" s="389"/>
      <c r="Y739" s="389"/>
      <c r="Z739" s="389"/>
      <c r="AA739" s="389"/>
    </row>
    <row r="740">
      <c r="A740" s="389"/>
      <c r="B740" s="389"/>
      <c r="C740" s="389"/>
      <c r="D740" s="389"/>
      <c r="E740" s="389"/>
      <c r="F740" s="389"/>
      <c r="G740" s="389"/>
      <c r="H740" s="389"/>
      <c r="I740" s="389"/>
      <c r="J740" s="389"/>
      <c r="K740" s="389"/>
      <c r="L740" s="389"/>
      <c r="M740" s="389"/>
      <c r="N740" s="389"/>
      <c r="O740" s="389"/>
      <c r="P740" s="389"/>
      <c r="Q740" s="389"/>
      <c r="R740" s="389"/>
      <c r="S740" s="389"/>
      <c r="T740" s="389"/>
      <c r="U740" s="389"/>
      <c r="V740" s="389"/>
      <c r="W740" s="389"/>
      <c r="X740" s="389"/>
      <c r="Y740" s="389"/>
      <c r="Z740" s="389"/>
      <c r="AA740" s="389"/>
    </row>
    <row r="741">
      <c r="A741" s="389"/>
      <c r="B741" s="389"/>
      <c r="C741" s="389"/>
      <c r="D741" s="389"/>
      <c r="E741" s="389"/>
      <c r="F741" s="389"/>
      <c r="G741" s="389"/>
      <c r="H741" s="389"/>
      <c r="I741" s="389"/>
      <c r="J741" s="389"/>
      <c r="K741" s="389"/>
      <c r="L741" s="389"/>
      <c r="M741" s="389"/>
      <c r="N741" s="389"/>
      <c r="O741" s="389"/>
      <c r="P741" s="389"/>
      <c r="Q741" s="389"/>
      <c r="R741" s="389"/>
      <c r="S741" s="389"/>
      <c r="T741" s="389"/>
      <c r="U741" s="389"/>
      <c r="V741" s="389"/>
      <c r="W741" s="389"/>
      <c r="X741" s="389"/>
      <c r="Y741" s="389"/>
      <c r="Z741" s="389"/>
      <c r="AA741" s="389"/>
    </row>
    <row r="742">
      <c r="A742" s="389"/>
      <c r="B742" s="389"/>
      <c r="C742" s="389"/>
      <c r="D742" s="389"/>
      <c r="E742" s="389"/>
      <c r="F742" s="389"/>
      <c r="G742" s="389"/>
      <c r="H742" s="389"/>
      <c r="I742" s="389"/>
      <c r="J742" s="389"/>
      <c r="K742" s="389"/>
      <c r="L742" s="389"/>
      <c r="M742" s="389"/>
      <c r="N742" s="389"/>
      <c r="O742" s="389"/>
      <c r="P742" s="389"/>
      <c r="Q742" s="389"/>
      <c r="R742" s="389"/>
      <c r="S742" s="389"/>
      <c r="T742" s="389"/>
      <c r="U742" s="389"/>
      <c r="V742" s="389"/>
      <c r="W742" s="389"/>
      <c r="X742" s="389"/>
      <c r="Y742" s="389"/>
      <c r="Z742" s="389"/>
      <c r="AA742" s="389"/>
    </row>
    <row r="743">
      <c r="A743" s="389"/>
      <c r="B743" s="389"/>
      <c r="C743" s="389"/>
      <c r="D743" s="389"/>
      <c r="E743" s="389"/>
      <c r="F743" s="389"/>
      <c r="G743" s="389"/>
      <c r="H743" s="389"/>
      <c r="I743" s="389"/>
      <c r="J743" s="389"/>
      <c r="K743" s="389"/>
      <c r="L743" s="389"/>
      <c r="M743" s="389"/>
      <c r="N743" s="389"/>
      <c r="O743" s="389"/>
      <c r="P743" s="389"/>
      <c r="Q743" s="389"/>
      <c r="R743" s="389"/>
      <c r="S743" s="389"/>
      <c r="T743" s="389"/>
      <c r="U743" s="389"/>
      <c r="V743" s="389"/>
      <c r="W743" s="389"/>
      <c r="X743" s="389"/>
      <c r="Y743" s="389"/>
      <c r="Z743" s="389"/>
      <c r="AA743" s="389"/>
    </row>
    <row r="744">
      <c r="A744" s="389"/>
      <c r="B744" s="389"/>
      <c r="C744" s="389"/>
      <c r="D744" s="389"/>
      <c r="E744" s="389"/>
      <c r="F744" s="389"/>
      <c r="G744" s="389"/>
      <c r="H744" s="389"/>
      <c r="I744" s="389"/>
      <c r="J744" s="389"/>
      <c r="K744" s="389"/>
      <c r="L744" s="389"/>
      <c r="M744" s="389"/>
      <c r="N744" s="389"/>
      <c r="O744" s="389"/>
      <c r="P744" s="389"/>
      <c r="Q744" s="389"/>
      <c r="R744" s="389"/>
      <c r="S744" s="389"/>
      <c r="T744" s="389"/>
      <c r="U744" s="389"/>
      <c r="V744" s="389"/>
      <c r="W744" s="389"/>
      <c r="X744" s="389"/>
      <c r="Y744" s="389"/>
      <c r="Z744" s="389"/>
      <c r="AA744" s="389"/>
    </row>
    <row r="745">
      <c r="A745" s="389"/>
      <c r="B745" s="389"/>
      <c r="C745" s="389"/>
      <c r="D745" s="389"/>
      <c r="E745" s="389"/>
      <c r="F745" s="389"/>
      <c r="G745" s="389"/>
      <c r="H745" s="389"/>
      <c r="I745" s="389"/>
      <c r="J745" s="389"/>
      <c r="K745" s="389"/>
      <c r="L745" s="389"/>
      <c r="M745" s="389"/>
      <c r="N745" s="389"/>
      <c r="O745" s="389"/>
      <c r="P745" s="389"/>
      <c r="Q745" s="389"/>
      <c r="R745" s="389"/>
      <c r="S745" s="389"/>
      <c r="T745" s="389"/>
      <c r="U745" s="389"/>
      <c r="V745" s="389"/>
      <c r="W745" s="389"/>
      <c r="X745" s="389"/>
      <c r="Y745" s="389"/>
      <c r="Z745" s="389"/>
      <c r="AA745" s="389"/>
    </row>
    <row r="746">
      <c r="A746" s="389"/>
      <c r="B746" s="389"/>
      <c r="C746" s="389"/>
      <c r="D746" s="389"/>
      <c r="E746" s="389"/>
      <c r="F746" s="389"/>
      <c r="G746" s="389"/>
      <c r="H746" s="389"/>
      <c r="I746" s="389"/>
      <c r="J746" s="389"/>
      <c r="K746" s="389"/>
      <c r="L746" s="389"/>
      <c r="M746" s="389"/>
      <c r="N746" s="389"/>
      <c r="O746" s="389"/>
      <c r="P746" s="389"/>
      <c r="Q746" s="389"/>
      <c r="R746" s="389"/>
      <c r="S746" s="389"/>
      <c r="T746" s="389"/>
      <c r="U746" s="389"/>
      <c r="V746" s="389"/>
      <c r="W746" s="389"/>
      <c r="X746" s="389"/>
      <c r="Y746" s="389"/>
      <c r="Z746" s="389"/>
      <c r="AA746" s="389"/>
    </row>
    <row r="747">
      <c r="A747" s="389"/>
      <c r="B747" s="389"/>
      <c r="C747" s="389"/>
      <c r="D747" s="389"/>
      <c r="E747" s="389"/>
      <c r="F747" s="389"/>
      <c r="G747" s="389"/>
      <c r="H747" s="389"/>
      <c r="I747" s="389"/>
      <c r="J747" s="389"/>
      <c r="K747" s="389"/>
      <c r="L747" s="389"/>
      <c r="M747" s="389"/>
      <c r="N747" s="389"/>
      <c r="O747" s="389"/>
      <c r="P747" s="389"/>
      <c r="Q747" s="389"/>
      <c r="R747" s="389"/>
      <c r="S747" s="389"/>
      <c r="T747" s="389"/>
      <c r="U747" s="389"/>
      <c r="V747" s="389"/>
      <c r="W747" s="389"/>
      <c r="X747" s="389"/>
      <c r="Y747" s="389"/>
      <c r="Z747" s="389"/>
      <c r="AA747" s="389"/>
    </row>
    <row r="748">
      <c r="A748" s="389"/>
      <c r="B748" s="389"/>
      <c r="C748" s="389"/>
      <c r="D748" s="389"/>
      <c r="E748" s="389"/>
      <c r="F748" s="389"/>
      <c r="G748" s="389"/>
      <c r="H748" s="389"/>
      <c r="I748" s="389"/>
      <c r="J748" s="389"/>
      <c r="K748" s="389"/>
      <c r="L748" s="389"/>
      <c r="M748" s="389"/>
      <c r="N748" s="389"/>
      <c r="O748" s="389"/>
      <c r="P748" s="389"/>
      <c r="Q748" s="389"/>
      <c r="R748" s="389"/>
      <c r="S748" s="389"/>
      <c r="T748" s="389"/>
      <c r="U748" s="389"/>
      <c r="V748" s="389"/>
      <c r="W748" s="389"/>
      <c r="X748" s="389"/>
      <c r="Y748" s="389"/>
      <c r="Z748" s="389"/>
      <c r="AA748" s="389"/>
    </row>
    <row r="749">
      <c r="A749" s="389"/>
      <c r="B749" s="389"/>
      <c r="C749" s="389"/>
      <c r="D749" s="389"/>
      <c r="E749" s="389"/>
      <c r="F749" s="389"/>
      <c r="G749" s="389"/>
      <c r="H749" s="389"/>
      <c r="I749" s="389"/>
      <c r="J749" s="389"/>
      <c r="K749" s="389"/>
      <c r="L749" s="389"/>
      <c r="M749" s="389"/>
      <c r="N749" s="389"/>
      <c r="O749" s="389"/>
      <c r="P749" s="389"/>
      <c r="Q749" s="389"/>
      <c r="R749" s="389"/>
      <c r="S749" s="389"/>
      <c r="T749" s="389"/>
      <c r="U749" s="389"/>
      <c r="V749" s="389"/>
      <c r="W749" s="389"/>
      <c r="X749" s="389"/>
      <c r="Y749" s="389"/>
      <c r="Z749" s="389"/>
      <c r="AA749" s="389"/>
    </row>
    <row r="750">
      <c r="A750" s="389"/>
      <c r="B750" s="389"/>
      <c r="C750" s="389"/>
      <c r="D750" s="389"/>
      <c r="E750" s="389"/>
      <c r="F750" s="389"/>
      <c r="G750" s="389"/>
      <c r="H750" s="389"/>
      <c r="I750" s="389"/>
      <c r="J750" s="389"/>
      <c r="K750" s="389"/>
      <c r="L750" s="389"/>
      <c r="M750" s="389"/>
      <c r="N750" s="389"/>
      <c r="O750" s="389"/>
      <c r="P750" s="389"/>
      <c r="Q750" s="389"/>
      <c r="R750" s="389"/>
      <c r="S750" s="389"/>
      <c r="T750" s="389"/>
      <c r="U750" s="389"/>
      <c r="V750" s="389"/>
      <c r="W750" s="389"/>
      <c r="X750" s="389"/>
      <c r="Y750" s="389"/>
      <c r="Z750" s="389"/>
      <c r="AA750" s="389"/>
    </row>
    <row r="751">
      <c r="A751" s="389"/>
      <c r="B751" s="389"/>
      <c r="C751" s="389"/>
      <c r="D751" s="389"/>
      <c r="E751" s="389"/>
      <c r="F751" s="389"/>
      <c r="G751" s="389"/>
      <c r="H751" s="389"/>
      <c r="I751" s="389"/>
      <c r="J751" s="389"/>
      <c r="K751" s="389"/>
      <c r="L751" s="389"/>
      <c r="M751" s="389"/>
      <c r="N751" s="389"/>
      <c r="O751" s="389"/>
      <c r="P751" s="389"/>
      <c r="Q751" s="389"/>
      <c r="R751" s="389"/>
      <c r="S751" s="389"/>
      <c r="T751" s="389"/>
      <c r="U751" s="389"/>
      <c r="V751" s="389"/>
      <c r="W751" s="389"/>
      <c r="X751" s="389"/>
      <c r="Y751" s="389"/>
      <c r="Z751" s="389"/>
      <c r="AA751" s="389"/>
    </row>
    <row r="752">
      <c r="A752" s="389"/>
      <c r="B752" s="389"/>
      <c r="C752" s="389"/>
      <c r="D752" s="389"/>
      <c r="E752" s="389"/>
      <c r="F752" s="389"/>
      <c r="G752" s="389"/>
      <c r="H752" s="389"/>
      <c r="I752" s="389"/>
      <c r="J752" s="389"/>
      <c r="K752" s="389"/>
      <c r="L752" s="389"/>
      <c r="M752" s="389"/>
      <c r="N752" s="389"/>
      <c r="O752" s="389"/>
      <c r="P752" s="389"/>
      <c r="Q752" s="389"/>
      <c r="R752" s="389"/>
      <c r="S752" s="389"/>
      <c r="T752" s="389"/>
      <c r="U752" s="389"/>
      <c r="V752" s="389"/>
      <c r="W752" s="389"/>
      <c r="X752" s="389"/>
      <c r="Y752" s="389"/>
      <c r="Z752" s="389"/>
      <c r="AA752" s="389"/>
    </row>
    <row r="753">
      <c r="A753" s="389"/>
      <c r="B753" s="389"/>
      <c r="C753" s="389"/>
      <c r="D753" s="389"/>
      <c r="E753" s="389"/>
      <c r="F753" s="389"/>
      <c r="G753" s="389"/>
      <c r="H753" s="389"/>
      <c r="I753" s="389"/>
      <c r="J753" s="389"/>
      <c r="K753" s="389"/>
      <c r="L753" s="389"/>
      <c r="M753" s="389"/>
      <c r="N753" s="389"/>
      <c r="O753" s="389"/>
      <c r="P753" s="389"/>
      <c r="Q753" s="389"/>
      <c r="R753" s="389"/>
      <c r="S753" s="389"/>
      <c r="T753" s="389"/>
      <c r="U753" s="389"/>
      <c r="V753" s="389"/>
      <c r="W753" s="389"/>
      <c r="X753" s="389"/>
      <c r="Y753" s="389"/>
      <c r="Z753" s="389"/>
      <c r="AA753" s="389"/>
    </row>
    <row r="754">
      <c r="A754" s="389"/>
      <c r="B754" s="389"/>
      <c r="C754" s="389"/>
      <c r="D754" s="389"/>
      <c r="E754" s="389"/>
      <c r="F754" s="389"/>
      <c r="G754" s="389"/>
      <c r="H754" s="389"/>
      <c r="I754" s="389"/>
      <c r="J754" s="389"/>
      <c r="K754" s="389"/>
      <c r="L754" s="389"/>
      <c r="M754" s="389"/>
      <c r="N754" s="389"/>
      <c r="O754" s="389"/>
      <c r="P754" s="389"/>
      <c r="Q754" s="389"/>
      <c r="R754" s="389"/>
      <c r="S754" s="389"/>
      <c r="T754" s="389"/>
      <c r="U754" s="389"/>
      <c r="V754" s="389"/>
      <c r="W754" s="389"/>
      <c r="X754" s="389"/>
      <c r="Y754" s="389"/>
      <c r="Z754" s="389"/>
      <c r="AA754" s="389"/>
    </row>
    <row r="755">
      <c r="A755" s="389"/>
      <c r="B755" s="389"/>
      <c r="C755" s="389"/>
      <c r="D755" s="389"/>
      <c r="E755" s="389"/>
      <c r="F755" s="389"/>
      <c r="G755" s="389"/>
      <c r="H755" s="389"/>
      <c r="I755" s="389"/>
      <c r="J755" s="389"/>
      <c r="K755" s="389"/>
      <c r="L755" s="389"/>
      <c r="M755" s="389"/>
      <c r="N755" s="389"/>
      <c r="O755" s="389"/>
      <c r="P755" s="389"/>
      <c r="Q755" s="389"/>
      <c r="R755" s="389"/>
      <c r="S755" s="389"/>
      <c r="T755" s="389"/>
      <c r="U755" s="389"/>
      <c r="V755" s="389"/>
      <c r="W755" s="389"/>
      <c r="X755" s="389"/>
      <c r="Y755" s="389"/>
      <c r="Z755" s="389"/>
      <c r="AA755" s="389"/>
    </row>
    <row r="756">
      <c r="A756" s="389"/>
      <c r="B756" s="389"/>
      <c r="C756" s="389"/>
      <c r="D756" s="389"/>
      <c r="E756" s="389"/>
      <c r="F756" s="389"/>
      <c r="G756" s="389"/>
      <c r="H756" s="389"/>
      <c r="I756" s="389"/>
      <c r="J756" s="389"/>
      <c r="K756" s="389"/>
      <c r="L756" s="389"/>
      <c r="M756" s="389"/>
      <c r="N756" s="389"/>
      <c r="O756" s="389"/>
      <c r="P756" s="389"/>
      <c r="Q756" s="389"/>
      <c r="R756" s="389"/>
      <c r="S756" s="389"/>
      <c r="T756" s="389"/>
      <c r="U756" s="389"/>
      <c r="V756" s="389"/>
      <c r="W756" s="389"/>
      <c r="X756" s="389"/>
      <c r="Y756" s="389"/>
      <c r="Z756" s="389"/>
      <c r="AA756" s="389"/>
    </row>
    <row r="757">
      <c r="A757" s="389"/>
      <c r="B757" s="389"/>
      <c r="C757" s="389"/>
      <c r="D757" s="389"/>
      <c r="E757" s="389"/>
      <c r="F757" s="389"/>
      <c r="G757" s="389"/>
      <c r="H757" s="389"/>
      <c r="I757" s="389"/>
      <c r="J757" s="389"/>
      <c r="K757" s="389"/>
      <c r="L757" s="389"/>
      <c r="M757" s="389"/>
      <c r="N757" s="389"/>
      <c r="O757" s="389"/>
      <c r="P757" s="389"/>
      <c r="Q757" s="389"/>
      <c r="R757" s="389"/>
      <c r="S757" s="389"/>
      <c r="T757" s="389"/>
      <c r="U757" s="389"/>
      <c r="V757" s="389"/>
      <c r="W757" s="389"/>
      <c r="X757" s="389"/>
      <c r="Y757" s="389"/>
      <c r="Z757" s="389"/>
      <c r="AA757" s="389"/>
    </row>
    <row r="758">
      <c r="A758" s="389"/>
      <c r="B758" s="389"/>
      <c r="C758" s="389"/>
      <c r="D758" s="389"/>
      <c r="E758" s="389"/>
      <c r="F758" s="389"/>
      <c r="G758" s="389"/>
      <c r="H758" s="389"/>
      <c r="I758" s="389"/>
      <c r="J758" s="389"/>
      <c r="K758" s="389"/>
      <c r="L758" s="389"/>
      <c r="M758" s="389"/>
      <c r="N758" s="389"/>
      <c r="O758" s="389"/>
      <c r="P758" s="389"/>
      <c r="Q758" s="389"/>
      <c r="R758" s="389"/>
      <c r="S758" s="389"/>
      <c r="T758" s="389"/>
      <c r="U758" s="389"/>
      <c r="V758" s="389"/>
      <c r="W758" s="389"/>
      <c r="X758" s="389"/>
      <c r="Y758" s="389"/>
      <c r="Z758" s="389"/>
      <c r="AA758" s="389"/>
    </row>
    <row r="759">
      <c r="A759" s="389"/>
      <c r="B759" s="389"/>
      <c r="C759" s="389"/>
      <c r="D759" s="389"/>
      <c r="E759" s="389"/>
      <c r="F759" s="389"/>
      <c r="G759" s="389"/>
      <c r="H759" s="389"/>
      <c r="I759" s="389"/>
      <c r="J759" s="389"/>
      <c r="K759" s="389"/>
      <c r="L759" s="389"/>
      <c r="M759" s="389"/>
      <c r="N759" s="389"/>
      <c r="O759" s="389"/>
      <c r="P759" s="389"/>
      <c r="Q759" s="389"/>
      <c r="R759" s="389"/>
      <c r="S759" s="389"/>
      <c r="T759" s="389"/>
      <c r="U759" s="389"/>
      <c r="V759" s="389"/>
      <c r="W759" s="389"/>
      <c r="X759" s="389"/>
      <c r="Y759" s="389"/>
      <c r="Z759" s="389"/>
      <c r="AA759" s="389"/>
    </row>
    <row r="760">
      <c r="A760" s="389"/>
      <c r="B760" s="389"/>
      <c r="C760" s="389"/>
      <c r="D760" s="389"/>
      <c r="E760" s="389"/>
      <c r="F760" s="389"/>
      <c r="G760" s="389"/>
      <c r="H760" s="389"/>
      <c r="I760" s="389"/>
      <c r="J760" s="389"/>
      <c r="K760" s="389"/>
      <c r="L760" s="389"/>
      <c r="M760" s="389"/>
      <c r="N760" s="389"/>
      <c r="O760" s="389"/>
      <c r="P760" s="389"/>
      <c r="Q760" s="389"/>
      <c r="R760" s="389"/>
      <c r="S760" s="389"/>
      <c r="T760" s="389"/>
      <c r="U760" s="389"/>
      <c r="V760" s="389"/>
      <c r="W760" s="389"/>
      <c r="X760" s="389"/>
      <c r="Y760" s="389"/>
      <c r="Z760" s="389"/>
      <c r="AA760" s="389"/>
    </row>
    <row r="761">
      <c r="A761" s="389"/>
      <c r="B761" s="389"/>
      <c r="C761" s="389"/>
      <c r="D761" s="389"/>
      <c r="E761" s="389"/>
      <c r="F761" s="389"/>
      <c r="G761" s="389"/>
      <c r="H761" s="389"/>
      <c r="I761" s="389"/>
      <c r="J761" s="389"/>
      <c r="K761" s="389"/>
      <c r="L761" s="389"/>
      <c r="M761" s="389"/>
      <c r="N761" s="389"/>
      <c r="O761" s="389"/>
      <c r="P761" s="389"/>
      <c r="Q761" s="389"/>
      <c r="R761" s="389"/>
      <c r="S761" s="389"/>
      <c r="T761" s="389"/>
      <c r="U761" s="389"/>
      <c r="V761" s="389"/>
      <c r="W761" s="389"/>
      <c r="X761" s="389"/>
      <c r="Y761" s="389"/>
      <c r="Z761" s="389"/>
      <c r="AA761" s="389"/>
    </row>
    <row r="762">
      <c r="A762" s="389"/>
      <c r="B762" s="389"/>
      <c r="C762" s="389"/>
      <c r="D762" s="389"/>
      <c r="E762" s="389"/>
      <c r="F762" s="389"/>
      <c r="G762" s="389"/>
      <c r="H762" s="389"/>
      <c r="I762" s="389"/>
      <c r="J762" s="389"/>
      <c r="K762" s="389"/>
      <c r="L762" s="389"/>
      <c r="M762" s="389"/>
      <c r="N762" s="389"/>
      <c r="O762" s="389"/>
      <c r="P762" s="389"/>
      <c r="Q762" s="389"/>
      <c r="R762" s="389"/>
      <c r="S762" s="389"/>
      <c r="T762" s="389"/>
      <c r="U762" s="389"/>
      <c r="V762" s="389"/>
      <c r="W762" s="389"/>
      <c r="X762" s="389"/>
      <c r="Y762" s="389"/>
      <c r="Z762" s="389"/>
      <c r="AA762" s="389"/>
    </row>
    <row r="763">
      <c r="A763" s="389"/>
      <c r="B763" s="389"/>
      <c r="C763" s="389"/>
      <c r="D763" s="389"/>
      <c r="E763" s="389"/>
      <c r="F763" s="389"/>
      <c r="G763" s="389"/>
      <c r="H763" s="389"/>
      <c r="I763" s="389"/>
      <c r="J763" s="389"/>
      <c r="K763" s="389"/>
      <c r="L763" s="389"/>
      <c r="M763" s="389"/>
      <c r="N763" s="389"/>
      <c r="O763" s="389"/>
      <c r="P763" s="389"/>
      <c r="Q763" s="389"/>
      <c r="R763" s="389"/>
      <c r="S763" s="389"/>
      <c r="T763" s="389"/>
      <c r="U763" s="389"/>
      <c r="V763" s="389"/>
      <c r="W763" s="389"/>
      <c r="X763" s="389"/>
      <c r="Y763" s="389"/>
      <c r="Z763" s="389"/>
      <c r="AA763" s="389"/>
    </row>
    <row r="764">
      <c r="A764" s="389"/>
      <c r="B764" s="389"/>
      <c r="C764" s="389"/>
      <c r="D764" s="389"/>
      <c r="E764" s="389"/>
      <c r="F764" s="389"/>
      <c r="G764" s="389"/>
      <c r="H764" s="389"/>
      <c r="I764" s="389"/>
      <c r="J764" s="389"/>
      <c r="K764" s="389"/>
      <c r="L764" s="389"/>
      <c r="M764" s="389"/>
      <c r="N764" s="389"/>
      <c r="O764" s="389"/>
      <c r="P764" s="389"/>
      <c r="Q764" s="389"/>
      <c r="R764" s="389"/>
      <c r="S764" s="389"/>
      <c r="T764" s="389"/>
      <c r="U764" s="389"/>
      <c r="V764" s="389"/>
      <c r="W764" s="389"/>
      <c r="X764" s="389"/>
      <c r="Y764" s="389"/>
      <c r="Z764" s="389"/>
      <c r="AA764" s="389"/>
    </row>
    <row r="765">
      <c r="A765" s="389"/>
      <c r="B765" s="389"/>
      <c r="C765" s="389"/>
      <c r="D765" s="389"/>
      <c r="E765" s="389"/>
      <c r="F765" s="389"/>
      <c r="G765" s="389"/>
      <c r="H765" s="389"/>
      <c r="I765" s="389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89"/>
      <c r="W765" s="389"/>
      <c r="X765" s="389"/>
      <c r="Y765" s="389"/>
      <c r="Z765" s="389"/>
      <c r="AA765" s="389"/>
    </row>
    <row r="766">
      <c r="A766" s="389"/>
      <c r="B766" s="389"/>
      <c r="C766" s="389"/>
      <c r="D766" s="389"/>
      <c r="E766" s="389"/>
      <c r="F766" s="389"/>
      <c r="G766" s="389"/>
      <c r="H766" s="389"/>
      <c r="I766" s="389"/>
      <c r="J766" s="389"/>
      <c r="K766" s="389"/>
      <c r="L766" s="389"/>
      <c r="M766" s="389"/>
      <c r="N766" s="389"/>
      <c r="O766" s="389"/>
      <c r="P766" s="389"/>
      <c r="Q766" s="389"/>
      <c r="R766" s="389"/>
      <c r="S766" s="389"/>
      <c r="T766" s="389"/>
      <c r="U766" s="389"/>
      <c r="V766" s="389"/>
      <c r="W766" s="389"/>
      <c r="X766" s="389"/>
      <c r="Y766" s="389"/>
      <c r="Z766" s="389"/>
      <c r="AA766" s="389"/>
    </row>
    <row r="767">
      <c r="A767" s="389"/>
      <c r="B767" s="389"/>
      <c r="C767" s="389"/>
      <c r="D767" s="389"/>
      <c r="E767" s="389"/>
      <c r="F767" s="389"/>
      <c r="G767" s="389"/>
      <c r="H767" s="389"/>
      <c r="I767" s="389"/>
      <c r="J767" s="389"/>
      <c r="K767" s="389"/>
      <c r="L767" s="389"/>
      <c r="M767" s="389"/>
      <c r="N767" s="389"/>
      <c r="O767" s="389"/>
      <c r="P767" s="389"/>
      <c r="Q767" s="389"/>
      <c r="R767" s="389"/>
      <c r="S767" s="389"/>
      <c r="T767" s="389"/>
      <c r="U767" s="389"/>
      <c r="V767" s="389"/>
      <c r="W767" s="389"/>
      <c r="X767" s="389"/>
      <c r="Y767" s="389"/>
      <c r="Z767" s="389"/>
      <c r="AA767" s="389"/>
    </row>
    <row r="768">
      <c r="A768" s="389"/>
      <c r="B768" s="389"/>
      <c r="C768" s="389"/>
      <c r="D768" s="389"/>
      <c r="E768" s="389"/>
      <c r="F768" s="389"/>
      <c r="G768" s="389"/>
      <c r="H768" s="389"/>
      <c r="I768" s="389"/>
      <c r="J768" s="389"/>
      <c r="K768" s="389"/>
      <c r="L768" s="389"/>
      <c r="M768" s="389"/>
      <c r="N768" s="389"/>
      <c r="O768" s="389"/>
      <c r="P768" s="389"/>
      <c r="Q768" s="389"/>
      <c r="R768" s="389"/>
      <c r="S768" s="389"/>
      <c r="T768" s="389"/>
      <c r="U768" s="389"/>
      <c r="V768" s="389"/>
      <c r="W768" s="389"/>
      <c r="X768" s="389"/>
      <c r="Y768" s="389"/>
      <c r="Z768" s="389"/>
      <c r="AA768" s="389"/>
    </row>
    <row r="769">
      <c r="A769" s="389"/>
      <c r="B769" s="389"/>
      <c r="C769" s="389"/>
      <c r="D769" s="389"/>
      <c r="E769" s="389"/>
      <c r="F769" s="389"/>
      <c r="G769" s="389"/>
      <c r="H769" s="389"/>
      <c r="I769" s="389"/>
      <c r="J769" s="389"/>
      <c r="K769" s="389"/>
      <c r="L769" s="389"/>
      <c r="M769" s="389"/>
      <c r="N769" s="389"/>
      <c r="O769" s="389"/>
      <c r="P769" s="389"/>
      <c r="Q769" s="389"/>
      <c r="R769" s="389"/>
      <c r="S769" s="389"/>
      <c r="T769" s="389"/>
      <c r="U769" s="389"/>
      <c r="V769" s="389"/>
      <c r="W769" s="389"/>
      <c r="X769" s="389"/>
      <c r="Y769" s="389"/>
      <c r="Z769" s="389"/>
      <c r="AA769" s="389"/>
    </row>
    <row r="770">
      <c r="A770" s="389"/>
      <c r="B770" s="389"/>
      <c r="C770" s="389"/>
      <c r="D770" s="389"/>
      <c r="E770" s="389"/>
      <c r="F770" s="389"/>
      <c r="G770" s="389"/>
      <c r="H770" s="389"/>
      <c r="I770" s="389"/>
      <c r="J770" s="389"/>
      <c r="K770" s="389"/>
      <c r="L770" s="389"/>
      <c r="M770" s="389"/>
      <c r="N770" s="389"/>
      <c r="O770" s="389"/>
      <c r="P770" s="389"/>
      <c r="Q770" s="389"/>
      <c r="R770" s="389"/>
      <c r="S770" s="389"/>
      <c r="T770" s="389"/>
      <c r="U770" s="389"/>
      <c r="V770" s="389"/>
      <c r="W770" s="389"/>
      <c r="X770" s="389"/>
      <c r="Y770" s="389"/>
      <c r="Z770" s="389"/>
      <c r="AA770" s="389"/>
    </row>
    <row r="771">
      <c r="A771" s="389"/>
      <c r="B771" s="389"/>
      <c r="C771" s="389"/>
      <c r="D771" s="389"/>
      <c r="E771" s="389"/>
      <c r="F771" s="389"/>
      <c r="G771" s="389"/>
      <c r="H771" s="389"/>
      <c r="I771" s="389"/>
      <c r="J771" s="389"/>
      <c r="K771" s="389"/>
      <c r="L771" s="389"/>
      <c r="M771" s="389"/>
      <c r="N771" s="389"/>
      <c r="O771" s="389"/>
      <c r="P771" s="389"/>
      <c r="Q771" s="389"/>
      <c r="R771" s="389"/>
      <c r="S771" s="389"/>
      <c r="T771" s="389"/>
      <c r="U771" s="389"/>
      <c r="V771" s="389"/>
      <c r="W771" s="389"/>
      <c r="X771" s="389"/>
      <c r="Y771" s="389"/>
      <c r="Z771" s="389"/>
      <c r="AA771" s="389"/>
    </row>
    <row r="772">
      <c r="A772" s="389"/>
      <c r="B772" s="389"/>
      <c r="C772" s="389"/>
      <c r="D772" s="389"/>
      <c r="E772" s="389"/>
      <c r="F772" s="389"/>
      <c r="G772" s="389"/>
      <c r="H772" s="389"/>
      <c r="I772" s="389"/>
      <c r="J772" s="389"/>
      <c r="K772" s="389"/>
      <c r="L772" s="389"/>
      <c r="M772" s="389"/>
      <c r="N772" s="389"/>
      <c r="O772" s="389"/>
      <c r="P772" s="389"/>
      <c r="Q772" s="389"/>
      <c r="R772" s="389"/>
      <c r="S772" s="389"/>
      <c r="T772" s="389"/>
      <c r="U772" s="389"/>
      <c r="V772" s="389"/>
      <c r="W772" s="389"/>
      <c r="X772" s="389"/>
      <c r="Y772" s="389"/>
      <c r="Z772" s="389"/>
      <c r="AA772" s="389"/>
    </row>
    <row r="773">
      <c r="A773" s="389"/>
      <c r="B773" s="389"/>
      <c r="C773" s="389"/>
      <c r="D773" s="389"/>
      <c r="E773" s="389"/>
      <c r="F773" s="389"/>
      <c r="G773" s="389"/>
      <c r="H773" s="389"/>
      <c r="I773" s="389"/>
      <c r="J773" s="389"/>
      <c r="K773" s="389"/>
      <c r="L773" s="389"/>
      <c r="M773" s="389"/>
      <c r="N773" s="389"/>
      <c r="O773" s="389"/>
      <c r="P773" s="389"/>
      <c r="Q773" s="389"/>
      <c r="R773" s="389"/>
      <c r="S773" s="389"/>
      <c r="T773" s="389"/>
      <c r="U773" s="389"/>
      <c r="V773" s="389"/>
      <c r="W773" s="389"/>
      <c r="X773" s="389"/>
      <c r="Y773" s="389"/>
      <c r="Z773" s="389"/>
      <c r="AA773" s="389"/>
    </row>
    <row r="774">
      <c r="A774" s="389"/>
      <c r="B774" s="389"/>
      <c r="C774" s="389"/>
      <c r="D774" s="389"/>
      <c r="E774" s="389"/>
      <c r="F774" s="389"/>
      <c r="G774" s="389"/>
      <c r="H774" s="389"/>
      <c r="I774" s="389"/>
      <c r="J774" s="389"/>
      <c r="K774" s="389"/>
      <c r="L774" s="389"/>
      <c r="M774" s="389"/>
      <c r="N774" s="389"/>
      <c r="O774" s="389"/>
      <c r="P774" s="389"/>
      <c r="Q774" s="389"/>
      <c r="R774" s="389"/>
      <c r="S774" s="389"/>
      <c r="T774" s="389"/>
      <c r="U774" s="389"/>
      <c r="V774" s="389"/>
      <c r="W774" s="389"/>
      <c r="X774" s="389"/>
      <c r="Y774" s="389"/>
      <c r="Z774" s="389"/>
      <c r="AA774" s="389"/>
    </row>
    <row r="775">
      <c r="A775" s="389"/>
      <c r="B775" s="389"/>
      <c r="C775" s="389"/>
      <c r="D775" s="389"/>
      <c r="E775" s="389"/>
      <c r="F775" s="389"/>
      <c r="G775" s="389"/>
      <c r="H775" s="389"/>
      <c r="I775" s="389"/>
      <c r="J775" s="389"/>
      <c r="K775" s="389"/>
      <c r="L775" s="389"/>
      <c r="M775" s="389"/>
      <c r="N775" s="389"/>
      <c r="O775" s="389"/>
      <c r="P775" s="389"/>
      <c r="Q775" s="389"/>
      <c r="R775" s="389"/>
      <c r="S775" s="389"/>
      <c r="T775" s="389"/>
      <c r="U775" s="389"/>
      <c r="V775" s="389"/>
      <c r="W775" s="389"/>
      <c r="X775" s="389"/>
      <c r="Y775" s="389"/>
      <c r="Z775" s="389"/>
      <c r="AA775" s="389"/>
    </row>
    <row r="776">
      <c r="A776" s="389"/>
      <c r="B776" s="389"/>
      <c r="C776" s="389"/>
      <c r="D776" s="389"/>
      <c r="E776" s="389"/>
      <c r="F776" s="389"/>
      <c r="G776" s="389"/>
      <c r="H776" s="389"/>
      <c r="I776" s="389"/>
      <c r="J776" s="389"/>
      <c r="K776" s="389"/>
      <c r="L776" s="389"/>
      <c r="M776" s="389"/>
      <c r="N776" s="389"/>
      <c r="O776" s="389"/>
      <c r="P776" s="389"/>
      <c r="Q776" s="389"/>
      <c r="R776" s="389"/>
      <c r="S776" s="389"/>
      <c r="T776" s="389"/>
      <c r="U776" s="389"/>
      <c r="V776" s="389"/>
      <c r="W776" s="389"/>
      <c r="X776" s="389"/>
      <c r="Y776" s="389"/>
      <c r="Z776" s="389"/>
      <c r="AA776" s="389"/>
    </row>
    <row r="777">
      <c r="A777" s="389"/>
      <c r="B777" s="389"/>
      <c r="C777" s="389"/>
      <c r="D777" s="389"/>
      <c r="E777" s="389"/>
      <c r="F777" s="389"/>
      <c r="G777" s="389"/>
      <c r="H777" s="389"/>
      <c r="I777" s="389"/>
      <c r="J777" s="389"/>
      <c r="K777" s="389"/>
      <c r="L777" s="389"/>
      <c r="M777" s="389"/>
      <c r="N777" s="389"/>
      <c r="O777" s="389"/>
      <c r="P777" s="389"/>
      <c r="Q777" s="389"/>
      <c r="R777" s="389"/>
      <c r="S777" s="389"/>
      <c r="T777" s="389"/>
      <c r="U777" s="389"/>
      <c r="V777" s="389"/>
      <c r="W777" s="389"/>
      <c r="X777" s="389"/>
      <c r="Y777" s="389"/>
      <c r="Z777" s="389"/>
      <c r="AA777" s="389"/>
    </row>
    <row r="778">
      <c r="A778" s="389"/>
      <c r="B778" s="389"/>
      <c r="C778" s="389"/>
      <c r="D778" s="389"/>
      <c r="E778" s="389"/>
      <c r="F778" s="389"/>
      <c r="G778" s="389"/>
      <c r="H778" s="389"/>
      <c r="I778" s="389"/>
      <c r="J778" s="389"/>
      <c r="K778" s="389"/>
      <c r="L778" s="389"/>
      <c r="M778" s="389"/>
      <c r="N778" s="389"/>
      <c r="O778" s="389"/>
      <c r="P778" s="389"/>
      <c r="Q778" s="389"/>
      <c r="R778" s="389"/>
      <c r="S778" s="389"/>
      <c r="T778" s="389"/>
      <c r="U778" s="389"/>
      <c r="V778" s="389"/>
      <c r="W778" s="389"/>
      <c r="X778" s="389"/>
      <c r="Y778" s="389"/>
      <c r="Z778" s="389"/>
      <c r="AA778" s="389"/>
    </row>
    <row r="779">
      <c r="A779" s="389"/>
      <c r="B779" s="389"/>
      <c r="C779" s="389"/>
      <c r="D779" s="389"/>
      <c r="E779" s="389"/>
      <c r="F779" s="389"/>
      <c r="G779" s="389"/>
      <c r="H779" s="389"/>
      <c r="I779" s="389"/>
      <c r="J779" s="389"/>
      <c r="K779" s="389"/>
      <c r="L779" s="389"/>
      <c r="M779" s="389"/>
      <c r="N779" s="389"/>
      <c r="O779" s="389"/>
      <c r="P779" s="389"/>
      <c r="Q779" s="389"/>
      <c r="R779" s="389"/>
      <c r="S779" s="389"/>
      <c r="T779" s="389"/>
      <c r="U779" s="389"/>
      <c r="V779" s="389"/>
      <c r="W779" s="389"/>
      <c r="X779" s="389"/>
      <c r="Y779" s="389"/>
      <c r="Z779" s="389"/>
      <c r="AA779" s="389"/>
    </row>
    <row r="780">
      <c r="A780" s="389"/>
      <c r="B780" s="389"/>
      <c r="C780" s="389"/>
      <c r="D780" s="389"/>
      <c r="E780" s="389"/>
      <c r="F780" s="389"/>
      <c r="G780" s="389"/>
      <c r="H780" s="389"/>
      <c r="I780" s="389"/>
      <c r="J780" s="389"/>
      <c r="K780" s="389"/>
      <c r="L780" s="389"/>
      <c r="M780" s="389"/>
      <c r="N780" s="389"/>
      <c r="O780" s="389"/>
      <c r="P780" s="389"/>
      <c r="Q780" s="389"/>
      <c r="R780" s="389"/>
      <c r="S780" s="389"/>
      <c r="T780" s="389"/>
      <c r="U780" s="389"/>
      <c r="V780" s="389"/>
      <c r="W780" s="389"/>
      <c r="X780" s="389"/>
      <c r="Y780" s="389"/>
      <c r="Z780" s="389"/>
      <c r="AA780" s="389"/>
    </row>
    <row r="781">
      <c r="A781" s="389"/>
      <c r="B781" s="389"/>
      <c r="C781" s="389"/>
      <c r="D781" s="389"/>
      <c r="E781" s="389"/>
      <c r="F781" s="389"/>
      <c r="G781" s="389"/>
      <c r="H781" s="389"/>
      <c r="I781" s="389"/>
      <c r="J781" s="389"/>
      <c r="K781" s="389"/>
      <c r="L781" s="389"/>
      <c r="M781" s="389"/>
      <c r="N781" s="389"/>
      <c r="O781" s="389"/>
      <c r="P781" s="389"/>
      <c r="Q781" s="389"/>
      <c r="R781" s="389"/>
      <c r="S781" s="389"/>
      <c r="T781" s="389"/>
      <c r="U781" s="389"/>
      <c r="V781" s="389"/>
      <c r="W781" s="389"/>
      <c r="X781" s="389"/>
      <c r="Y781" s="389"/>
      <c r="Z781" s="389"/>
      <c r="AA781" s="389"/>
    </row>
    <row r="782">
      <c r="A782" s="389"/>
      <c r="B782" s="389"/>
      <c r="C782" s="389"/>
      <c r="D782" s="389"/>
      <c r="E782" s="389"/>
      <c r="F782" s="389"/>
      <c r="G782" s="389"/>
      <c r="H782" s="389"/>
      <c r="I782" s="389"/>
      <c r="J782" s="389"/>
      <c r="K782" s="389"/>
      <c r="L782" s="389"/>
      <c r="M782" s="389"/>
      <c r="N782" s="389"/>
      <c r="O782" s="389"/>
      <c r="P782" s="389"/>
      <c r="Q782" s="389"/>
      <c r="R782" s="389"/>
      <c r="S782" s="389"/>
      <c r="T782" s="389"/>
      <c r="U782" s="389"/>
      <c r="V782" s="389"/>
      <c r="W782" s="389"/>
      <c r="X782" s="389"/>
      <c r="Y782" s="389"/>
      <c r="Z782" s="389"/>
      <c r="AA782" s="389"/>
    </row>
    <row r="783">
      <c r="A783" s="389"/>
      <c r="B783" s="389"/>
      <c r="C783" s="389"/>
      <c r="D783" s="389"/>
      <c r="E783" s="389"/>
      <c r="F783" s="389"/>
      <c r="G783" s="389"/>
      <c r="H783" s="389"/>
      <c r="I783" s="389"/>
      <c r="J783" s="389"/>
      <c r="K783" s="389"/>
      <c r="L783" s="389"/>
      <c r="M783" s="389"/>
      <c r="N783" s="389"/>
      <c r="O783" s="389"/>
      <c r="P783" s="389"/>
      <c r="Q783" s="389"/>
      <c r="R783" s="389"/>
      <c r="S783" s="389"/>
      <c r="T783" s="389"/>
      <c r="U783" s="389"/>
      <c r="V783" s="389"/>
      <c r="W783" s="389"/>
      <c r="X783" s="389"/>
      <c r="Y783" s="389"/>
      <c r="Z783" s="389"/>
      <c r="AA783" s="389"/>
    </row>
    <row r="784">
      <c r="A784" s="389"/>
      <c r="B784" s="389"/>
      <c r="C784" s="389"/>
      <c r="D784" s="389"/>
      <c r="E784" s="389"/>
      <c r="F784" s="389"/>
      <c r="G784" s="389"/>
      <c r="H784" s="389"/>
      <c r="I784" s="389"/>
      <c r="J784" s="389"/>
      <c r="K784" s="389"/>
      <c r="L784" s="389"/>
      <c r="M784" s="389"/>
      <c r="N784" s="389"/>
      <c r="O784" s="389"/>
      <c r="P784" s="389"/>
      <c r="Q784" s="389"/>
      <c r="R784" s="389"/>
      <c r="S784" s="389"/>
      <c r="T784" s="389"/>
      <c r="U784" s="389"/>
      <c r="V784" s="389"/>
      <c r="W784" s="389"/>
      <c r="X784" s="389"/>
      <c r="Y784" s="389"/>
      <c r="Z784" s="389"/>
      <c r="AA784" s="389"/>
    </row>
    <row r="785">
      <c r="A785" s="389"/>
      <c r="B785" s="389"/>
      <c r="C785" s="389"/>
      <c r="D785" s="389"/>
      <c r="E785" s="389"/>
      <c r="F785" s="389"/>
      <c r="G785" s="389"/>
      <c r="H785" s="389"/>
      <c r="I785" s="389"/>
      <c r="J785" s="389"/>
      <c r="K785" s="389"/>
      <c r="L785" s="389"/>
      <c r="M785" s="389"/>
      <c r="N785" s="389"/>
      <c r="O785" s="389"/>
      <c r="P785" s="389"/>
      <c r="Q785" s="389"/>
      <c r="R785" s="389"/>
      <c r="S785" s="389"/>
      <c r="T785" s="389"/>
      <c r="U785" s="389"/>
      <c r="V785" s="389"/>
      <c r="W785" s="389"/>
      <c r="X785" s="389"/>
      <c r="Y785" s="389"/>
      <c r="Z785" s="389"/>
      <c r="AA785" s="389"/>
    </row>
    <row r="786">
      <c r="A786" s="389"/>
      <c r="B786" s="389"/>
      <c r="C786" s="389"/>
      <c r="D786" s="389"/>
      <c r="E786" s="389"/>
      <c r="F786" s="389"/>
      <c r="G786" s="389"/>
      <c r="H786" s="389"/>
      <c r="I786" s="389"/>
      <c r="J786" s="389"/>
      <c r="K786" s="389"/>
      <c r="L786" s="389"/>
      <c r="M786" s="389"/>
      <c r="N786" s="389"/>
      <c r="O786" s="389"/>
      <c r="P786" s="389"/>
      <c r="Q786" s="389"/>
      <c r="R786" s="389"/>
      <c r="S786" s="389"/>
      <c r="T786" s="389"/>
      <c r="U786" s="389"/>
      <c r="V786" s="389"/>
      <c r="W786" s="389"/>
      <c r="X786" s="389"/>
      <c r="Y786" s="389"/>
      <c r="Z786" s="389"/>
      <c r="AA786" s="389"/>
    </row>
    <row r="787">
      <c r="A787" s="389"/>
      <c r="B787" s="389"/>
      <c r="C787" s="389"/>
      <c r="D787" s="389"/>
      <c r="E787" s="389"/>
      <c r="F787" s="389"/>
      <c r="G787" s="389"/>
      <c r="H787" s="389"/>
      <c r="I787" s="389"/>
      <c r="J787" s="389"/>
      <c r="K787" s="389"/>
      <c r="L787" s="389"/>
      <c r="M787" s="389"/>
      <c r="N787" s="389"/>
      <c r="O787" s="389"/>
      <c r="P787" s="389"/>
      <c r="Q787" s="389"/>
      <c r="R787" s="389"/>
      <c r="S787" s="389"/>
      <c r="T787" s="389"/>
      <c r="U787" s="389"/>
      <c r="V787" s="389"/>
      <c r="W787" s="389"/>
      <c r="X787" s="389"/>
      <c r="Y787" s="389"/>
      <c r="Z787" s="389"/>
      <c r="AA787" s="389"/>
    </row>
    <row r="788">
      <c r="A788" s="389"/>
      <c r="B788" s="389"/>
      <c r="C788" s="389"/>
      <c r="D788" s="389"/>
      <c r="E788" s="389"/>
      <c r="F788" s="389"/>
      <c r="G788" s="389"/>
      <c r="H788" s="389"/>
      <c r="I788" s="389"/>
      <c r="J788" s="389"/>
      <c r="K788" s="389"/>
      <c r="L788" s="389"/>
      <c r="M788" s="389"/>
      <c r="N788" s="389"/>
      <c r="O788" s="389"/>
      <c r="P788" s="389"/>
      <c r="Q788" s="389"/>
      <c r="R788" s="389"/>
      <c r="S788" s="389"/>
      <c r="T788" s="389"/>
      <c r="U788" s="389"/>
      <c r="V788" s="389"/>
      <c r="W788" s="389"/>
      <c r="X788" s="389"/>
      <c r="Y788" s="389"/>
      <c r="Z788" s="389"/>
      <c r="AA788" s="389"/>
    </row>
    <row r="789">
      <c r="A789" s="389"/>
      <c r="B789" s="389"/>
      <c r="C789" s="389"/>
      <c r="D789" s="389"/>
      <c r="E789" s="389"/>
      <c r="F789" s="389"/>
      <c r="G789" s="389"/>
      <c r="H789" s="389"/>
      <c r="I789" s="389"/>
      <c r="J789" s="389"/>
      <c r="K789" s="389"/>
      <c r="L789" s="389"/>
      <c r="M789" s="389"/>
      <c r="N789" s="389"/>
      <c r="O789" s="389"/>
      <c r="P789" s="389"/>
      <c r="Q789" s="389"/>
      <c r="R789" s="389"/>
      <c r="S789" s="389"/>
      <c r="T789" s="389"/>
      <c r="U789" s="389"/>
      <c r="V789" s="389"/>
      <c r="W789" s="389"/>
      <c r="X789" s="389"/>
      <c r="Y789" s="389"/>
      <c r="Z789" s="389"/>
      <c r="AA789" s="389"/>
    </row>
    <row r="790">
      <c r="A790" s="389"/>
      <c r="B790" s="389"/>
      <c r="C790" s="389"/>
      <c r="D790" s="389"/>
      <c r="E790" s="389"/>
      <c r="F790" s="389"/>
      <c r="G790" s="389"/>
      <c r="H790" s="389"/>
      <c r="I790" s="389"/>
      <c r="J790" s="389"/>
      <c r="K790" s="389"/>
      <c r="L790" s="389"/>
      <c r="M790" s="389"/>
      <c r="N790" s="389"/>
      <c r="O790" s="389"/>
      <c r="P790" s="389"/>
      <c r="Q790" s="389"/>
      <c r="R790" s="389"/>
      <c r="S790" s="389"/>
      <c r="T790" s="389"/>
      <c r="U790" s="389"/>
      <c r="V790" s="389"/>
      <c r="W790" s="389"/>
      <c r="X790" s="389"/>
      <c r="Y790" s="389"/>
      <c r="Z790" s="389"/>
      <c r="AA790" s="389"/>
    </row>
    <row r="791">
      <c r="A791" s="389"/>
      <c r="B791" s="389"/>
      <c r="C791" s="389"/>
      <c r="D791" s="389"/>
      <c r="E791" s="389"/>
      <c r="F791" s="389"/>
      <c r="G791" s="389"/>
      <c r="H791" s="389"/>
      <c r="I791" s="389"/>
      <c r="J791" s="389"/>
      <c r="K791" s="389"/>
      <c r="L791" s="389"/>
      <c r="M791" s="389"/>
      <c r="N791" s="389"/>
      <c r="O791" s="389"/>
      <c r="P791" s="389"/>
      <c r="Q791" s="389"/>
      <c r="R791" s="389"/>
      <c r="S791" s="389"/>
      <c r="T791" s="389"/>
      <c r="U791" s="389"/>
      <c r="V791" s="389"/>
      <c r="W791" s="389"/>
      <c r="X791" s="389"/>
      <c r="Y791" s="389"/>
      <c r="Z791" s="389"/>
      <c r="AA791" s="389"/>
    </row>
    <row r="792">
      <c r="A792" s="389"/>
      <c r="B792" s="389"/>
      <c r="C792" s="389"/>
      <c r="D792" s="389"/>
      <c r="E792" s="389"/>
      <c r="F792" s="389"/>
      <c r="G792" s="389"/>
      <c r="H792" s="389"/>
      <c r="I792" s="389"/>
      <c r="J792" s="389"/>
      <c r="K792" s="389"/>
      <c r="L792" s="389"/>
      <c r="M792" s="389"/>
      <c r="N792" s="389"/>
      <c r="O792" s="389"/>
      <c r="P792" s="389"/>
      <c r="Q792" s="389"/>
      <c r="R792" s="389"/>
      <c r="S792" s="389"/>
      <c r="T792" s="389"/>
      <c r="U792" s="389"/>
      <c r="V792" s="389"/>
      <c r="W792" s="389"/>
      <c r="X792" s="389"/>
      <c r="Y792" s="389"/>
      <c r="Z792" s="389"/>
      <c r="AA792" s="389"/>
    </row>
    <row r="793">
      <c r="A793" s="389"/>
      <c r="B793" s="389"/>
      <c r="C793" s="389"/>
      <c r="D793" s="389"/>
      <c r="E793" s="389"/>
      <c r="F793" s="389"/>
      <c r="G793" s="389"/>
      <c r="H793" s="389"/>
      <c r="I793" s="389"/>
      <c r="J793" s="389"/>
      <c r="K793" s="389"/>
      <c r="L793" s="389"/>
      <c r="M793" s="389"/>
      <c r="N793" s="389"/>
      <c r="O793" s="389"/>
      <c r="P793" s="389"/>
      <c r="Q793" s="389"/>
      <c r="R793" s="389"/>
      <c r="S793" s="389"/>
      <c r="T793" s="389"/>
      <c r="U793" s="389"/>
      <c r="V793" s="389"/>
      <c r="W793" s="389"/>
      <c r="X793" s="389"/>
      <c r="Y793" s="389"/>
      <c r="Z793" s="389"/>
      <c r="AA793" s="389"/>
    </row>
    <row r="794">
      <c r="A794" s="389"/>
      <c r="B794" s="389"/>
      <c r="C794" s="389"/>
      <c r="D794" s="389"/>
      <c r="E794" s="389"/>
      <c r="F794" s="389"/>
      <c r="G794" s="389"/>
      <c r="H794" s="389"/>
      <c r="I794" s="389"/>
      <c r="J794" s="389"/>
      <c r="K794" s="389"/>
      <c r="L794" s="389"/>
      <c r="M794" s="389"/>
      <c r="N794" s="389"/>
      <c r="O794" s="389"/>
      <c r="P794" s="389"/>
      <c r="Q794" s="389"/>
      <c r="R794" s="389"/>
      <c r="S794" s="389"/>
      <c r="T794" s="389"/>
      <c r="U794" s="389"/>
      <c r="V794" s="389"/>
      <c r="W794" s="389"/>
      <c r="X794" s="389"/>
      <c r="Y794" s="389"/>
      <c r="Z794" s="389"/>
      <c r="AA794" s="389"/>
    </row>
    <row r="795">
      <c r="A795" s="389"/>
      <c r="B795" s="389"/>
      <c r="C795" s="389"/>
      <c r="D795" s="389"/>
      <c r="E795" s="389"/>
      <c r="F795" s="389"/>
      <c r="G795" s="389"/>
      <c r="H795" s="389"/>
      <c r="I795" s="389"/>
      <c r="J795" s="389"/>
      <c r="K795" s="389"/>
      <c r="L795" s="389"/>
      <c r="M795" s="389"/>
      <c r="N795" s="389"/>
      <c r="O795" s="389"/>
      <c r="P795" s="389"/>
      <c r="Q795" s="389"/>
      <c r="R795" s="389"/>
      <c r="S795" s="389"/>
      <c r="T795" s="389"/>
      <c r="U795" s="389"/>
      <c r="V795" s="389"/>
      <c r="W795" s="389"/>
      <c r="X795" s="389"/>
      <c r="Y795" s="389"/>
      <c r="Z795" s="389"/>
      <c r="AA795" s="389"/>
    </row>
    <row r="796">
      <c r="A796" s="389"/>
      <c r="B796" s="389"/>
      <c r="C796" s="389"/>
      <c r="D796" s="389"/>
      <c r="E796" s="389"/>
      <c r="F796" s="389"/>
      <c r="G796" s="389"/>
      <c r="H796" s="389"/>
      <c r="I796" s="389"/>
      <c r="J796" s="389"/>
      <c r="K796" s="389"/>
      <c r="L796" s="389"/>
      <c r="M796" s="389"/>
      <c r="N796" s="389"/>
      <c r="O796" s="389"/>
      <c r="P796" s="389"/>
      <c r="Q796" s="389"/>
      <c r="R796" s="389"/>
      <c r="S796" s="389"/>
      <c r="T796" s="389"/>
      <c r="U796" s="389"/>
      <c r="V796" s="389"/>
      <c r="W796" s="389"/>
      <c r="X796" s="389"/>
      <c r="Y796" s="389"/>
      <c r="Z796" s="389"/>
      <c r="AA796" s="389"/>
    </row>
    <row r="797">
      <c r="A797" s="389"/>
      <c r="B797" s="389"/>
      <c r="C797" s="389"/>
      <c r="D797" s="389"/>
      <c r="E797" s="389"/>
      <c r="F797" s="389"/>
      <c r="G797" s="389"/>
      <c r="H797" s="389"/>
      <c r="I797" s="389"/>
      <c r="J797" s="389"/>
      <c r="K797" s="389"/>
      <c r="L797" s="389"/>
      <c r="M797" s="389"/>
      <c r="N797" s="389"/>
      <c r="O797" s="389"/>
      <c r="P797" s="389"/>
      <c r="Q797" s="389"/>
      <c r="R797" s="389"/>
      <c r="S797" s="389"/>
      <c r="T797" s="389"/>
      <c r="U797" s="389"/>
      <c r="V797" s="389"/>
      <c r="W797" s="389"/>
      <c r="X797" s="389"/>
      <c r="Y797" s="389"/>
      <c r="Z797" s="389"/>
      <c r="AA797" s="389"/>
    </row>
    <row r="798">
      <c r="A798" s="389"/>
      <c r="B798" s="389"/>
      <c r="C798" s="389"/>
      <c r="D798" s="389"/>
      <c r="E798" s="389"/>
      <c r="F798" s="389"/>
      <c r="G798" s="389"/>
      <c r="H798" s="389"/>
      <c r="I798" s="389"/>
      <c r="J798" s="389"/>
      <c r="K798" s="389"/>
      <c r="L798" s="389"/>
      <c r="M798" s="389"/>
      <c r="N798" s="389"/>
      <c r="O798" s="389"/>
      <c r="P798" s="389"/>
      <c r="Q798" s="389"/>
      <c r="R798" s="389"/>
      <c r="S798" s="389"/>
      <c r="T798" s="389"/>
      <c r="U798" s="389"/>
      <c r="V798" s="389"/>
      <c r="W798" s="389"/>
      <c r="X798" s="389"/>
      <c r="Y798" s="389"/>
      <c r="Z798" s="389"/>
      <c r="AA798" s="389"/>
    </row>
    <row r="799">
      <c r="A799" s="389"/>
      <c r="B799" s="389"/>
      <c r="C799" s="389"/>
      <c r="D799" s="389"/>
      <c r="E799" s="389"/>
      <c r="F799" s="389"/>
      <c r="G799" s="389"/>
      <c r="H799" s="389"/>
      <c r="I799" s="389"/>
      <c r="J799" s="389"/>
      <c r="K799" s="389"/>
      <c r="L799" s="389"/>
      <c r="M799" s="389"/>
      <c r="N799" s="389"/>
      <c r="O799" s="389"/>
      <c r="P799" s="389"/>
      <c r="Q799" s="389"/>
      <c r="R799" s="389"/>
      <c r="S799" s="389"/>
      <c r="T799" s="389"/>
      <c r="U799" s="389"/>
      <c r="V799" s="389"/>
      <c r="W799" s="389"/>
      <c r="X799" s="389"/>
      <c r="Y799" s="389"/>
      <c r="Z799" s="389"/>
      <c r="AA799" s="389"/>
    </row>
    <row r="800">
      <c r="A800" s="389"/>
      <c r="B800" s="389"/>
      <c r="C800" s="389"/>
      <c r="D800" s="389"/>
      <c r="E800" s="389"/>
      <c r="F800" s="389"/>
      <c r="G800" s="389"/>
      <c r="H800" s="389"/>
      <c r="I800" s="389"/>
      <c r="J800" s="389"/>
      <c r="K800" s="389"/>
      <c r="L800" s="389"/>
      <c r="M800" s="389"/>
      <c r="N800" s="389"/>
      <c r="O800" s="389"/>
      <c r="P800" s="389"/>
      <c r="Q800" s="389"/>
      <c r="R800" s="389"/>
      <c r="S800" s="389"/>
      <c r="T800" s="389"/>
      <c r="U800" s="389"/>
      <c r="V800" s="389"/>
      <c r="W800" s="389"/>
      <c r="X800" s="389"/>
      <c r="Y800" s="389"/>
      <c r="Z800" s="389"/>
      <c r="AA800" s="389"/>
    </row>
    <row r="801">
      <c r="A801" s="389"/>
      <c r="B801" s="389"/>
      <c r="C801" s="389"/>
      <c r="D801" s="389"/>
      <c r="E801" s="389"/>
      <c r="F801" s="389"/>
      <c r="G801" s="389"/>
      <c r="H801" s="389"/>
      <c r="I801" s="389"/>
      <c r="J801" s="389"/>
      <c r="K801" s="389"/>
      <c r="L801" s="389"/>
      <c r="M801" s="389"/>
      <c r="N801" s="389"/>
      <c r="O801" s="389"/>
      <c r="P801" s="389"/>
      <c r="Q801" s="389"/>
      <c r="R801" s="389"/>
      <c r="S801" s="389"/>
      <c r="T801" s="389"/>
      <c r="U801" s="389"/>
      <c r="V801" s="389"/>
      <c r="W801" s="389"/>
      <c r="X801" s="389"/>
      <c r="Y801" s="389"/>
      <c r="Z801" s="389"/>
      <c r="AA801" s="389"/>
    </row>
    <row r="802">
      <c r="A802" s="389"/>
      <c r="B802" s="389"/>
      <c r="C802" s="389"/>
      <c r="D802" s="389"/>
      <c r="E802" s="389"/>
      <c r="F802" s="389"/>
      <c r="G802" s="389"/>
      <c r="H802" s="389"/>
      <c r="I802" s="389"/>
      <c r="J802" s="389"/>
      <c r="K802" s="389"/>
      <c r="L802" s="389"/>
      <c r="M802" s="389"/>
      <c r="N802" s="389"/>
      <c r="O802" s="389"/>
      <c r="P802" s="389"/>
      <c r="Q802" s="389"/>
      <c r="R802" s="389"/>
      <c r="S802" s="389"/>
      <c r="T802" s="389"/>
      <c r="U802" s="389"/>
      <c r="V802" s="389"/>
      <c r="W802" s="389"/>
      <c r="X802" s="389"/>
      <c r="Y802" s="389"/>
      <c r="Z802" s="389"/>
      <c r="AA802" s="389"/>
    </row>
    <row r="803">
      <c r="A803" s="389"/>
      <c r="B803" s="389"/>
      <c r="C803" s="389"/>
      <c r="D803" s="389"/>
      <c r="E803" s="389"/>
      <c r="F803" s="389"/>
      <c r="G803" s="389"/>
      <c r="H803" s="389"/>
      <c r="I803" s="389"/>
      <c r="J803" s="389"/>
      <c r="K803" s="389"/>
      <c r="L803" s="389"/>
      <c r="M803" s="389"/>
      <c r="N803" s="389"/>
      <c r="O803" s="389"/>
      <c r="P803" s="389"/>
      <c r="Q803" s="389"/>
      <c r="R803" s="389"/>
      <c r="S803" s="389"/>
      <c r="T803" s="389"/>
      <c r="U803" s="389"/>
      <c r="V803" s="389"/>
      <c r="W803" s="389"/>
      <c r="X803" s="389"/>
      <c r="Y803" s="389"/>
      <c r="Z803" s="389"/>
      <c r="AA803" s="389"/>
    </row>
    <row r="804">
      <c r="A804" s="389"/>
      <c r="B804" s="389"/>
      <c r="C804" s="389"/>
      <c r="D804" s="389"/>
      <c r="E804" s="389"/>
      <c r="F804" s="389"/>
      <c r="G804" s="389"/>
      <c r="H804" s="389"/>
      <c r="I804" s="389"/>
      <c r="J804" s="389"/>
      <c r="K804" s="389"/>
      <c r="L804" s="389"/>
      <c r="M804" s="389"/>
      <c r="N804" s="389"/>
      <c r="O804" s="389"/>
      <c r="P804" s="389"/>
      <c r="Q804" s="389"/>
      <c r="R804" s="389"/>
      <c r="S804" s="389"/>
      <c r="T804" s="389"/>
      <c r="U804" s="389"/>
      <c r="V804" s="389"/>
      <c r="W804" s="389"/>
      <c r="X804" s="389"/>
      <c r="Y804" s="389"/>
      <c r="Z804" s="389"/>
      <c r="AA804" s="389"/>
    </row>
    <row r="805">
      <c r="A805" s="389"/>
      <c r="B805" s="389"/>
      <c r="C805" s="389"/>
      <c r="D805" s="389"/>
      <c r="E805" s="389"/>
      <c r="F805" s="389"/>
      <c r="G805" s="389"/>
      <c r="H805" s="389"/>
      <c r="I805" s="389"/>
      <c r="J805" s="389"/>
      <c r="K805" s="389"/>
      <c r="L805" s="389"/>
      <c r="M805" s="389"/>
      <c r="N805" s="389"/>
      <c r="O805" s="389"/>
      <c r="P805" s="389"/>
      <c r="Q805" s="389"/>
      <c r="R805" s="389"/>
      <c r="S805" s="389"/>
      <c r="T805" s="389"/>
      <c r="U805" s="389"/>
      <c r="V805" s="389"/>
      <c r="W805" s="389"/>
      <c r="X805" s="389"/>
      <c r="Y805" s="389"/>
      <c r="Z805" s="389"/>
      <c r="AA805" s="389"/>
    </row>
    <row r="806">
      <c r="A806" s="389"/>
      <c r="B806" s="389"/>
      <c r="C806" s="389"/>
      <c r="D806" s="389"/>
      <c r="E806" s="389"/>
      <c r="F806" s="389"/>
      <c r="G806" s="389"/>
      <c r="H806" s="389"/>
      <c r="I806" s="389"/>
      <c r="J806" s="389"/>
      <c r="K806" s="389"/>
      <c r="L806" s="389"/>
      <c r="M806" s="389"/>
      <c r="N806" s="389"/>
      <c r="O806" s="389"/>
      <c r="P806" s="389"/>
      <c r="Q806" s="389"/>
      <c r="R806" s="389"/>
      <c r="S806" s="389"/>
      <c r="T806" s="389"/>
      <c r="U806" s="389"/>
      <c r="V806" s="389"/>
      <c r="W806" s="389"/>
      <c r="X806" s="389"/>
      <c r="Y806" s="389"/>
      <c r="Z806" s="389"/>
      <c r="AA806" s="389"/>
    </row>
    <row r="807">
      <c r="A807" s="389"/>
      <c r="B807" s="389"/>
      <c r="C807" s="389"/>
      <c r="D807" s="389"/>
      <c r="E807" s="389"/>
      <c r="F807" s="389"/>
      <c r="G807" s="389"/>
      <c r="H807" s="389"/>
      <c r="I807" s="389"/>
      <c r="J807" s="389"/>
      <c r="K807" s="389"/>
      <c r="L807" s="389"/>
      <c r="M807" s="389"/>
      <c r="N807" s="389"/>
      <c r="O807" s="389"/>
      <c r="P807" s="389"/>
      <c r="Q807" s="389"/>
      <c r="R807" s="389"/>
      <c r="S807" s="389"/>
      <c r="T807" s="389"/>
      <c r="U807" s="389"/>
      <c r="V807" s="389"/>
      <c r="W807" s="389"/>
      <c r="X807" s="389"/>
      <c r="Y807" s="389"/>
      <c r="Z807" s="389"/>
      <c r="AA807" s="389"/>
    </row>
    <row r="808">
      <c r="A808" s="389"/>
      <c r="B808" s="389"/>
      <c r="C808" s="389"/>
      <c r="D808" s="389"/>
      <c r="E808" s="389"/>
      <c r="F808" s="389"/>
      <c r="G808" s="389"/>
      <c r="H808" s="389"/>
      <c r="I808" s="389"/>
      <c r="J808" s="389"/>
      <c r="K808" s="389"/>
      <c r="L808" s="389"/>
      <c r="M808" s="389"/>
      <c r="N808" s="389"/>
      <c r="O808" s="389"/>
      <c r="P808" s="389"/>
      <c r="Q808" s="389"/>
      <c r="R808" s="389"/>
      <c r="S808" s="389"/>
      <c r="T808" s="389"/>
      <c r="U808" s="389"/>
      <c r="V808" s="389"/>
      <c r="W808" s="389"/>
      <c r="X808" s="389"/>
      <c r="Y808" s="389"/>
      <c r="Z808" s="389"/>
      <c r="AA808" s="389"/>
    </row>
    <row r="809">
      <c r="A809" s="389"/>
      <c r="B809" s="389"/>
      <c r="C809" s="389"/>
      <c r="D809" s="389"/>
      <c r="E809" s="389"/>
      <c r="F809" s="389"/>
      <c r="G809" s="389"/>
      <c r="H809" s="389"/>
      <c r="I809" s="389"/>
      <c r="J809" s="389"/>
      <c r="K809" s="389"/>
      <c r="L809" s="389"/>
      <c r="M809" s="389"/>
      <c r="N809" s="389"/>
      <c r="O809" s="389"/>
      <c r="P809" s="389"/>
      <c r="Q809" s="389"/>
      <c r="R809" s="389"/>
      <c r="S809" s="389"/>
      <c r="T809" s="389"/>
      <c r="U809" s="389"/>
      <c r="V809" s="389"/>
      <c r="W809" s="389"/>
      <c r="X809" s="389"/>
      <c r="Y809" s="389"/>
      <c r="Z809" s="389"/>
      <c r="AA809" s="389"/>
    </row>
    <row r="810">
      <c r="A810" s="389"/>
      <c r="B810" s="389"/>
      <c r="C810" s="389"/>
      <c r="D810" s="389"/>
      <c r="E810" s="389"/>
      <c r="F810" s="389"/>
      <c r="G810" s="389"/>
      <c r="H810" s="389"/>
      <c r="I810" s="389"/>
      <c r="J810" s="389"/>
      <c r="K810" s="389"/>
      <c r="L810" s="389"/>
      <c r="M810" s="389"/>
      <c r="N810" s="389"/>
      <c r="O810" s="389"/>
      <c r="P810" s="389"/>
      <c r="Q810" s="389"/>
      <c r="R810" s="389"/>
      <c r="S810" s="389"/>
      <c r="T810" s="389"/>
      <c r="U810" s="389"/>
      <c r="V810" s="389"/>
      <c r="W810" s="389"/>
      <c r="X810" s="389"/>
      <c r="Y810" s="389"/>
      <c r="Z810" s="389"/>
      <c r="AA810" s="389"/>
    </row>
    <row r="811">
      <c r="A811" s="389"/>
      <c r="B811" s="389"/>
      <c r="C811" s="389"/>
      <c r="D811" s="389"/>
      <c r="E811" s="389"/>
      <c r="F811" s="389"/>
      <c r="G811" s="389"/>
      <c r="H811" s="389"/>
      <c r="I811" s="389"/>
      <c r="J811" s="389"/>
      <c r="K811" s="389"/>
      <c r="L811" s="389"/>
      <c r="M811" s="389"/>
      <c r="N811" s="389"/>
      <c r="O811" s="389"/>
      <c r="P811" s="389"/>
      <c r="Q811" s="389"/>
      <c r="R811" s="389"/>
      <c r="S811" s="389"/>
      <c r="T811" s="389"/>
      <c r="U811" s="389"/>
      <c r="V811" s="389"/>
      <c r="W811" s="389"/>
      <c r="X811" s="389"/>
      <c r="Y811" s="389"/>
      <c r="Z811" s="389"/>
      <c r="AA811" s="389"/>
    </row>
    <row r="812">
      <c r="A812" s="389"/>
      <c r="B812" s="389"/>
      <c r="C812" s="389"/>
      <c r="D812" s="389"/>
      <c r="E812" s="389"/>
      <c r="F812" s="389"/>
      <c r="G812" s="389"/>
      <c r="H812" s="389"/>
      <c r="I812" s="389"/>
      <c r="J812" s="389"/>
      <c r="K812" s="389"/>
      <c r="L812" s="389"/>
      <c r="M812" s="389"/>
      <c r="N812" s="389"/>
      <c r="O812" s="389"/>
      <c r="P812" s="389"/>
      <c r="Q812" s="389"/>
      <c r="R812" s="389"/>
      <c r="S812" s="389"/>
      <c r="T812" s="389"/>
      <c r="U812" s="389"/>
      <c r="V812" s="389"/>
      <c r="W812" s="389"/>
      <c r="X812" s="389"/>
      <c r="Y812" s="389"/>
      <c r="Z812" s="389"/>
      <c r="AA812" s="389"/>
    </row>
    <row r="813">
      <c r="A813" s="389"/>
      <c r="B813" s="389"/>
      <c r="C813" s="389"/>
      <c r="D813" s="389"/>
      <c r="E813" s="389"/>
      <c r="F813" s="389"/>
      <c r="G813" s="389"/>
      <c r="H813" s="389"/>
      <c r="I813" s="389"/>
      <c r="J813" s="389"/>
      <c r="K813" s="389"/>
      <c r="L813" s="389"/>
      <c r="M813" s="389"/>
      <c r="N813" s="389"/>
      <c r="O813" s="389"/>
      <c r="P813" s="389"/>
      <c r="Q813" s="389"/>
      <c r="R813" s="389"/>
      <c r="S813" s="389"/>
      <c r="T813" s="389"/>
      <c r="U813" s="389"/>
      <c r="V813" s="389"/>
      <c r="W813" s="389"/>
      <c r="X813" s="389"/>
      <c r="Y813" s="389"/>
      <c r="Z813" s="389"/>
      <c r="AA813" s="389"/>
    </row>
    <row r="814">
      <c r="A814" s="389"/>
      <c r="B814" s="389"/>
      <c r="C814" s="389"/>
      <c r="D814" s="389"/>
      <c r="E814" s="389"/>
      <c r="F814" s="389"/>
      <c r="G814" s="389"/>
      <c r="H814" s="389"/>
      <c r="I814" s="389"/>
      <c r="J814" s="389"/>
      <c r="K814" s="389"/>
      <c r="L814" s="389"/>
      <c r="M814" s="389"/>
      <c r="N814" s="389"/>
      <c r="O814" s="389"/>
      <c r="P814" s="389"/>
      <c r="Q814" s="389"/>
      <c r="R814" s="389"/>
      <c r="S814" s="389"/>
      <c r="T814" s="389"/>
      <c r="U814" s="389"/>
      <c r="V814" s="389"/>
      <c r="W814" s="389"/>
      <c r="X814" s="389"/>
      <c r="Y814" s="389"/>
      <c r="Z814" s="389"/>
      <c r="AA814" s="389"/>
    </row>
    <row r="815">
      <c r="A815" s="389"/>
      <c r="B815" s="389"/>
      <c r="C815" s="389"/>
      <c r="D815" s="389"/>
      <c r="E815" s="389"/>
      <c r="F815" s="389"/>
      <c r="G815" s="389"/>
      <c r="H815" s="389"/>
      <c r="I815" s="389"/>
      <c r="J815" s="389"/>
      <c r="K815" s="389"/>
      <c r="L815" s="389"/>
      <c r="M815" s="389"/>
      <c r="N815" s="389"/>
      <c r="O815" s="389"/>
      <c r="P815" s="389"/>
      <c r="Q815" s="389"/>
      <c r="R815" s="389"/>
      <c r="S815" s="389"/>
      <c r="T815" s="389"/>
      <c r="U815" s="389"/>
      <c r="V815" s="389"/>
      <c r="W815" s="389"/>
      <c r="X815" s="389"/>
      <c r="Y815" s="389"/>
      <c r="Z815" s="389"/>
      <c r="AA815" s="389"/>
    </row>
    <row r="816">
      <c r="A816" s="389"/>
      <c r="B816" s="389"/>
      <c r="C816" s="389"/>
      <c r="D816" s="389"/>
      <c r="E816" s="389"/>
      <c r="F816" s="389"/>
      <c r="G816" s="389"/>
      <c r="H816" s="389"/>
      <c r="I816" s="389"/>
      <c r="J816" s="389"/>
      <c r="K816" s="389"/>
      <c r="L816" s="389"/>
      <c r="M816" s="389"/>
      <c r="N816" s="389"/>
      <c r="O816" s="389"/>
      <c r="P816" s="389"/>
      <c r="Q816" s="389"/>
      <c r="R816" s="389"/>
      <c r="S816" s="389"/>
      <c r="T816" s="389"/>
      <c r="U816" s="389"/>
      <c r="V816" s="389"/>
      <c r="W816" s="389"/>
      <c r="X816" s="389"/>
      <c r="Y816" s="389"/>
      <c r="Z816" s="389"/>
      <c r="AA816" s="389"/>
    </row>
    <row r="817">
      <c r="A817" s="389"/>
      <c r="B817" s="389"/>
      <c r="C817" s="389"/>
      <c r="D817" s="389"/>
      <c r="E817" s="389"/>
      <c r="F817" s="389"/>
      <c r="G817" s="389"/>
      <c r="H817" s="389"/>
      <c r="I817" s="389"/>
      <c r="J817" s="389"/>
      <c r="K817" s="389"/>
      <c r="L817" s="389"/>
      <c r="M817" s="389"/>
      <c r="N817" s="389"/>
      <c r="O817" s="389"/>
      <c r="P817" s="389"/>
      <c r="Q817" s="389"/>
      <c r="R817" s="389"/>
      <c r="S817" s="389"/>
      <c r="T817" s="389"/>
      <c r="U817" s="389"/>
      <c r="V817" s="389"/>
      <c r="W817" s="389"/>
      <c r="X817" s="389"/>
      <c r="Y817" s="389"/>
      <c r="Z817" s="389"/>
      <c r="AA817" s="389"/>
    </row>
    <row r="818">
      <c r="A818" s="389"/>
      <c r="B818" s="389"/>
      <c r="C818" s="389"/>
      <c r="D818" s="389"/>
      <c r="E818" s="389"/>
      <c r="F818" s="389"/>
      <c r="G818" s="389"/>
      <c r="H818" s="389"/>
      <c r="I818" s="389"/>
      <c r="J818" s="389"/>
      <c r="K818" s="389"/>
      <c r="L818" s="389"/>
      <c r="M818" s="389"/>
      <c r="N818" s="389"/>
      <c r="O818" s="389"/>
      <c r="P818" s="389"/>
      <c r="Q818" s="389"/>
      <c r="R818" s="389"/>
      <c r="S818" s="389"/>
      <c r="T818" s="389"/>
      <c r="U818" s="389"/>
      <c r="V818" s="389"/>
      <c r="W818" s="389"/>
      <c r="X818" s="389"/>
      <c r="Y818" s="389"/>
      <c r="Z818" s="389"/>
      <c r="AA818" s="389"/>
    </row>
    <row r="819">
      <c r="A819" s="389"/>
      <c r="B819" s="389"/>
      <c r="C819" s="389"/>
      <c r="D819" s="389"/>
      <c r="E819" s="389"/>
      <c r="F819" s="389"/>
      <c r="G819" s="389"/>
      <c r="H819" s="389"/>
      <c r="I819" s="389"/>
      <c r="J819" s="389"/>
      <c r="K819" s="389"/>
      <c r="L819" s="389"/>
      <c r="M819" s="389"/>
      <c r="N819" s="389"/>
      <c r="O819" s="389"/>
      <c r="P819" s="389"/>
      <c r="Q819" s="389"/>
      <c r="R819" s="389"/>
      <c r="S819" s="389"/>
      <c r="T819" s="389"/>
      <c r="U819" s="389"/>
      <c r="V819" s="389"/>
      <c r="W819" s="389"/>
      <c r="X819" s="389"/>
      <c r="Y819" s="389"/>
      <c r="Z819" s="389"/>
      <c r="AA819" s="389"/>
    </row>
    <row r="820">
      <c r="A820" s="389"/>
      <c r="B820" s="389"/>
      <c r="C820" s="389"/>
      <c r="D820" s="389"/>
      <c r="E820" s="389"/>
      <c r="F820" s="389"/>
      <c r="G820" s="389"/>
      <c r="H820" s="389"/>
      <c r="I820" s="389"/>
      <c r="J820" s="389"/>
      <c r="K820" s="389"/>
      <c r="L820" s="389"/>
      <c r="M820" s="389"/>
      <c r="N820" s="389"/>
      <c r="O820" s="389"/>
      <c r="P820" s="389"/>
      <c r="Q820" s="389"/>
      <c r="R820" s="389"/>
      <c r="S820" s="389"/>
      <c r="T820" s="389"/>
      <c r="U820" s="389"/>
      <c r="V820" s="389"/>
      <c r="W820" s="389"/>
      <c r="X820" s="389"/>
      <c r="Y820" s="389"/>
      <c r="Z820" s="389"/>
      <c r="AA820" s="389"/>
    </row>
    <row r="821">
      <c r="A821" s="389"/>
      <c r="B821" s="389"/>
      <c r="C821" s="389"/>
      <c r="D821" s="389"/>
      <c r="E821" s="389"/>
      <c r="F821" s="389"/>
      <c r="G821" s="389"/>
      <c r="H821" s="389"/>
      <c r="I821" s="389"/>
      <c r="J821" s="389"/>
      <c r="K821" s="389"/>
      <c r="L821" s="389"/>
      <c r="M821" s="389"/>
      <c r="N821" s="389"/>
      <c r="O821" s="389"/>
      <c r="P821" s="389"/>
      <c r="Q821" s="389"/>
      <c r="R821" s="389"/>
      <c r="S821" s="389"/>
      <c r="T821" s="389"/>
      <c r="U821" s="389"/>
      <c r="V821" s="389"/>
      <c r="W821" s="389"/>
      <c r="X821" s="389"/>
      <c r="Y821" s="389"/>
      <c r="Z821" s="389"/>
      <c r="AA821" s="389"/>
    </row>
    <row r="822">
      <c r="A822" s="389"/>
      <c r="B822" s="389"/>
      <c r="C822" s="389"/>
      <c r="D822" s="389"/>
      <c r="E822" s="389"/>
      <c r="F822" s="389"/>
      <c r="G822" s="389"/>
      <c r="H822" s="389"/>
      <c r="I822" s="389"/>
      <c r="J822" s="389"/>
      <c r="K822" s="389"/>
      <c r="L822" s="389"/>
      <c r="M822" s="389"/>
      <c r="N822" s="389"/>
      <c r="O822" s="389"/>
      <c r="P822" s="389"/>
      <c r="Q822" s="389"/>
      <c r="R822" s="389"/>
      <c r="S822" s="389"/>
      <c r="T822" s="389"/>
      <c r="U822" s="389"/>
      <c r="V822" s="389"/>
      <c r="W822" s="389"/>
      <c r="X822" s="389"/>
      <c r="Y822" s="389"/>
      <c r="Z822" s="389"/>
      <c r="AA822" s="389"/>
    </row>
    <row r="823">
      <c r="A823" s="389"/>
      <c r="B823" s="389"/>
      <c r="C823" s="389"/>
      <c r="D823" s="389"/>
      <c r="E823" s="389"/>
      <c r="F823" s="389"/>
      <c r="G823" s="389"/>
      <c r="H823" s="389"/>
      <c r="I823" s="389"/>
      <c r="J823" s="389"/>
      <c r="K823" s="389"/>
      <c r="L823" s="389"/>
      <c r="M823" s="389"/>
      <c r="N823" s="389"/>
      <c r="O823" s="389"/>
      <c r="P823" s="389"/>
      <c r="Q823" s="389"/>
      <c r="R823" s="389"/>
      <c r="S823" s="389"/>
      <c r="T823" s="389"/>
      <c r="U823" s="389"/>
      <c r="V823" s="389"/>
      <c r="W823" s="389"/>
      <c r="X823" s="389"/>
      <c r="Y823" s="389"/>
      <c r="Z823" s="389"/>
      <c r="AA823" s="389"/>
    </row>
    <row r="824">
      <c r="A824" s="389"/>
      <c r="B824" s="389"/>
      <c r="C824" s="389"/>
      <c r="D824" s="389"/>
      <c r="E824" s="389"/>
      <c r="F824" s="389"/>
      <c r="G824" s="389"/>
      <c r="H824" s="389"/>
      <c r="I824" s="389"/>
      <c r="J824" s="389"/>
      <c r="K824" s="389"/>
      <c r="L824" s="389"/>
      <c r="M824" s="389"/>
      <c r="N824" s="389"/>
      <c r="O824" s="389"/>
      <c r="P824" s="389"/>
      <c r="Q824" s="389"/>
      <c r="R824" s="389"/>
      <c r="S824" s="389"/>
      <c r="T824" s="389"/>
      <c r="U824" s="389"/>
      <c r="V824" s="389"/>
      <c r="W824" s="389"/>
      <c r="X824" s="389"/>
      <c r="Y824" s="389"/>
      <c r="Z824" s="389"/>
      <c r="AA824" s="389"/>
    </row>
    <row r="825">
      <c r="A825" s="389"/>
      <c r="B825" s="389"/>
      <c r="C825" s="389"/>
      <c r="D825" s="389"/>
      <c r="E825" s="389"/>
      <c r="F825" s="389"/>
      <c r="G825" s="389"/>
      <c r="H825" s="389"/>
      <c r="I825" s="389"/>
      <c r="J825" s="389"/>
      <c r="K825" s="389"/>
      <c r="L825" s="389"/>
      <c r="M825" s="389"/>
      <c r="N825" s="389"/>
      <c r="O825" s="389"/>
      <c r="P825" s="389"/>
      <c r="Q825" s="389"/>
      <c r="R825" s="389"/>
      <c r="S825" s="389"/>
      <c r="T825" s="389"/>
      <c r="U825" s="389"/>
      <c r="V825" s="389"/>
      <c r="W825" s="389"/>
      <c r="X825" s="389"/>
      <c r="Y825" s="389"/>
      <c r="Z825" s="389"/>
      <c r="AA825" s="389"/>
    </row>
    <row r="826">
      <c r="A826" s="389"/>
      <c r="B826" s="389"/>
      <c r="C826" s="389"/>
      <c r="D826" s="389"/>
      <c r="E826" s="389"/>
      <c r="F826" s="389"/>
      <c r="G826" s="389"/>
      <c r="H826" s="389"/>
      <c r="I826" s="389"/>
      <c r="J826" s="389"/>
      <c r="K826" s="389"/>
      <c r="L826" s="389"/>
      <c r="M826" s="389"/>
      <c r="N826" s="389"/>
      <c r="O826" s="389"/>
      <c r="P826" s="389"/>
      <c r="Q826" s="389"/>
      <c r="R826" s="389"/>
      <c r="S826" s="389"/>
      <c r="T826" s="389"/>
      <c r="U826" s="389"/>
      <c r="V826" s="389"/>
      <c r="W826" s="389"/>
      <c r="X826" s="389"/>
      <c r="Y826" s="389"/>
      <c r="Z826" s="389"/>
      <c r="AA826" s="389"/>
    </row>
    <row r="827">
      <c r="A827" s="389"/>
      <c r="B827" s="389"/>
      <c r="C827" s="389"/>
      <c r="D827" s="389"/>
      <c r="E827" s="389"/>
      <c r="F827" s="389"/>
      <c r="G827" s="389"/>
      <c r="H827" s="389"/>
      <c r="I827" s="389"/>
      <c r="J827" s="389"/>
      <c r="K827" s="389"/>
      <c r="L827" s="389"/>
      <c r="M827" s="389"/>
      <c r="N827" s="389"/>
      <c r="O827" s="389"/>
      <c r="P827" s="389"/>
      <c r="Q827" s="389"/>
      <c r="R827" s="389"/>
      <c r="S827" s="389"/>
      <c r="T827" s="389"/>
      <c r="U827" s="389"/>
      <c r="V827" s="389"/>
      <c r="W827" s="389"/>
      <c r="X827" s="389"/>
      <c r="Y827" s="389"/>
      <c r="Z827" s="389"/>
      <c r="AA827" s="389"/>
    </row>
    <row r="828">
      <c r="A828" s="389"/>
      <c r="B828" s="389"/>
      <c r="C828" s="389"/>
      <c r="D828" s="389"/>
      <c r="E828" s="389"/>
      <c r="F828" s="389"/>
      <c r="G828" s="389"/>
      <c r="H828" s="389"/>
      <c r="I828" s="389"/>
      <c r="J828" s="389"/>
      <c r="K828" s="389"/>
      <c r="L828" s="389"/>
      <c r="M828" s="389"/>
      <c r="N828" s="389"/>
      <c r="O828" s="389"/>
      <c r="P828" s="389"/>
      <c r="Q828" s="389"/>
      <c r="R828" s="389"/>
      <c r="S828" s="389"/>
      <c r="T828" s="389"/>
      <c r="U828" s="389"/>
      <c r="V828" s="389"/>
      <c r="W828" s="389"/>
      <c r="X828" s="389"/>
      <c r="Y828" s="389"/>
      <c r="Z828" s="389"/>
      <c r="AA828" s="389"/>
    </row>
    <row r="829">
      <c r="A829" s="389"/>
      <c r="B829" s="389"/>
      <c r="C829" s="389"/>
      <c r="D829" s="389"/>
      <c r="E829" s="389"/>
      <c r="F829" s="389"/>
      <c r="G829" s="389"/>
      <c r="H829" s="389"/>
      <c r="I829" s="389"/>
      <c r="J829" s="389"/>
      <c r="K829" s="389"/>
      <c r="L829" s="389"/>
      <c r="M829" s="389"/>
      <c r="N829" s="389"/>
      <c r="O829" s="389"/>
      <c r="P829" s="389"/>
      <c r="Q829" s="389"/>
      <c r="R829" s="389"/>
      <c r="S829" s="389"/>
      <c r="T829" s="389"/>
      <c r="U829" s="389"/>
      <c r="V829" s="389"/>
      <c r="W829" s="389"/>
      <c r="X829" s="389"/>
      <c r="Y829" s="389"/>
      <c r="Z829" s="389"/>
      <c r="AA829" s="389"/>
    </row>
    <row r="830">
      <c r="A830" s="389"/>
      <c r="B830" s="389"/>
      <c r="C830" s="389"/>
      <c r="D830" s="389"/>
      <c r="E830" s="389"/>
      <c r="F830" s="389"/>
      <c r="G830" s="389"/>
      <c r="H830" s="389"/>
      <c r="I830" s="389"/>
      <c r="J830" s="389"/>
      <c r="K830" s="389"/>
      <c r="L830" s="389"/>
      <c r="M830" s="389"/>
      <c r="N830" s="389"/>
      <c r="O830" s="389"/>
      <c r="P830" s="389"/>
      <c r="Q830" s="389"/>
      <c r="R830" s="389"/>
      <c r="S830" s="389"/>
      <c r="T830" s="389"/>
      <c r="U830" s="389"/>
      <c r="V830" s="389"/>
      <c r="W830" s="389"/>
      <c r="X830" s="389"/>
      <c r="Y830" s="389"/>
      <c r="Z830" s="389"/>
      <c r="AA830" s="389"/>
    </row>
    <row r="831">
      <c r="A831" s="389"/>
      <c r="B831" s="389"/>
      <c r="C831" s="389"/>
      <c r="D831" s="389"/>
      <c r="E831" s="389"/>
      <c r="F831" s="389"/>
      <c r="G831" s="389"/>
      <c r="H831" s="389"/>
      <c r="I831" s="389"/>
      <c r="J831" s="389"/>
      <c r="K831" s="389"/>
      <c r="L831" s="389"/>
      <c r="M831" s="389"/>
      <c r="N831" s="389"/>
      <c r="O831" s="389"/>
      <c r="P831" s="389"/>
      <c r="Q831" s="389"/>
      <c r="R831" s="389"/>
      <c r="S831" s="389"/>
      <c r="T831" s="389"/>
      <c r="U831" s="389"/>
      <c r="V831" s="389"/>
      <c r="W831" s="389"/>
      <c r="X831" s="389"/>
      <c r="Y831" s="389"/>
      <c r="Z831" s="389"/>
      <c r="AA831" s="389"/>
    </row>
    <row r="832">
      <c r="A832" s="389"/>
      <c r="B832" s="389"/>
      <c r="C832" s="389"/>
      <c r="D832" s="389"/>
      <c r="E832" s="389"/>
      <c r="F832" s="389"/>
      <c r="G832" s="389"/>
      <c r="H832" s="389"/>
      <c r="I832" s="389"/>
      <c r="J832" s="389"/>
      <c r="K832" s="389"/>
      <c r="L832" s="389"/>
      <c r="M832" s="389"/>
      <c r="N832" s="389"/>
      <c r="O832" s="389"/>
      <c r="P832" s="389"/>
      <c r="Q832" s="389"/>
      <c r="R832" s="389"/>
      <c r="S832" s="389"/>
      <c r="T832" s="389"/>
      <c r="U832" s="389"/>
      <c r="V832" s="389"/>
      <c r="W832" s="389"/>
      <c r="X832" s="389"/>
      <c r="Y832" s="389"/>
      <c r="Z832" s="389"/>
      <c r="AA832" s="389"/>
    </row>
    <row r="833">
      <c r="A833" s="389"/>
      <c r="B833" s="389"/>
      <c r="C833" s="389"/>
      <c r="D833" s="389"/>
      <c r="E833" s="389"/>
      <c r="F833" s="389"/>
      <c r="G833" s="389"/>
      <c r="H833" s="389"/>
      <c r="I833" s="389"/>
      <c r="J833" s="389"/>
      <c r="K833" s="389"/>
      <c r="L833" s="389"/>
      <c r="M833" s="389"/>
      <c r="N833" s="389"/>
      <c r="O833" s="389"/>
      <c r="P833" s="389"/>
      <c r="Q833" s="389"/>
      <c r="R833" s="389"/>
      <c r="S833" s="389"/>
      <c r="T833" s="389"/>
      <c r="U833" s="389"/>
      <c r="V833" s="389"/>
      <c r="W833" s="389"/>
      <c r="X833" s="389"/>
      <c r="Y833" s="389"/>
      <c r="Z833" s="389"/>
      <c r="AA833" s="389"/>
    </row>
    <row r="834">
      <c r="A834" s="389"/>
      <c r="B834" s="389"/>
      <c r="C834" s="389"/>
      <c r="D834" s="389"/>
      <c r="E834" s="389"/>
      <c r="F834" s="389"/>
      <c r="G834" s="389"/>
      <c r="H834" s="389"/>
      <c r="I834" s="389"/>
      <c r="J834" s="389"/>
      <c r="K834" s="389"/>
      <c r="L834" s="389"/>
      <c r="M834" s="389"/>
      <c r="N834" s="389"/>
      <c r="O834" s="389"/>
      <c r="P834" s="389"/>
      <c r="Q834" s="389"/>
      <c r="R834" s="389"/>
      <c r="S834" s="389"/>
      <c r="T834" s="389"/>
      <c r="U834" s="389"/>
      <c r="V834" s="389"/>
      <c r="W834" s="389"/>
      <c r="X834" s="389"/>
      <c r="Y834" s="389"/>
      <c r="Z834" s="389"/>
      <c r="AA834" s="389"/>
    </row>
    <row r="835">
      <c r="A835" s="389"/>
      <c r="B835" s="389"/>
      <c r="C835" s="389"/>
      <c r="D835" s="389"/>
      <c r="E835" s="389"/>
      <c r="F835" s="389"/>
      <c r="G835" s="389"/>
      <c r="H835" s="389"/>
      <c r="I835" s="389"/>
      <c r="J835" s="389"/>
      <c r="K835" s="389"/>
      <c r="L835" s="389"/>
      <c r="M835" s="389"/>
      <c r="N835" s="389"/>
      <c r="O835" s="389"/>
      <c r="P835" s="389"/>
      <c r="Q835" s="389"/>
      <c r="R835" s="389"/>
      <c r="S835" s="389"/>
      <c r="T835" s="389"/>
      <c r="U835" s="389"/>
      <c r="V835" s="389"/>
      <c r="W835" s="389"/>
      <c r="X835" s="389"/>
      <c r="Y835" s="389"/>
      <c r="Z835" s="389"/>
      <c r="AA835" s="389"/>
    </row>
    <row r="836">
      <c r="A836" s="389"/>
      <c r="B836" s="389"/>
      <c r="C836" s="389"/>
      <c r="D836" s="389"/>
      <c r="E836" s="389"/>
      <c r="F836" s="389"/>
      <c r="G836" s="389"/>
      <c r="H836" s="389"/>
      <c r="I836" s="389"/>
      <c r="J836" s="389"/>
      <c r="K836" s="389"/>
      <c r="L836" s="389"/>
      <c r="M836" s="389"/>
      <c r="N836" s="389"/>
      <c r="O836" s="389"/>
      <c r="P836" s="389"/>
      <c r="Q836" s="389"/>
      <c r="R836" s="389"/>
      <c r="S836" s="389"/>
      <c r="T836" s="389"/>
      <c r="U836" s="389"/>
      <c r="V836" s="389"/>
      <c r="W836" s="389"/>
      <c r="X836" s="389"/>
      <c r="Y836" s="389"/>
      <c r="Z836" s="389"/>
      <c r="AA836" s="389"/>
    </row>
    <row r="837">
      <c r="A837" s="389"/>
      <c r="B837" s="389"/>
      <c r="C837" s="389"/>
      <c r="D837" s="389"/>
      <c r="E837" s="389"/>
      <c r="F837" s="389"/>
      <c r="G837" s="389"/>
      <c r="H837" s="389"/>
      <c r="I837" s="389"/>
      <c r="J837" s="389"/>
      <c r="K837" s="389"/>
      <c r="L837" s="389"/>
      <c r="M837" s="389"/>
      <c r="N837" s="389"/>
      <c r="O837" s="389"/>
      <c r="P837" s="389"/>
      <c r="Q837" s="389"/>
      <c r="R837" s="389"/>
      <c r="S837" s="389"/>
      <c r="T837" s="389"/>
      <c r="U837" s="389"/>
      <c r="V837" s="389"/>
      <c r="W837" s="389"/>
      <c r="X837" s="389"/>
      <c r="Y837" s="389"/>
      <c r="Z837" s="389"/>
      <c r="AA837" s="389"/>
    </row>
    <row r="838">
      <c r="A838" s="389"/>
      <c r="B838" s="389"/>
      <c r="C838" s="389"/>
      <c r="D838" s="389"/>
      <c r="E838" s="389"/>
      <c r="F838" s="389"/>
      <c r="G838" s="389"/>
      <c r="H838" s="389"/>
      <c r="I838" s="389"/>
      <c r="J838" s="389"/>
      <c r="K838" s="389"/>
      <c r="L838" s="389"/>
      <c r="M838" s="389"/>
      <c r="N838" s="389"/>
      <c r="O838" s="389"/>
      <c r="P838" s="389"/>
      <c r="Q838" s="389"/>
      <c r="R838" s="389"/>
      <c r="S838" s="389"/>
      <c r="T838" s="389"/>
      <c r="U838" s="389"/>
      <c r="V838" s="389"/>
      <c r="W838" s="389"/>
      <c r="X838" s="389"/>
      <c r="Y838" s="389"/>
      <c r="Z838" s="389"/>
      <c r="AA838" s="389"/>
    </row>
    <row r="839">
      <c r="A839" s="389"/>
      <c r="B839" s="389"/>
      <c r="C839" s="389"/>
      <c r="D839" s="389"/>
      <c r="E839" s="389"/>
      <c r="F839" s="389"/>
      <c r="G839" s="389"/>
      <c r="H839" s="389"/>
      <c r="I839" s="389"/>
      <c r="J839" s="389"/>
      <c r="K839" s="389"/>
      <c r="L839" s="389"/>
      <c r="M839" s="389"/>
      <c r="N839" s="389"/>
      <c r="O839" s="389"/>
      <c r="P839" s="389"/>
      <c r="Q839" s="389"/>
      <c r="R839" s="389"/>
      <c r="S839" s="389"/>
      <c r="T839" s="389"/>
      <c r="U839" s="389"/>
      <c r="V839" s="389"/>
      <c r="W839" s="389"/>
      <c r="X839" s="389"/>
      <c r="Y839" s="389"/>
      <c r="Z839" s="389"/>
      <c r="AA839" s="389"/>
    </row>
    <row r="840">
      <c r="A840" s="389"/>
      <c r="B840" s="389"/>
      <c r="C840" s="389"/>
      <c r="D840" s="389"/>
      <c r="E840" s="389"/>
      <c r="F840" s="389"/>
      <c r="G840" s="389"/>
      <c r="H840" s="389"/>
      <c r="I840" s="389"/>
      <c r="J840" s="389"/>
      <c r="K840" s="389"/>
      <c r="L840" s="389"/>
      <c r="M840" s="389"/>
      <c r="N840" s="389"/>
      <c r="O840" s="389"/>
      <c r="P840" s="389"/>
      <c r="Q840" s="389"/>
      <c r="R840" s="389"/>
      <c r="S840" s="389"/>
      <c r="T840" s="389"/>
      <c r="U840" s="389"/>
      <c r="V840" s="389"/>
      <c r="W840" s="389"/>
      <c r="X840" s="389"/>
      <c r="Y840" s="389"/>
      <c r="Z840" s="389"/>
      <c r="AA840" s="389"/>
    </row>
    <row r="841">
      <c r="A841" s="389"/>
      <c r="B841" s="389"/>
      <c r="C841" s="389"/>
      <c r="D841" s="389"/>
      <c r="E841" s="389"/>
      <c r="F841" s="389"/>
      <c r="G841" s="389"/>
      <c r="H841" s="389"/>
      <c r="I841" s="389"/>
      <c r="J841" s="389"/>
      <c r="K841" s="389"/>
      <c r="L841" s="389"/>
      <c r="M841" s="389"/>
      <c r="N841" s="389"/>
      <c r="O841" s="389"/>
      <c r="P841" s="389"/>
      <c r="Q841" s="389"/>
      <c r="R841" s="389"/>
      <c r="S841" s="389"/>
      <c r="T841" s="389"/>
      <c r="U841" s="389"/>
      <c r="V841" s="389"/>
      <c r="W841" s="389"/>
      <c r="X841" s="389"/>
      <c r="Y841" s="389"/>
      <c r="Z841" s="389"/>
      <c r="AA841" s="389"/>
    </row>
    <row r="842">
      <c r="A842" s="389"/>
      <c r="B842" s="389"/>
      <c r="C842" s="389"/>
      <c r="D842" s="389"/>
      <c r="E842" s="389"/>
      <c r="F842" s="389"/>
      <c r="G842" s="389"/>
      <c r="H842" s="389"/>
      <c r="I842" s="389"/>
      <c r="J842" s="389"/>
      <c r="K842" s="389"/>
      <c r="L842" s="389"/>
      <c r="M842" s="389"/>
      <c r="N842" s="389"/>
      <c r="O842" s="389"/>
      <c r="P842" s="389"/>
      <c r="Q842" s="389"/>
      <c r="R842" s="389"/>
      <c r="S842" s="389"/>
      <c r="T842" s="389"/>
      <c r="U842" s="389"/>
      <c r="V842" s="389"/>
      <c r="W842" s="389"/>
      <c r="X842" s="389"/>
      <c r="Y842" s="389"/>
      <c r="Z842" s="389"/>
      <c r="AA842" s="389"/>
    </row>
    <row r="843">
      <c r="A843" s="389"/>
      <c r="B843" s="389"/>
      <c r="C843" s="389"/>
      <c r="D843" s="389"/>
      <c r="E843" s="389"/>
      <c r="F843" s="389"/>
      <c r="G843" s="389"/>
      <c r="H843" s="389"/>
      <c r="I843" s="389"/>
      <c r="J843" s="389"/>
      <c r="K843" s="389"/>
      <c r="L843" s="389"/>
      <c r="M843" s="389"/>
      <c r="N843" s="389"/>
      <c r="O843" s="389"/>
      <c r="P843" s="389"/>
      <c r="Q843" s="389"/>
      <c r="R843" s="389"/>
      <c r="S843" s="389"/>
      <c r="T843" s="389"/>
      <c r="U843" s="389"/>
      <c r="V843" s="389"/>
      <c r="W843" s="389"/>
      <c r="X843" s="389"/>
      <c r="Y843" s="389"/>
      <c r="Z843" s="389"/>
      <c r="AA843" s="389"/>
    </row>
    <row r="844">
      <c r="A844" s="389"/>
      <c r="B844" s="389"/>
      <c r="C844" s="389"/>
      <c r="D844" s="389"/>
      <c r="E844" s="389"/>
      <c r="F844" s="389"/>
      <c r="G844" s="389"/>
      <c r="H844" s="389"/>
      <c r="I844" s="389"/>
      <c r="J844" s="389"/>
      <c r="K844" s="389"/>
      <c r="L844" s="389"/>
      <c r="M844" s="389"/>
      <c r="N844" s="389"/>
      <c r="O844" s="389"/>
      <c r="P844" s="389"/>
      <c r="Q844" s="389"/>
      <c r="R844" s="389"/>
      <c r="S844" s="389"/>
      <c r="T844" s="389"/>
      <c r="U844" s="389"/>
      <c r="V844" s="389"/>
      <c r="W844" s="389"/>
      <c r="X844" s="389"/>
      <c r="Y844" s="389"/>
      <c r="Z844" s="389"/>
      <c r="AA844" s="389"/>
    </row>
    <row r="845">
      <c r="A845" s="389"/>
      <c r="B845" s="389"/>
      <c r="C845" s="389"/>
      <c r="D845" s="389"/>
      <c r="E845" s="389"/>
      <c r="F845" s="389"/>
      <c r="G845" s="389"/>
      <c r="H845" s="389"/>
      <c r="I845" s="389"/>
      <c r="J845" s="389"/>
      <c r="K845" s="389"/>
      <c r="L845" s="389"/>
      <c r="M845" s="389"/>
      <c r="N845" s="389"/>
      <c r="O845" s="389"/>
      <c r="P845" s="389"/>
      <c r="Q845" s="389"/>
      <c r="R845" s="389"/>
      <c r="S845" s="389"/>
      <c r="T845" s="389"/>
      <c r="U845" s="389"/>
      <c r="V845" s="389"/>
      <c r="W845" s="389"/>
      <c r="X845" s="389"/>
      <c r="Y845" s="389"/>
      <c r="Z845" s="389"/>
      <c r="AA845" s="389"/>
    </row>
    <row r="846">
      <c r="A846" s="389"/>
      <c r="B846" s="389"/>
      <c r="C846" s="389"/>
      <c r="D846" s="389"/>
      <c r="E846" s="389"/>
      <c r="F846" s="389"/>
      <c r="G846" s="389"/>
      <c r="H846" s="389"/>
      <c r="I846" s="389"/>
      <c r="J846" s="389"/>
      <c r="K846" s="389"/>
      <c r="L846" s="389"/>
      <c r="M846" s="389"/>
      <c r="N846" s="389"/>
      <c r="O846" s="389"/>
      <c r="P846" s="389"/>
      <c r="Q846" s="389"/>
      <c r="R846" s="389"/>
      <c r="S846" s="389"/>
      <c r="T846" s="389"/>
      <c r="U846" s="389"/>
      <c r="V846" s="389"/>
      <c r="W846" s="389"/>
      <c r="X846" s="389"/>
      <c r="Y846" s="389"/>
      <c r="Z846" s="389"/>
      <c r="AA846" s="389"/>
    </row>
    <row r="847">
      <c r="A847" s="389"/>
      <c r="B847" s="389"/>
      <c r="C847" s="389"/>
      <c r="D847" s="389"/>
      <c r="E847" s="389"/>
      <c r="F847" s="389"/>
      <c r="G847" s="389"/>
      <c r="H847" s="389"/>
      <c r="I847" s="389"/>
      <c r="J847" s="389"/>
      <c r="K847" s="389"/>
      <c r="L847" s="389"/>
      <c r="M847" s="389"/>
      <c r="N847" s="389"/>
      <c r="O847" s="389"/>
      <c r="P847" s="389"/>
      <c r="Q847" s="389"/>
      <c r="R847" s="389"/>
      <c r="S847" s="389"/>
      <c r="T847" s="389"/>
      <c r="U847" s="389"/>
      <c r="V847" s="389"/>
      <c r="W847" s="389"/>
      <c r="X847" s="389"/>
      <c r="Y847" s="389"/>
      <c r="Z847" s="389"/>
      <c r="AA847" s="389"/>
    </row>
    <row r="848">
      <c r="A848" s="389"/>
      <c r="B848" s="389"/>
      <c r="C848" s="389"/>
      <c r="D848" s="389"/>
      <c r="E848" s="389"/>
      <c r="F848" s="389"/>
      <c r="G848" s="389"/>
      <c r="H848" s="389"/>
      <c r="I848" s="389"/>
      <c r="J848" s="389"/>
      <c r="K848" s="389"/>
      <c r="L848" s="389"/>
      <c r="M848" s="389"/>
      <c r="N848" s="389"/>
      <c r="O848" s="389"/>
      <c r="P848" s="389"/>
      <c r="Q848" s="389"/>
      <c r="R848" s="389"/>
      <c r="S848" s="389"/>
      <c r="T848" s="389"/>
      <c r="U848" s="389"/>
      <c r="V848" s="389"/>
      <c r="W848" s="389"/>
      <c r="X848" s="389"/>
      <c r="Y848" s="389"/>
      <c r="Z848" s="389"/>
      <c r="AA848" s="389"/>
    </row>
    <row r="849">
      <c r="A849" s="389"/>
      <c r="B849" s="389"/>
      <c r="C849" s="389"/>
      <c r="D849" s="389"/>
      <c r="E849" s="389"/>
      <c r="F849" s="389"/>
      <c r="G849" s="389"/>
      <c r="H849" s="389"/>
      <c r="I849" s="389"/>
      <c r="J849" s="389"/>
      <c r="K849" s="389"/>
      <c r="L849" s="389"/>
      <c r="M849" s="389"/>
      <c r="N849" s="389"/>
      <c r="O849" s="389"/>
      <c r="P849" s="389"/>
      <c r="Q849" s="389"/>
      <c r="R849" s="389"/>
      <c r="S849" s="389"/>
      <c r="T849" s="389"/>
      <c r="U849" s="389"/>
      <c r="V849" s="389"/>
      <c r="W849" s="389"/>
      <c r="X849" s="389"/>
      <c r="Y849" s="389"/>
      <c r="Z849" s="389"/>
      <c r="AA849" s="389"/>
    </row>
    <row r="850">
      <c r="A850" s="389"/>
      <c r="B850" s="389"/>
      <c r="C850" s="389"/>
      <c r="D850" s="389"/>
      <c r="E850" s="389"/>
      <c r="F850" s="389"/>
      <c r="G850" s="389"/>
      <c r="H850" s="389"/>
      <c r="I850" s="389"/>
      <c r="J850" s="389"/>
      <c r="K850" s="389"/>
      <c r="L850" s="389"/>
      <c r="M850" s="389"/>
      <c r="N850" s="389"/>
      <c r="O850" s="389"/>
      <c r="P850" s="389"/>
      <c r="Q850" s="389"/>
      <c r="R850" s="389"/>
      <c r="S850" s="389"/>
      <c r="T850" s="389"/>
      <c r="U850" s="389"/>
      <c r="V850" s="389"/>
      <c r="W850" s="389"/>
      <c r="X850" s="389"/>
      <c r="Y850" s="389"/>
      <c r="Z850" s="389"/>
      <c r="AA850" s="389"/>
    </row>
    <row r="851">
      <c r="A851" s="389"/>
      <c r="B851" s="389"/>
      <c r="C851" s="389"/>
      <c r="D851" s="389"/>
      <c r="E851" s="389"/>
      <c r="F851" s="389"/>
      <c r="G851" s="389"/>
      <c r="H851" s="389"/>
      <c r="I851" s="389"/>
      <c r="J851" s="389"/>
      <c r="K851" s="389"/>
      <c r="L851" s="389"/>
      <c r="M851" s="389"/>
      <c r="N851" s="389"/>
      <c r="O851" s="389"/>
      <c r="P851" s="389"/>
      <c r="Q851" s="389"/>
      <c r="R851" s="389"/>
      <c r="S851" s="389"/>
      <c r="T851" s="389"/>
      <c r="U851" s="389"/>
      <c r="V851" s="389"/>
      <c r="W851" s="389"/>
      <c r="X851" s="389"/>
      <c r="Y851" s="389"/>
      <c r="Z851" s="389"/>
      <c r="AA851" s="389"/>
    </row>
    <row r="852">
      <c r="A852" s="389"/>
      <c r="B852" s="389"/>
      <c r="C852" s="389"/>
      <c r="D852" s="389"/>
      <c r="E852" s="389"/>
      <c r="F852" s="389"/>
      <c r="G852" s="389"/>
      <c r="H852" s="389"/>
      <c r="I852" s="389"/>
      <c r="J852" s="389"/>
      <c r="K852" s="389"/>
      <c r="L852" s="389"/>
      <c r="M852" s="389"/>
      <c r="N852" s="389"/>
      <c r="O852" s="389"/>
      <c r="P852" s="389"/>
      <c r="Q852" s="389"/>
      <c r="R852" s="389"/>
      <c r="S852" s="389"/>
      <c r="T852" s="389"/>
      <c r="U852" s="389"/>
      <c r="V852" s="389"/>
      <c r="W852" s="389"/>
      <c r="X852" s="389"/>
      <c r="Y852" s="389"/>
      <c r="Z852" s="389"/>
      <c r="AA852" s="389"/>
    </row>
    <row r="853">
      <c r="A853" s="389"/>
      <c r="B853" s="389"/>
      <c r="C853" s="389"/>
      <c r="D853" s="389"/>
      <c r="E853" s="389"/>
      <c r="F853" s="389"/>
      <c r="G853" s="389"/>
      <c r="H853" s="389"/>
      <c r="I853" s="389"/>
      <c r="J853" s="389"/>
      <c r="K853" s="389"/>
      <c r="L853" s="389"/>
      <c r="M853" s="389"/>
      <c r="N853" s="389"/>
      <c r="O853" s="389"/>
      <c r="P853" s="389"/>
      <c r="Q853" s="389"/>
      <c r="R853" s="389"/>
      <c r="S853" s="389"/>
      <c r="T853" s="389"/>
      <c r="U853" s="389"/>
      <c r="V853" s="389"/>
      <c r="W853" s="389"/>
      <c r="X853" s="389"/>
      <c r="Y853" s="389"/>
      <c r="Z853" s="389"/>
      <c r="AA853" s="389"/>
    </row>
    <row r="854">
      <c r="A854" s="389"/>
      <c r="B854" s="389"/>
      <c r="C854" s="389"/>
      <c r="D854" s="389"/>
      <c r="E854" s="389"/>
      <c r="F854" s="389"/>
      <c r="G854" s="389"/>
      <c r="H854" s="389"/>
      <c r="I854" s="389"/>
      <c r="J854" s="389"/>
      <c r="K854" s="389"/>
      <c r="L854" s="389"/>
      <c r="M854" s="389"/>
      <c r="N854" s="389"/>
      <c r="O854" s="389"/>
      <c r="P854" s="389"/>
      <c r="Q854" s="389"/>
      <c r="R854" s="389"/>
      <c r="S854" s="389"/>
      <c r="T854" s="389"/>
      <c r="U854" s="389"/>
      <c r="V854" s="389"/>
      <c r="W854" s="389"/>
      <c r="X854" s="389"/>
      <c r="Y854" s="389"/>
      <c r="Z854" s="389"/>
      <c r="AA854" s="389"/>
    </row>
    <row r="855">
      <c r="A855" s="389"/>
      <c r="B855" s="389"/>
      <c r="C855" s="389"/>
      <c r="D855" s="389"/>
      <c r="E855" s="389"/>
      <c r="F855" s="389"/>
      <c r="G855" s="389"/>
      <c r="H855" s="389"/>
      <c r="I855" s="389"/>
      <c r="J855" s="389"/>
      <c r="K855" s="389"/>
      <c r="L855" s="389"/>
      <c r="M855" s="389"/>
      <c r="N855" s="389"/>
      <c r="O855" s="389"/>
      <c r="P855" s="389"/>
      <c r="Q855" s="389"/>
      <c r="R855" s="389"/>
      <c r="S855" s="389"/>
      <c r="T855" s="389"/>
      <c r="U855" s="389"/>
      <c r="V855" s="389"/>
      <c r="W855" s="389"/>
      <c r="X855" s="389"/>
      <c r="Y855" s="389"/>
      <c r="Z855" s="389"/>
      <c r="AA855" s="389"/>
    </row>
    <row r="856">
      <c r="A856" s="389"/>
      <c r="B856" s="389"/>
      <c r="C856" s="389"/>
      <c r="D856" s="389"/>
      <c r="E856" s="389"/>
      <c r="F856" s="389"/>
      <c r="G856" s="389"/>
      <c r="H856" s="389"/>
      <c r="I856" s="389"/>
      <c r="J856" s="389"/>
      <c r="K856" s="389"/>
      <c r="L856" s="389"/>
      <c r="M856" s="389"/>
      <c r="N856" s="389"/>
      <c r="O856" s="389"/>
      <c r="P856" s="389"/>
      <c r="Q856" s="389"/>
      <c r="R856" s="389"/>
      <c r="S856" s="389"/>
      <c r="T856" s="389"/>
      <c r="U856" s="389"/>
      <c r="V856" s="389"/>
      <c r="W856" s="389"/>
      <c r="X856" s="389"/>
      <c r="Y856" s="389"/>
      <c r="Z856" s="389"/>
      <c r="AA856" s="389"/>
    </row>
    <row r="857">
      <c r="A857" s="389"/>
      <c r="B857" s="389"/>
      <c r="C857" s="389"/>
      <c r="D857" s="389"/>
      <c r="E857" s="389"/>
      <c r="F857" s="389"/>
      <c r="G857" s="389"/>
      <c r="H857" s="389"/>
      <c r="I857" s="389"/>
      <c r="J857" s="389"/>
      <c r="K857" s="389"/>
      <c r="L857" s="389"/>
      <c r="M857" s="389"/>
      <c r="N857" s="389"/>
      <c r="O857" s="389"/>
      <c r="P857" s="389"/>
      <c r="Q857" s="389"/>
      <c r="R857" s="389"/>
      <c r="S857" s="389"/>
      <c r="T857" s="389"/>
      <c r="U857" s="389"/>
      <c r="V857" s="389"/>
      <c r="W857" s="389"/>
      <c r="X857" s="389"/>
      <c r="Y857" s="389"/>
      <c r="Z857" s="389"/>
      <c r="AA857" s="389"/>
    </row>
    <row r="858">
      <c r="A858" s="389"/>
      <c r="B858" s="389"/>
      <c r="C858" s="389"/>
      <c r="D858" s="389"/>
      <c r="E858" s="389"/>
      <c r="F858" s="389"/>
      <c r="G858" s="389"/>
      <c r="H858" s="389"/>
      <c r="I858" s="389"/>
      <c r="J858" s="389"/>
      <c r="K858" s="389"/>
      <c r="L858" s="389"/>
      <c r="M858" s="389"/>
      <c r="N858" s="389"/>
      <c r="O858" s="389"/>
      <c r="P858" s="389"/>
      <c r="Q858" s="389"/>
      <c r="R858" s="389"/>
      <c r="S858" s="389"/>
      <c r="T858" s="389"/>
      <c r="U858" s="389"/>
      <c r="V858" s="389"/>
      <c r="W858" s="389"/>
      <c r="X858" s="389"/>
      <c r="Y858" s="389"/>
      <c r="Z858" s="389"/>
      <c r="AA858" s="389"/>
    </row>
    <row r="859">
      <c r="A859" s="389"/>
      <c r="B859" s="389"/>
      <c r="C859" s="389"/>
      <c r="D859" s="389"/>
      <c r="E859" s="389"/>
      <c r="F859" s="389"/>
      <c r="G859" s="389"/>
      <c r="H859" s="389"/>
      <c r="I859" s="389"/>
      <c r="J859" s="389"/>
      <c r="K859" s="389"/>
      <c r="L859" s="389"/>
      <c r="M859" s="389"/>
      <c r="N859" s="389"/>
      <c r="O859" s="389"/>
      <c r="P859" s="389"/>
      <c r="Q859" s="389"/>
      <c r="R859" s="389"/>
      <c r="S859" s="389"/>
      <c r="T859" s="389"/>
      <c r="U859" s="389"/>
      <c r="V859" s="389"/>
      <c r="W859" s="389"/>
      <c r="X859" s="389"/>
      <c r="Y859" s="389"/>
      <c r="Z859" s="389"/>
      <c r="AA859" s="389"/>
    </row>
    <row r="860">
      <c r="A860" s="389"/>
      <c r="B860" s="389"/>
      <c r="C860" s="389"/>
      <c r="D860" s="389"/>
      <c r="E860" s="389"/>
      <c r="F860" s="389"/>
      <c r="G860" s="389"/>
      <c r="H860" s="389"/>
      <c r="I860" s="389"/>
      <c r="J860" s="389"/>
      <c r="K860" s="389"/>
      <c r="L860" s="389"/>
      <c r="M860" s="389"/>
      <c r="N860" s="389"/>
      <c r="O860" s="389"/>
      <c r="P860" s="389"/>
      <c r="Q860" s="389"/>
      <c r="R860" s="389"/>
      <c r="S860" s="389"/>
      <c r="T860" s="389"/>
      <c r="U860" s="389"/>
      <c r="V860" s="389"/>
      <c r="W860" s="389"/>
      <c r="X860" s="389"/>
      <c r="Y860" s="389"/>
      <c r="Z860" s="389"/>
      <c r="AA860" s="389"/>
    </row>
    <row r="861">
      <c r="A861" s="389"/>
      <c r="B861" s="389"/>
      <c r="C861" s="389"/>
      <c r="D861" s="389"/>
      <c r="E861" s="389"/>
      <c r="F861" s="389"/>
      <c r="G861" s="389"/>
      <c r="H861" s="389"/>
      <c r="I861" s="389"/>
      <c r="J861" s="389"/>
      <c r="K861" s="389"/>
      <c r="L861" s="389"/>
      <c r="M861" s="389"/>
      <c r="N861" s="389"/>
      <c r="O861" s="389"/>
      <c r="P861" s="389"/>
      <c r="Q861" s="389"/>
      <c r="R861" s="389"/>
      <c r="S861" s="389"/>
      <c r="T861" s="389"/>
      <c r="U861" s="389"/>
      <c r="V861" s="389"/>
      <c r="W861" s="389"/>
      <c r="X861" s="389"/>
      <c r="Y861" s="389"/>
      <c r="Z861" s="389"/>
      <c r="AA861" s="389"/>
    </row>
    <row r="862">
      <c r="A862" s="389"/>
      <c r="B862" s="389"/>
      <c r="C862" s="389"/>
      <c r="D862" s="389"/>
      <c r="E862" s="389"/>
      <c r="F862" s="389"/>
      <c r="G862" s="389"/>
      <c r="H862" s="389"/>
      <c r="I862" s="389"/>
      <c r="J862" s="389"/>
      <c r="K862" s="389"/>
      <c r="L862" s="389"/>
      <c r="M862" s="389"/>
      <c r="N862" s="389"/>
      <c r="O862" s="389"/>
      <c r="P862" s="389"/>
      <c r="Q862" s="389"/>
      <c r="R862" s="389"/>
      <c r="S862" s="389"/>
      <c r="T862" s="389"/>
      <c r="U862" s="389"/>
      <c r="V862" s="389"/>
      <c r="W862" s="389"/>
      <c r="X862" s="389"/>
      <c r="Y862" s="389"/>
      <c r="Z862" s="389"/>
      <c r="AA862" s="389"/>
    </row>
    <row r="863">
      <c r="A863" s="389"/>
      <c r="B863" s="389"/>
      <c r="C863" s="389"/>
      <c r="D863" s="389"/>
      <c r="E863" s="389"/>
      <c r="F863" s="389"/>
      <c r="G863" s="389"/>
      <c r="H863" s="389"/>
      <c r="I863" s="389"/>
      <c r="J863" s="389"/>
      <c r="K863" s="389"/>
      <c r="L863" s="389"/>
      <c r="M863" s="389"/>
      <c r="N863" s="389"/>
      <c r="O863" s="389"/>
      <c r="P863" s="389"/>
      <c r="Q863" s="389"/>
      <c r="R863" s="389"/>
      <c r="S863" s="389"/>
      <c r="T863" s="389"/>
      <c r="U863" s="389"/>
      <c r="V863" s="389"/>
      <c r="W863" s="389"/>
      <c r="X863" s="389"/>
      <c r="Y863" s="389"/>
      <c r="Z863" s="389"/>
      <c r="AA863" s="389"/>
    </row>
    <row r="864">
      <c r="A864" s="389"/>
      <c r="B864" s="389"/>
      <c r="C864" s="389"/>
      <c r="D864" s="389"/>
      <c r="E864" s="389"/>
      <c r="F864" s="389"/>
      <c r="G864" s="389"/>
      <c r="H864" s="389"/>
      <c r="I864" s="389"/>
      <c r="J864" s="389"/>
      <c r="K864" s="389"/>
      <c r="L864" s="389"/>
      <c r="M864" s="389"/>
      <c r="N864" s="389"/>
      <c r="O864" s="389"/>
      <c r="P864" s="389"/>
      <c r="Q864" s="389"/>
      <c r="R864" s="389"/>
      <c r="S864" s="389"/>
      <c r="T864" s="389"/>
      <c r="U864" s="389"/>
      <c r="V864" s="389"/>
      <c r="W864" s="389"/>
      <c r="X864" s="389"/>
      <c r="Y864" s="389"/>
      <c r="Z864" s="389"/>
      <c r="AA864" s="389"/>
    </row>
    <row r="865">
      <c r="A865" s="389"/>
      <c r="B865" s="389"/>
      <c r="C865" s="389"/>
      <c r="D865" s="389"/>
      <c r="E865" s="389"/>
      <c r="F865" s="389"/>
      <c r="G865" s="389"/>
      <c r="H865" s="389"/>
      <c r="I865" s="389"/>
      <c r="J865" s="389"/>
      <c r="K865" s="389"/>
      <c r="L865" s="389"/>
      <c r="M865" s="389"/>
      <c r="N865" s="389"/>
      <c r="O865" s="389"/>
      <c r="P865" s="389"/>
      <c r="Q865" s="389"/>
      <c r="R865" s="389"/>
      <c r="S865" s="389"/>
      <c r="T865" s="389"/>
      <c r="U865" s="389"/>
      <c r="V865" s="389"/>
      <c r="W865" s="389"/>
      <c r="X865" s="389"/>
      <c r="Y865" s="389"/>
      <c r="Z865" s="389"/>
      <c r="AA865" s="389"/>
    </row>
    <row r="866">
      <c r="A866" s="389"/>
      <c r="B866" s="389"/>
      <c r="C866" s="389"/>
      <c r="D866" s="389"/>
      <c r="E866" s="389"/>
      <c r="F866" s="389"/>
      <c r="G866" s="389"/>
      <c r="H866" s="389"/>
      <c r="I866" s="389"/>
      <c r="J866" s="389"/>
      <c r="K866" s="389"/>
      <c r="L866" s="389"/>
      <c r="M866" s="389"/>
      <c r="N866" s="389"/>
      <c r="O866" s="389"/>
      <c r="P866" s="389"/>
      <c r="Q866" s="389"/>
      <c r="R866" s="389"/>
      <c r="S866" s="389"/>
      <c r="T866" s="389"/>
      <c r="U866" s="389"/>
      <c r="V866" s="389"/>
      <c r="W866" s="389"/>
      <c r="X866" s="389"/>
      <c r="Y866" s="389"/>
      <c r="Z866" s="389"/>
      <c r="AA866" s="389"/>
    </row>
    <row r="867">
      <c r="A867" s="389"/>
      <c r="B867" s="389"/>
      <c r="C867" s="389"/>
      <c r="D867" s="389"/>
      <c r="E867" s="389"/>
      <c r="F867" s="389"/>
      <c r="G867" s="389"/>
      <c r="H867" s="389"/>
      <c r="I867" s="389"/>
      <c r="J867" s="389"/>
      <c r="K867" s="389"/>
      <c r="L867" s="389"/>
      <c r="M867" s="389"/>
      <c r="N867" s="389"/>
      <c r="O867" s="389"/>
      <c r="P867" s="389"/>
      <c r="Q867" s="389"/>
      <c r="R867" s="389"/>
      <c r="S867" s="389"/>
      <c r="T867" s="389"/>
      <c r="U867" s="389"/>
      <c r="V867" s="389"/>
      <c r="W867" s="389"/>
      <c r="X867" s="389"/>
      <c r="Y867" s="389"/>
      <c r="Z867" s="389"/>
      <c r="AA867" s="389"/>
    </row>
    <row r="868">
      <c r="A868" s="389"/>
      <c r="B868" s="389"/>
      <c r="C868" s="389"/>
      <c r="D868" s="389"/>
      <c r="E868" s="389"/>
      <c r="F868" s="389"/>
      <c r="G868" s="389"/>
      <c r="H868" s="389"/>
      <c r="I868" s="389"/>
      <c r="J868" s="389"/>
      <c r="K868" s="389"/>
      <c r="L868" s="389"/>
      <c r="M868" s="389"/>
      <c r="N868" s="389"/>
      <c r="O868" s="389"/>
      <c r="P868" s="389"/>
      <c r="Q868" s="389"/>
      <c r="R868" s="389"/>
      <c r="S868" s="389"/>
      <c r="T868" s="389"/>
      <c r="U868" s="389"/>
      <c r="V868" s="389"/>
      <c r="W868" s="389"/>
      <c r="X868" s="389"/>
      <c r="Y868" s="389"/>
      <c r="Z868" s="389"/>
      <c r="AA868" s="389"/>
    </row>
    <row r="869">
      <c r="A869" s="389"/>
      <c r="B869" s="389"/>
      <c r="C869" s="389"/>
      <c r="D869" s="389"/>
      <c r="E869" s="389"/>
      <c r="F869" s="389"/>
      <c r="G869" s="389"/>
      <c r="H869" s="389"/>
      <c r="I869" s="389"/>
      <c r="J869" s="389"/>
      <c r="K869" s="389"/>
      <c r="L869" s="389"/>
      <c r="M869" s="389"/>
      <c r="N869" s="389"/>
      <c r="O869" s="389"/>
      <c r="P869" s="389"/>
      <c r="Q869" s="389"/>
      <c r="R869" s="389"/>
      <c r="S869" s="389"/>
      <c r="T869" s="389"/>
      <c r="U869" s="389"/>
      <c r="V869" s="389"/>
      <c r="W869" s="389"/>
      <c r="X869" s="389"/>
      <c r="Y869" s="389"/>
      <c r="Z869" s="389"/>
      <c r="AA869" s="389"/>
    </row>
    <row r="870">
      <c r="A870" s="389"/>
      <c r="B870" s="389"/>
      <c r="C870" s="389"/>
      <c r="D870" s="389"/>
      <c r="E870" s="389"/>
      <c r="F870" s="389"/>
      <c r="G870" s="389"/>
      <c r="H870" s="389"/>
      <c r="I870" s="389"/>
      <c r="J870" s="389"/>
      <c r="K870" s="389"/>
      <c r="L870" s="389"/>
      <c r="M870" s="389"/>
      <c r="N870" s="389"/>
      <c r="O870" s="389"/>
      <c r="P870" s="389"/>
      <c r="Q870" s="389"/>
      <c r="R870" s="389"/>
      <c r="S870" s="389"/>
      <c r="T870" s="389"/>
      <c r="U870" s="389"/>
      <c r="V870" s="389"/>
      <c r="W870" s="389"/>
      <c r="X870" s="389"/>
      <c r="Y870" s="389"/>
      <c r="Z870" s="389"/>
      <c r="AA870" s="389"/>
    </row>
    <row r="871">
      <c r="A871" s="389"/>
      <c r="B871" s="389"/>
      <c r="C871" s="389"/>
      <c r="D871" s="389"/>
      <c r="E871" s="389"/>
      <c r="F871" s="389"/>
      <c r="G871" s="389"/>
      <c r="H871" s="389"/>
      <c r="I871" s="389"/>
      <c r="J871" s="389"/>
      <c r="K871" s="389"/>
      <c r="L871" s="389"/>
      <c r="M871" s="389"/>
      <c r="N871" s="389"/>
      <c r="O871" s="389"/>
      <c r="P871" s="389"/>
      <c r="Q871" s="389"/>
      <c r="R871" s="389"/>
      <c r="S871" s="389"/>
      <c r="T871" s="389"/>
      <c r="U871" s="389"/>
      <c r="V871" s="389"/>
      <c r="W871" s="389"/>
      <c r="X871" s="389"/>
      <c r="Y871" s="389"/>
      <c r="Z871" s="389"/>
      <c r="AA871" s="389"/>
    </row>
    <row r="872">
      <c r="A872" s="389"/>
      <c r="B872" s="389"/>
      <c r="C872" s="389"/>
      <c r="D872" s="389"/>
      <c r="E872" s="389"/>
      <c r="F872" s="389"/>
      <c r="G872" s="389"/>
      <c r="H872" s="389"/>
      <c r="I872" s="389"/>
      <c r="J872" s="389"/>
      <c r="K872" s="389"/>
      <c r="L872" s="389"/>
      <c r="M872" s="389"/>
      <c r="N872" s="389"/>
      <c r="O872" s="389"/>
      <c r="P872" s="389"/>
      <c r="Q872" s="389"/>
      <c r="R872" s="389"/>
      <c r="S872" s="389"/>
      <c r="T872" s="389"/>
      <c r="U872" s="389"/>
      <c r="V872" s="389"/>
      <c r="W872" s="389"/>
      <c r="X872" s="389"/>
      <c r="Y872" s="389"/>
      <c r="Z872" s="389"/>
      <c r="AA872" s="389"/>
    </row>
    <row r="873">
      <c r="A873" s="389"/>
      <c r="B873" s="389"/>
      <c r="C873" s="389"/>
      <c r="D873" s="389"/>
      <c r="E873" s="389"/>
      <c r="F873" s="389"/>
      <c r="G873" s="389"/>
      <c r="H873" s="389"/>
      <c r="I873" s="389"/>
      <c r="J873" s="389"/>
      <c r="K873" s="389"/>
      <c r="L873" s="389"/>
      <c r="M873" s="389"/>
      <c r="N873" s="389"/>
      <c r="O873" s="389"/>
      <c r="P873" s="389"/>
      <c r="Q873" s="389"/>
      <c r="R873" s="389"/>
      <c r="S873" s="389"/>
      <c r="T873" s="389"/>
      <c r="U873" s="389"/>
      <c r="V873" s="389"/>
      <c r="W873" s="389"/>
      <c r="X873" s="389"/>
      <c r="Y873" s="389"/>
      <c r="Z873" s="389"/>
      <c r="AA873" s="389"/>
    </row>
    <row r="874">
      <c r="A874" s="389"/>
      <c r="B874" s="389"/>
      <c r="C874" s="389"/>
      <c r="D874" s="389"/>
      <c r="E874" s="389"/>
      <c r="F874" s="389"/>
      <c r="G874" s="389"/>
      <c r="H874" s="389"/>
      <c r="I874" s="389"/>
      <c r="J874" s="389"/>
      <c r="K874" s="389"/>
      <c r="L874" s="389"/>
      <c r="M874" s="389"/>
      <c r="N874" s="389"/>
      <c r="O874" s="389"/>
      <c r="P874" s="389"/>
      <c r="Q874" s="389"/>
      <c r="R874" s="389"/>
      <c r="S874" s="389"/>
      <c r="T874" s="389"/>
      <c r="U874" s="389"/>
      <c r="V874" s="389"/>
      <c r="W874" s="389"/>
      <c r="X874" s="389"/>
      <c r="Y874" s="389"/>
      <c r="Z874" s="389"/>
      <c r="AA874" s="389"/>
    </row>
    <row r="875">
      <c r="A875" s="389"/>
      <c r="B875" s="389"/>
      <c r="C875" s="389"/>
      <c r="D875" s="389"/>
      <c r="E875" s="389"/>
      <c r="F875" s="389"/>
      <c r="G875" s="389"/>
      <c r="H875" s="389"/>
      <c r="I875" s="389"/>
      <c r="J875" s="389"/>
      <c r="K875" s="389"/>
      <c r="L875" s="389"/>
      <c r="M875" s="389"/>
      <c r="N875" s="389"/>
      <c r="O875" s="389"/>
      <c r="P875" s="389"/>
      <c r="Q875" s="389"/>
      <c r="R875" s="389"/>
      <c r="S875" s="389"/>
      <c r="T875" s="389"/>
      <c r="U875" s="389"/>
      <c r="V875" s="389"/>
      <c r="W875" s="389"/>
      <c r="X875" s="389"/>
      <c r="Y875" s="389"/>
      <c r="Z875" s="389"/>
      <c r="AA875" s="389"/>
    </row>
    <row r="876">
      <c r="A876" s="389"/>
      <c r="B876" s="389"/>
      <c r="C876" s="389"/>
      <c r="D876" s="389"/>
      <c r="E876" s="389"/>
      <c r="F876" s="389"/>
      <c r="G876" s="389"/>
      <c r="H876" s="389"/>
      <c r="I876" s="389"/>
      <c r="J876" s="389"/>
      <c r="K876" s="389"/>
      <c r="L876" s="389"/>
      <c r="M876" s="389"/>
      <c r="N876" s="389"/>
      <c r="O876" s="389"/>
      <c r="P876" s="389"/>
      <c r="Q876" s="389"/>
      <c r="R876" s="389"/>
      <c r="S876" s="389"/>
      <c r="T876" s="389"/>
      <c r="U876" s="389"/>
      <c r="V876" s="389"/>
      <c r="W876" s="389"/>
      <c r="X876" s="389"/>
      <c r="Y876" s="389"/>
      <c r="Z876" s="389"/>
      <c r="AA876" s="389"/>
    </row>
    <row r="877">
      <c r="A877" s="389"/>
      <c r="B877" s="389"/>
      <c r="C877" s="389"/>
      <c r="D877" s="389"/>
      <c r="E877" s="389"/>
      <c r="F877" s="389"/>
      <c r="G877" s="389"/>
      <c r="H877" s="389"/>
      <c r="I877" s="389"/>
      <c r="J877" s="389"/>
      <c r="K877" s="389"/>
      <c r="L877" s="389"/>
      <c r="M877" s="389"/>
      <c r="N877" s="389"/>
      <c r="O877" s="389"/>
      <c r="P877" s="389"/>
      <c r="Q877" s="389"/>
      <c r="R877" s="389"/>
      <c r="S877" s="389"/>
      <c r="T877" s="389"/>
      <c r="U877" s="389"/>
      <c r="V877" s="389"/>
      <c r="W877" s="389"/>
      <c r="X877" s="389"/>
      <c r="Y877" s="389"/>
      <c r="Z877" s="389"/>
      <c r="AA877" s="389"/>
    </row>
    <row r="878">
      <c r="A878" s="389"/>
      <c r="B878" s="389"/>
      <c r="C878" s="389"/>
      <c r="D878" s="389"/>
      <c r="E878" s="389"/>
      <c r="F878" s="389"/>
      <c r="G878" s="389"/>
      <c r="H878" s="389"/>
      <c r="I878" s="389"/>
      <c r="J878" s="389"/>
      <c r="K878" s="389"/>
      <c r="L878" s="389"/>
      <c r="M878" s="389"/>
      <c r="N878" s="389"/>
      <c r="O878" s="389"/>
      <c r="P878" s="389"/>
      <c r="Q878" s="389"/>
      <c r="R878" s="389"/>
      <c r="S878" s="389"/>
      <c r="T878" s="389"/>
      <c r="U878" s="389"/>
      <c r="V878" s="389"/>
      <c r="W878" s="389"/>
      <c r="X878" s="389"/>
      <c r="Y878" s="389"/>
      <c r="Z878" s="389"/>
      <c r="AA878" s="389"/>
    </row>
    <row r="879">
      <c r="A879" s="389"/>
      <c r="B879" s="389"/>
      <c r="C879" s="389"/>
      <c r="D879" s="389"/>
      <c r="E879" s="389"/>
      <c r="F879" s="389"/>
      <c r="G879" s="389"/>
      <c r="H879" s="389"/>
      <c r="I879" s="389"/>
      <c r="J879" s="389"/>
      <c r="K879" s="389"/>
      <c r="L879" s="389"/>
      <c r="M879" s="389"/>
      <c r="N879" s="389"/>
      <c r="O879" s="389"/>
      <c r="P879" s="389"/>
      <c r="Q879" s="389"/>
      <c r="R879" s="389"/>
      <c r="S879" s="389"/>
      <c r="T879" s="389"/>
      <c r="U879" s="389"/>
      <c r="V879" s="389"/>
      <c r="W879" s="389"/>
      <c r="X879" s="389"/>
      <c r="Y879" s="389"/>
      <c r="Z879" s="389"/>
      <c r="AA879" s="389"/>
    </row>
    <row r="880">
      <c r="A880" s="389"/>
      <c r="B880" s="389"/>
      <c r="C880" s="389"/>
      <c r="D880" s="389"/>
      <c r="E880" s="389"/>
      <c r="F880" s="389"/>
      <c r="G880" s="389"/>
      <c r="H880" s="389"/>
      <c r="I880" s="389"/>
      <c r="J880" s="389"/>
      <c r="K880" s="389"/>
      <c r="L880" s="389"/>
      <c r="M880" s="389"/>
      <c r="N880" s="389"/>
      <c r="O880" s="389"/>
      <c r="P880" s="389"/>
      <c r="Q880" s="389"/>
      <c r="R880" s="389"/>
      <c r="S880" s="389"/>
      <c r="T880" s="389"/>
      <c r="U880" s="389"/>
      <c r="V880" s="389"/>
      <c r="W880" s="389"/>
      <c r="X880" s="389"/>
      <c r="Y880" s="389"/>
      <c r="Z880" s="389"/>
      <c r="AA880" s="389"/>
    </row>
    <row r="881">
      <c r="A881" s="389"/>
      <c r="B881" s="389"/>
      <c r="C881" s="389"/>
      <c r="D881" s="389"/>
      <c r="E881" s="389"/>
      <c r="F881" s="389"/>
      <c r="G881" s="389"/>
      <c r="H881" s="389"/>
      <c r="I881" s="389"/>
      <c r="J881" s="389"/>
      <c r="K881" s="389"/>
      <c r="L881" s="389"/>
      <c r="M881" s="389"/>
      <c r="N881" s="389"/>
      <c r="O881" s="389"/>
      <c r="P881" s="389"/>
      <c r="Q881" s="389"/>
      <c r="R881" s="389"/>
      <c r="S881" s="389"/>
      <c r="T881" s="389"/>
      <c r="U881" s="389"/>
      <c r="V881" s="389"/>
      <c r="W881" s="389"/>
      <c r="X881" s="389"/>
      <c r="Y881" s="389"/>
      <c r="Z881" s="389"/>
      <c r="AA881" s="389"/>
    </row>
    <row r="882">
      <c r="A882" s="389"/>
      <c r="B882" s="389"/>
      <c r="C882" s="389"/>
      <c r="D882" s="389"/>
      <c r="E882" s="389"/>
      <c r="F882" s="389"/>
      <c r="G882" s="389"/>
      <c r="H882" s="389"/>
      <c r="I882" s="389"/>
      <c r="J882" s="389"/>
      <c r="K882" s="389"/>
      <c r="L882" s="389"/>
      <c r="M882" s="389"/>
      <c r="N882" s="389"/>
      <c r="O882" s="389"/>
      <c r="P882" s="389"/>
      <c r="Q882" s="389"/>
      <c r="R882" s="389"/>
      <c r="S882" s="389"/>
      <c r="T882" s="389"/>
      <c r="U882" s="389"/>
      <c r="V882" s="389"/>
      <c r="W882" s="389"/>
      <c r="X882" s="389"/>
      <c r="Y882" s="389"/>
      <c r="Z882" s="389"/>
      <c r="AA882" s="389"/>
    </row>
    <row r="883">
      <c r="A883" s="389"/>
      <c r="B883" s="389"/>
      <c r="C883" s="389"/>
      <c r="D883" s="389"/>
      <c r="E883" s="389"/>
      <c r="F883" s="389"/>
      <c r="G883" s="389"/>
      <c r="H883" s="389"/>
      <c r="I883" s="389"/>
      <c r="J883" s="389"/>
      <c r="K883" s="389"/>
      <c r="L883" s="389"/>
      <c r="M883" s="389"/>
      <c r="N883" s="389"/>
      <c r="O883" s="389"/>
      <c r="P883" s="389"/>
      <c r="Q883" s="389"/>
      <c r="R883" s="389"/>
      <c r="S883" s="389"/>
      <c r="T883" s="389"/>
      <c r="U883" s="389"/>
      <c r="V883" s="389"/>
      <c r="W883" s="389"/>
      <c r="X883" s="389"/>
      <c r="Y883" s="389"/>
      <c r="Z883" s="389"/>
      <c r="AA883" s="389"/>
    </row>
    <row r="884">
      <c r="A884" s="389"/>
      <c r="B884" s="389"/>
      <c r="C884" s="389"/>
      <c r="D884" s="389"/>
      <c r="E884" s="389"/>
      <c r="F884" s="389"/>
      <c r="G884" s="389"/>
      <c r="H884" s="389"/>
      <c r="I884" s="389"/>
      <c r="J884" s="389"/>
      <c r="K884" s="389"/>
      <c r="L884" s="389"/>
      <c r="M884" s="389"/>
      <c r="N884" s="389"/>
      <c r="O884" s="389"/>
      <c r="P884" s="389"/>
      <c r="Q884" s="389"/>
      <c r="R884" s="389"/>
      <c r="S884" s="389"/>
      <c r="T884" s="389"/>
      <c r="U884" s="389"/>
      <c r="V884" s="389"/>
      <c r="W884" s="389"/>
      <c r="X884" s="389"/>
      <c r="Y884" s="389"/>
      <c r="Z884" s="389"/>
      <c r="AA884" s="389"/>
    </row>
    <row r="885">
      <c r="A885" s="389"/>
      <c r="B885" s="389"/>
      <c r="C885" s="389"/>
      <c r="D885" s="389"/>
      <c r="E885" s="389"/>
      <c r="F885" s="389"/>
      <c r="G885" s="389"/>
      <c r="H885" s="389"/>
      <c r="I885" s="389"/>
      <c r="J885" s="389"/>
      <c r="K885" s="389"/>
      <c r="L885" s="389"/>
      <c r="M885" s="389"/>
      <c r="N885" s="389"/>
      <c r="O885" s="389"/>
      <c r="P885" s="389"/>
      <c r="Q885" s="389"/>
      <c r="R885" s="389"/>
      <c r="S885" s="389"/>
      <c r="T885" s="389"/>
      <c r="U885" s="389"/>
      <c r="V885" s="389"/>
      <c r="W885" s="389"/>
      <c r="X885" s="389"/>
      <c r="Y885" s="389"/>
      <c r="Z885" s="389"/>
      <c r="AA885" s="389"/>
    </row>
    <row r="886">
      <c r="A886" s="389"/>
      <c r="B886" s="389"/>
      <c r="C886" s="389"/>
      <c r="D886" s="389"/>
      <c r="E886" s="389"/>
      <c r="F886" s="389"/>
      <c r="G886" s="389"/>
      <c r="H886" s="389"/>
      <c r="I886" s="389"/>
      <c r="J886" s="389"/>
      <c r="K886" s="389"/>
      <c r="L886" s="389"/>
      <c r="M886" s="389"/>
      <c r="N886" s="389"/>
      <c r="O886" s="389"/>
      <c r="P886" s="389"/>
      <c r="Q886" s="389"/>
      <c r="R886" s="389"/>
      <c r="S886" s="389"/>
      <c r="T886" s="389"/>
      <c r="U886" s="389"/>
      <c r="V886" s="389"/>
      <c r="W886" s="389"/>
      <c r="X886" s="389"/>
      <c r="Y886" s="389"/>
      <c r="Z886" s="389"/>
      <c r="AA886" s="389"/>
    </row>
    <row r="887">
      <c r="A887" s="389"/>
      <c r="B887" s="389"/>
      <c r="C887" s="389"/>
      <c r="D887" s="389"/>
      <c r="E887" s="389"/>
      <c r="F887" s="389"/>
      <c r="G887" s="389"/>
      <c r="H887" s="389"/>
      <c r="I887" s="389"/>
      <c r="J887" s="389"/>
      <c r="K887" s="389"/>
      <c r="L887" s="389"/>
      <c r="M887" s="389"/>
      <c r="N887" s="389"/>
      <c r="O887" s="389"/>
      <c r="P887" s="389"/>
      <c r="Q887" s="389"/>
      <c r="R887" s="389"/>
      <c r="S887" s="389"/>
      <c r="T887" s="389"/>
      <c r="U887" s="389"/>
      <c r="V887" s="389"/>
      <c r="W887" s="389"/>
      <c r="X887" s="389"/>
      <c r="Y887" s="389"/>
      <c r="Z887" s="389"/>
      <c r="AA887" s="389"/>
    </row>
    <row r="888">
      <c r="A888" s="389"/>
      <c r="B888" s="389"/>
      <c r="C888" s="389"/>
      <c r="D888" s="389"/>
      <c r="E888" s="389"/>
      <c r="F888" s="389"/>
      <c r="G888" s="389"/>
      <c r="H888" s="389"/>
      <c r="I888" s="389"/>
      <c r="J888" s="389"/>
      <c r="K888" s="389"/>
      <c r="L888" s="389"/>
      <c r="M888" s="389"/>
      <c r="N888" s="389"/>
      <c r="O888" s="389"/>
      <c r="P888" s="389"/>
      <c r="Q888" s="389"/>
      <c r="R888" s="389"/>
      <c r="S888" s="389"/>
      <c r="T888" s="389"/>
      <c r="U888" s="389"/>
      <c r="V888" s="389"/>
      <c r="W888" s="389"/>
      <c r="X888" s="389"/>
      <c r="Y888" s="389"/>
      <c r="Z888" s="389"/>
      <c r="AA888" s="389"/>
    </row>
    <row r="889">
      <c r="A889" s="389"/>
      <c r="B889" s="389"/>
      <c r="C889" s="389"/>
      <c r="D889" s="389"/>
      <c r="E889" s="389"/>
      <c r="F889" s="389"/>
      <c r="G889" s="389"/>
      <c r="H889" s="389"/>
      <c r="I889" s="389"/>
      <c r="J889" s="389"/>
      <c r="K889" s="389"/>
      <c r="L889" s="389"/>
      <c r="M889" s="389"/>
      <c r="N889" s="389"/>
      <c r="O889" s="389"/>
      <c r="P889" s="389"/>
      <c r="Q889" s="389"/>
      <c r="R889" s="389"/>
      <c r="S889" s="389"/>
      <c r="T889" s="389"/>
      <c r="U889" s="389"/>
      <c r="V889" s="389"/>
      <c r="W889" s="389"/>
      <c r="X889" s="389"/>
      <c r="Y889" s="389"/>
      <c r="Z889" s="389"/>
      <c r="AA889" s="389"/>
    </row>
    <row r="890">
      <c r="A890" s="389"/>
      <c r="B890" s="389"/>
      <c r="C890" s="389"/>
      <c r="D890" s="389"/>
      <c r="E890" s="389"/>
      <c r="F890" s="389"/>
      <c r="G890" s="389"/>
      <c r="H890" s="389"/>
      <c r="I890" s="389"/>
      <c r="J890" s="389"/>
      <c r="K890" s="389"/>
      <c r="L890" s="389"/>
      <c r="M890" s="389"/>
      <c r="N890" s="389"/>
      <c r="O890" s="389"/>
      <c r="P890" s="389"/>
      <c r="Q890" s="389"/>
      <c r="R890" s="389"/>
      <c r="S890" s="389"/>
      <c r="T890" s="389"/>
      <c r="U890" s="389"/>
      <c r="V890" s="389"/>
      <c r="W890" s="389"/>
      <c r="X890" s="389"/>
      <c r="Y890" s="389"/>
      <c r="Z890" s="389"/>
      <c r="AA890" s="389"/>
    </row>
    <row r="891">
      <c r="A891" s="389"/>
      <c r="B891" s="389"/>
      <c r="C891" s="389"/>
      <c r="D891" s="389"/>
      <c r="E891" s="389"/>
      <c r="F891" s="389"/>
      <c r="G891" s="389"/>
      <c r="H891" s="389"/>
      <c r="I891" s="389"/>
      <c r="J891" s="389"/>
      <c r="K891" s="389"/>
      <c r="L891" s="389"/>
      <c r="M891" s="389"/>
      <c r="N891" s="389"/>
      <c r="O891" s="389"/>
      <c r="P891" s="389"/>
      <c r="Q891" s="389"/>
      <c r="R891" s="389"/>
      <c r="S891" s="389"/>
      <c r="T891" s="389"/>
      <c r="U891" s="389"/>
      <c r="V891" s="389"/>
      <c r="W891" s="389"/>
      <c r="X891" s="389"/>
      <c r="Y891" s="389"/>
      <c r="Z891" s="389"/>
      <c r="AA891" s="389"/>
    </row>
    <row r="892">
      <c r="A892" s="389"/>
      <c r="B892" s="389"/>
      <c r="C892" s="389"/>
      <c r="D892" s="389"/>
      <c r="E892" s="389"/>
      <c r="F892" s="389"/>
      <c r="G892" s="389"/>
      <c r="H892" s="389"/>
      <c r="I892" s="389"/>
      <c r="J892" s="389"/>
      <c r="K892" s="389"/>
      <c r="L892" s="389"/>
      <c r="M892" s="389"/>
      <c r="N892" s="389"/>
      <c r="O892" s="389"/>
      <c r="P892" s="389"/>
      <c r="Q892" s="389"/>
      <c r="R892" s="389"/>
      <c r="S892" s="389"/>
      <c r="T892" s="389"/>
      <c r="U892" s="389"/>
      <c r="V892" s="389"/>
      <c r="W892" s="389"/>
      <c r="X892" s="389"/>
      <c r="Y892" s="389"/>
      <c r="Z892" s="389"/>
      <c r="AA892" s="389"/>
    </row>
    <row r="893">
      <c r="A893" s="389"/>
      <c r="B893" s="389"/>
      <c r="C893" s="389"/>
      <c r="D893" s="389"/>
      <c r="E893" s="389"/>
      <c r="F893" s="389"/>
      <c r="G893" s="389"/>
      <c r="H893" s="389"/>
      <c r="I893" s="389"/>
      <c r="J893" s="389"/>
      <c r="K893" s="389"/>
      <c r="L893" s="389"/>
      <c r="M893" s="389"/>
      <c r="N893" s="389"/>
      <c r="O893" s="389"/>
      <c r="P893" s="389"/>
      <c r="Q893" s="389"/>
      <c r="R893" s="389"/>
      <c r="S893" s="389"/>
      <c r="T893" s="389"/>
      <c r="U893" s="389"/>
      <c r="V893" s="389"/>
      <c r="W893" s="389"/>
      <c r="X893" s="389"/>
      <c r="Y893" s="389"/>
      <c r="Z893" s="389"/>
      <c r="AA893" s="389"/>
    </row>
    <row r="894">
      <c r="A894" s="389"/>
      <c r="B894" s="389"/>
      <c r="C894" s="389"/>
      <c r="D894" s="389"/>
      <c r="E894" s="389"/>
      <c r="F894" s="389"/>
      <c r="G894" s="389"/>
      <c r="H894" s="389"/>
      <c r="I894" s="389"/>
      <c r="J894" s="389"/>
      <c r="K894" s="389"/>
      <c r="L894" s="389"/>
      <c r="M894" s="389"/>
      <c r="N894" s="389"/>
      <c r="O894" s="389"/>
      <c r="P894" s="389"/>
      <c r="Q894" s="389"/>
      <c r="R894" s="389"/>
      <c r="S894" s="389"/>
      <c r="T894" s="389"/>
      <c r="U894" s="389"/>
      <c r="V894" s="389"/>
      <c r="W894" s="389"/>
      <c r="X894" s="389"/>
      <c r="Y894" s="389"/>
      <c r="Z894" s="389"/>
      <c r="AA894" s="389"/>
    </row>
    <row r="895">
      <c r="A895" s="389"/>
      <c r="B895" s="389"/>
      <c r="C895" s="389"/>
      <c r="D895" s="389"/>
      <c r="E895" s="389"/>
      <c r="F895" s="389"/>
      <c r="G895" s="389"/>
      <c r="H895" s="389"/>
      <c r="I895" s="389"/>
      <c r="J895" s="389"/>
      <c r="K895" s="389"/>
      <c r="L895" s="389"/>
      <c r="M895" s="389"/>
      <c r="N895" s="389"/>
      <c r="O895" s="389"/>
      <c r="P895" s="389"/>
      <c r="Q895" s="389"/>
      <c r="R895" s="389"/>
      <c r="S895" s="389"/>
      <c r="T895" s="389"/>
      <c r="U895" s="389"/>
      <c r="V895" s="389"/>
      <c r="W895" s="389"/>
      <c r="X895" s="389"/>
      <c r="Y895" s="389"/>
      <c r="Z895" s="389"/>
      <c r="AA895" s="389"/>
    </row>
    <row r="896">
      <c r="A896" s="389"/>
      <c r="B896" s="389"/>
      <c r="C896" s="389"/>
      <c r="D896" s="389"/>
      <c r="E896" s="389"/>
      <c r="F896" s="389"/>
      <c r="G896" s="389"/>
      <c r="H896" s="389"/>
      <c r="I896" s="389"/>
      <c r="J896" s="389"/>
      <c r="K896" s="389"/>
      <c r="L896" s="389"/>
      <c r="M896" s="389"/>
      <c r="N896" s="389"/>
      <c r="O896" s="389"/>
      <c r="P896" s="389"/>
      <c r="Q896" s="389"/>
      <c r="R896" s="389"/>
      <c r="S896" s="389"/>
      <c r="T896" s="389"/>
      <c r="U896" s="389"/>
      <c r="V896" s="389"/>
      <c r="W896" s="389"/>
      <c r="X896" s="389"/>
      <c r="Y896" s="389"/>
      <c r="Z896" s="389"/>
      <c r="AA896" s="389"/>
    </row>
    <row r="897">
      <c r="A897" s="389"/>
      <c r="B897" s="389"/>
      <c r="C897" s="389"/>
      <c r="D897" s="389"/>
      <c r="E897" s="389"/>
      <c r="F897" s="389"/>
      <c r="G897" s="389"/>
      <c r="H897" s="389"/>
      <c r="I897" s="389"/>
      <c r="J897" s="389"/>
      <c r="K897" s="389"/>
      <c r="L897" s="389"/>
      <c r="M897" s="389"/>
      <c r="N897" s="389"/>
      <c r="O897" s="389"/>
      <c r="P897" s="389"/>
      <c r="Q897" s="389"/>
      <c r="R897" s="389"/>
      <c r="S897" s="389"/>
      <c r="T897" s="389"/>
      <c r="U897" s="389"/>
      <c r="V897" s="389"/>
      <c r="W897" s="389"/>
      <c r="X897" s="389"/>
      <c r="Y897" s="389"/>
      <c r="Z897" s="389"/>
      <c r="AA897" s="389"/>
    </row>
    <row r="898">
      <c r="A898" s="389"/>
      <c r="B898" s="389"/>
      <c r="C898" s="389"/>
      <c r="D898" s="389"/>
      <c r="E898" s="389"/>
      <c r="F898" s="389"/>
      <c r="G898" s="389"/>
      <c r="H898" s="389"/>
      <c r="I898" s="389"/>
      <c r="J898" s="389"/>
      <c r="K898" s="389"/>
      <c r="L898" s="389"/>
      <c r="M898" s="389"/>
      <c r="N898" s="389"/>
      <c r="O898" s="389"/>
      <c r="P898" s="389"/>
      <c r="Q898" s="389"/>
      <c r="R898" s="389"/>
      <c r="S898" s="389"/>
      <c r="T898" s="389"/>
      <c r="U898" s="389"/>
      <c r="V898" s="389"/>
      <c r="W898" s="389"/>
      <c r="X898" s="389"/>
      <c r="Y898" s="389"/>
      <c r="Z898" s="389"/>
      <c r="AA898" s="389"/>
    </row>
    <row r="899">
      <c r="A899" s="389"/>
      <c r="B899" s="389"/>
      <c r="C899" s="389"/>
      <c r="D899" s="389"/>
      <c r="E899" s="389"/>
      <c r="F899" s="389"/>
      <c r="G899" s="389"/>
      <c r="H899" s="389"/>
      <c r="I899" s="389"/>
      <c r="J899" s="389"/>
      <c r="K899" s="389"/>
      <c r="L899" s="389"/>
      <c r="M899" s="389"/>
      <c r="N899" s="389"/>
      <c r="O899" s="389"/>
      <c r="P899" s="389"/>
      <c r="Q899" s="389"/>
      <c r="R899" s="389"/>
      <c r="S899" s="389"/>
      <c r="T899" s="389"/>
      <c r="U899" s="389"/>
      <c r="V899" s="389"/>
      <c r="W899" s="389"/>
      <c r="X899" s="389"/>
      <c r="Y899" s="389"/>
      <c r="Z899" s="389"/>
      <c r="AA899" s="389"/>
    </row>
    <row r="900">
      <c r="A900" s="389"/>
      <c r="B900" s="389"/>
      <c r="C900" s="389"/>
      <c r="D900" s="389"/>
      <c r="E900" s="389"/>
      <c r="F900" s="389"/>
      <c r="G900" s="389"/>
      <c r="H900" s="389"/>
      <c r="I900" s="389"/>
      <c r="J900" s="389"/>
      <c r="K900" s="389"/>
      <c r="L900" s="389"/>
      <c r="M900" s="389"/>
      <c r="N900" s="389"/>
      <c r="O900" s="389"/>
      <c r="P900" s="389"/>
      <c r="Q900" s="389"/>
      <c r="R900" s="389"/>
      <c r="S900" s="389"/>
      <c r="T900" s="389"/>
      <c r="U900" s="389"/>
      <c r="V900" s="389"/>
      <c r="W900" s="389"/>
      <c r="X900" s="389"/>
      <c r="Y900" s="389"/>
      <c r="Z900" s="389"/>
      <c r="AA900" s="389"/>
    </row>
    <row r="901">
      <c r="A901" s="389"/>
      <c r="B901" s="389"/>
      <c r="C901" s="389"/>
      <c r="D901" s="389"/>
      <c r="E901" s="389"/>
      <c r="F901" s="389"/>
      <c r="G901" s="389"/>
      <c r="H901" s="389"/>
      <c r="I901" s="389"/>
      <c r="J901" s="389"/>
      <c r="K901" s="389"/>
      <c r="L901" s="389"/>
      <c r="M901" s="389"/>
      <c r="N901" s="389"/>
      <c r="O901" s="389"/>
      <c r="P901" s="389"/>
      <c r="Q901" s="389"/>
      <c r="R901" s="389"/>
      <c r="S901" s="389"/>
      <c r="T901" s="389"/>
      <c r="U901" s="389"/>
      <c r="V901" s="389"/>
      <c r="W901" s="389"/>
      <c r="X901" s="389"/>
      <c r="Y901" s="389"/>
      <c r="Z901" s="389"/>
      <c r="AA901" s="389"/>
    </row>
    <row r="902">
      <c r="A902" s="389"/>
      <c r="B902" s="389"/>
      <c r="C902" s="389"/>
      <c r="D902" s="389"/>
      <c r="E902" s="389"/>
      <c r="F902" s="389"/>
      <c r="G902" s="389"/>
      <c r="H902" s="389"/>
      <c r="I902" s="389"/>
      <c r="J902" s="389"/>
      <c r="K902" s="389"/>
      <c r="L902" s="389"/>
      <c r="M902" s="389"/>
      <c r="N902" s="389"/>
      <c r="O902" s="389"/>
      <c r="P902" s="389"/>
      <c r="Q902" s="389"/>
      <c r="R902" s="389"/>
      <c r="S902" s="389"/>
      <c r="T902" s="389"/>
      <c r="U902" s="389"/>
      <c r="V902" s="389"/>
      <c r="W902" s="389"/>
      <c r="X902" s="389"/>
      <c r="Y902" s="389"/>
      <c r="Z902" s="389"/>
      <c r="AA902" s="389"/>
    </row>
    <row r="903">
      <c r="A903" s="389"/>
      <c r="B903" s="389"/>
      <c r="C903" s="389"/>
      <c r="D903" s="389"/>
      <c r="E903" s="389"/>
      <c r="F903" s="389"/>
      <c r="G903" s="389"/>
      <c r="H903" s="389"/>
      <c r="I903" s="389"/>
      <c r="J903" s="389"/>
      <c r="K903" s="389"/>
      <c r="L903" s="389"/>
      <c r="M903" s="389"/>
      <c r="N903" s="389"/>
      <c r="O903" s="389"/>
      <c r="P903" s="389"/>
      <c r="Q903" s="389"/>
      <c r="R903" s="389"/>
      <c r="S903" s="389"/>
      <c r="T903" s="389"/>
      <c r="U903" s="389"/>
      <c r="V903" s="389"/>
      <c r="W903" s="389"/>
      <c r="X903" s="389"/>
      <c r="Y903" s="389"/>
      <c r="Z903" s="389"/>
      <c r="AA903" s="389"/>
    </row>
    <row r="904">
      <c r="A904" s="389"/>
      <c r="B904" s="389"/>
      <c r="C904" s="389"/>
      <c r="D904" s="389"/>
      <c r="E904" s="389"/>
      <c r="F904" s="389"/>
      <c r="G904" s="389"/>
      <c r="H904" s="389"/>
      <c r="I904" s="389"/>
      <c r="J904" s="389"/>
      <c r="K904" s="389"/>
      <c r="L904" s="389"/>
      <c r="M904" s="389"/>
      <c r="N904" s="389"/>
      <c r="O904" s="389"/>
      <c r="P904" s="389"/>
      <c r="Q904" s="389"/>
      <c r="R904" s="389"/>
      <c r="S904" s="389"/>
      <c r="T904" s="389"/>
      <c r="U904" s="389"/>
      <c r="V904" s="389"/>
      <c r="W904" s="389"/>
      <c r="X904" s="389"/>
      <c r="Y904" s="389"/>
      <c r="Z904" s="389"/>
      <c r="AA904" s="389"/>
    </row>
    <row r="905">
      <c r="A905" s="389"/>
      <c r="B905" s="389"/>
      <c r="C905" s="389"/>
      <c r="D905" s="389"/>
      <c r="E905" s="389"/>
      <c r="F905" s="389"/>
      <c r="G905" s="389"/>
      <c r="H905" s="389"/>
      <c r="I905" s="389"/>
      <c r="J905" s="389"/>
      <c r="K905" s="389"/>
      <c r="L905" s="389"/>
      <c r="M905" s="389"/>
      <c r="N905" s="389"/>
      <c r="O905" s="389"/>
      <c r="P905" s="389"/>
      <c r="Q905" s="389"/>
      <c r="R905" s="389"/>
      <c r="S905" s="389"/>
      <c r="T905" s="389"/>
      <c r="U905" s="389"/>
      <c r="V905" s="389"/>
      <c r="W905" s="389"/>
      <c r="X905" s="389"/>
      <c r="Y905" s="389"/>
      <c r="Z905" s="389"/>
      <c r="AA905" s="389"/>
    </row>
    <row r="906">
      <c r="A906" s="389"/>
      <c r="B906" s="389"/>
      <c r="C906" s="389"/>
      <c r="D906" s="389"/>
      <c r="E906" s="389"/>
      <c r="F906" s="389"/>
      <c r="G906" s="389"/>
      <c r="H906" s="389"/>
      <c r="I906" s="389"/>
      <c r="J906" s="389"/>
      <c r="K906" s="389"/>
      <c r="L906" s="389"/>
      <c r="M906" s="389"/>
      <c r="N906" s="389"/>
      <c r="O906" s="389"/>
      <c r="P906" s="389"/>
      <c r="Q906" s="389"/>
      <c r="R906" s="389"/>
      <c r="S906" s="389"/>
      <c r="T906" s="389"/>
      <c r="U906" s="389"/>
      <c r="V906" s="389"/>
      <c r="W906" s="389"/>
      <c r="X906" s="389"/>
      <c r="Y906" s="389"/>
      <c r="Z906" s="389"/>
      <c r="AA906" s="389"/>
    </row>
    <row r="907">
      <c r="A907" s="389"/>
      <c r="B907" s="389"/>
      <c r="C907" s="389"/>
      <c r="D907" s="389"/>
      <c r="E907" s="389"/>
      <c r="F907" s="389"/>
      <c r="G907" s="389"/>
      <c r="H907" s="389"/>
      <c r="I907" s="389"/>
      <c r="J907" s="389"/>
      <c r="K907" s="389"/>
      <c r="L907" s="389"/>
      <c r="M907" s="389"/>
      <c r="N907" s="389"/>
      <c r="O907" s="389"/>
      <c r="P907" s="389"/>
      <c r="Q907" s="389"/>
      <c r="R907" s="389"/>
      <c r="S907" s="389"/>
      <c r="T907" s="389"/>
      <c r="U907" s="389"/>
      <c r="V907" s="389"/>
      <c r="W907" s="389"/>
      <c r="X907" s="389"/>
      <c r="Y907" s="389"/>
      <c r="Z907" s="389"/>
      <c r="AA907" s="389"/>
    </row>
    <row r="908">
      <c r="A908" s="389"/>
      <c r="B908" s="389"/>
      <c r="C908" s="389"/>
      <c r="D908" s="389"/>
      <c r="E908" s="389"/>
      <c r="F908" s="389"/>
      <c r="G908" s="389"/>
      <c r="H908" s="389"/>
      <c r="I908" s="389"/>
      <c r="J908" s="389"/>
      <c r="K908" s="389"/>
      <c r="L908" s="389"/>
      <c r="M908" s="389"/>
      <c r="N908" s="389"/>
      <c r="O908" s="389"/>
      <c r="P908" s="389"/>
      <c r="Q908" s="389"/>
      <c r="R908" s="389"/>
      <c r="S908" s="389"/>
      <c r="T908" s="389"/>
      <c r="U908" s="389"/>
      <c r="V908" s="389"/>
      <c r="W908" s="389"/>
      <c r="X908" s="389"/>
      <c r="Y908" s="389"/>
      <c r="Z908" s="389"/>
      <c r="AA908" s="389"/>
    </row>
    <row r="909">
      <c r="A909" s="389"/>
      <c r="B909" s="389"/>
      <c r="C909" s="389"/>
      <c r="D909" s="389"/>
      <c r="E909" s="389"/>
      <c r="F909" s="389"/>
      <c r="G909" s="389"/>
      <c r="H909" s="389"/>
      <c r="I909" s="389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  <c r="AA909" s="389"/>
    </row>
    <row r="910">
      <c r="A910" s="389"/>
      <c r="B910" s="389"/>
      <c r="C910" s="389"/>
      <c r="D910" s="389"/>
      <c r="E910" s="389"/>
      <c r="F910" s="389"/>
      <c r="G910" s="389"/>
      <c r="H910" s="389"/>
      <c r="I910" s="389"/>
      <c r="J910" s="389"/>
      <c r="K910" s="389"/>
      <c r="L910" s="389"/>
      <c r="M910" s="389"/>
      <c r="N910" s="389"/>
      <c r="O910" s="389"/>
      <c r="P910" s="389"/>
      <c r="Q910" s="389"/>
      <c r="R910" s="389"/>
      <c r="S910" s="389"/>
      <c r="T910" s="389"/>
      <c r="U910" s="389"/>
      <c r="V910" s="389"/>
      <c r="W910" s="389"/>
      <c r="X910" s="389"/>
      <c r="Y910" s="389"/>
      <c r="Z910" s="389"/>
      <c r="AA910" s="389"/>
    </row>
    <row r="911">
      <c r="A911" s="389"/>
      <c r="B911" s="389"/>
      <c r="C911" s="389"/>
      <c r="D911" s="389"/>
      <c r="E911" s="389"/>
      <c r="F911" s="389"/>
      <c r="G911" s="389"/>
      <c r="H911" s="389"/>
      <c r="I911" s="389"/>
      <c r="J911" s="389"/>
      <c r="K911" s="389"/>
      <c r="L911" s="389"/>
      <c r="M911" s="389"/>
      <c r="N911" s="389"/>
      <c r="O911" s="389"/>
      <c r="P911" s="389"/>
      <c r="Q911" s="389"/>
      <c r="R911" s="389"/>
      <c r="S911" s="389"/>
      <c r="T911" s="389"/>
      <c r="U911" s="389"/>
      <c r="V911" s="389"/>
      <c r="W911" s="389"/>
      <c r="X911" s="389"/>
      <c r="Y911" s="389"/>
      <c r="Z911" s="389"/>
      <c r="AA911" s="389"/>
    </row>
    <row r="912">
      <c r="A912" s="389"/>
      <c r="B912" s="389"/>
      <c r="C912" s="389"/>
      <c r="D912" s="389"/>
      <c r="E912" s="389"/>
      <c r="F912" s="389"/>
      <c r="G912" s="389"/>
      <c r="H912" s="389"/>
      <c r="I912" s="389"/>
      <c r="J912" s="389"/>
      <c r="K912" s="389"/>
      <c r="L912" s="389"/>
      <c r="M912" s="389"/>
      <c r="N912" s="389"/>
      <c r="O912" s="389"/>
      <c r="P912" s="389"/>
      <c r="Q912" s="389"/>
      <c r="R912" s="389"/>
      <c r="S912" s="389"/>
      <c r="T912" s="389"/>
      <c r="U912" s="389"/>
      <c r="V912" s="389"/>
      <c r="W912" s="389"/>
      <c r="X912" s="389"/>
      <c r="Y912" s="389"/>
      <c r="Z912" s="389"/>
      <c r="AA912" s="389"/>
    </row>
    <row r="913">
      <c r="A913" s="389"/>
      <c r="B913" s="389"/>
      <c r="C913" s="389"/>
      <c r="D913" s="389"/>
      <c r="E913" s="389"/>
      <c r="F913" s="389"/>
      <c r="G913" s="389"/>
      <c r="H913" s="389"/>
      <c r="I913" s="389"/>
      <c r="J913" s="389"/>
      <c r="K913" s="389"/>
      <c r="L913" s="389"/>
      <c r="M913" s="389"/>
      <c r="N913" s="389"/>
      <c r="O913" s="389"/>
      <c r="P913" s="389"/>
      <c r="Q913" s="389"/>
      <c r="R913" s="389"/>
      <c r="S913" s="389"/>
      <c r="T913" s="389"/>
      <c r="U913" s="389"/>
      <c r="V913" s="389"/>
      <c r="W913" s="389"/>
      <c r="X913" s="389"/>
      <c r="Y913" s="389"/>
      <c r="Z913" s="389"/>
      <c r="AA913" s="389"/>
    </row>
    <row r="914">
      <c r="A914" s="389"/>
      <c r="B914" s="389"/>
      <c r="C914" s="389"/>
      <c r="D914" s="389"/>
      <c r="E914" s="389"/>
      <c r="F914" s="389"/>
      <c r="G914" s="389"/>
      <c r="H914" s="389"/>
      <c r="I914" s="389"/>
      <c r="J914" s="389"/>
      <c r="K914" s="389"/>
      <c r="L914" s="389"/>
      <c r="M914" s="389"/>
      <c r="N914" s="389"/>
      <c r="O914" s="389"/>
      <c r="P914" s="389"/>
      <c r="Q914" s="389"/>
      <c r="R914" s="389"/>
      <c r="S914" s="389"/>
      <c r="T914" s="389"/>
      <c r="U914" s="389"/>
      <c r="V914" s="389"/>
      <c r="W914" s="389"/>
      <c r="X914" s="389"/>
      <c r="Y914" s="389"/>
      <c r="Z914" s="389"/>
      <c r="AA914" s="389"/>
    </row>
    <row r="915">
      <c r="A915" s="389"/>
      <c r="B915" s="389"/>
      <c r="C915" s="389"/>
      <c r="D915" s="389"/>
      <c r="E915" s="389"/>
      <c r="F915" s="389"/>
      <c r="G915" s="389"/>
      <c r="H915" s="389"/>
      <c r="I915" s="389"/>
      <c r="J915" s="389"/>
      <c r="K915" s="389"/>
      <c r="L915" s="389"/>
      <c r="M915" s="389"/>
      <c r="N915" s="389"/>
      <c r="O915" s="389"/>
      <c r="P915" s="389"/>
      <c r="Q915" s="389"/>
      <c r="R915" s="389"/>
      <c r="S915" s="389"/>
      <c r="T915" s="389"/>
      <c r="U915" s="389"/>
      <c r="V915" s="389"/>
      <c r="W915" s="389"/>
      <c r="X915" s="389"/>
      <c r="Y915" s="389"/>
      <c r="Z915" s="389"/>
      <c r="AA915" s="389"/>
    </row>
    <row r="916">
      <c r="A916" s="389"/>
      <c r="B916" s="389"/>
      <c r="C916" s="389"/>
      <c r="D916" s="389"/>
      <c r="E916" s="389"/>
      <c r="F916" s="389"/>
      <c r="G916" s="389"/>
      <c r="H916" s="389"/>
      <c r="I916" s="389"/>
      <c r="J916" s="389"/>
      <c r="K916" s="389"/>
      <c r="L916" s="389"/>
      <c r="M916" s="389"/>
      <c r="N916" s="389"/>
      <c r="O916" s="389"/>
      <c r="P916" s="389"/>
      <c r="Q916" s="389"/>
      <c r="R916" s="389"/>
      <c r="S916" s="389"/>
      <c r="T916" s="389"/>
      <c r="U916" s="389"/>
      <c r="V916" s="389"/>
      <c r="W916" s="389"/>
      <c r="X916" s="389"/>
      <c r="Y916" s="389"/>
      <c r="Z916" s="389"/>
      <c r="AA916" s="389"/>
    </row>
    <row r="917">
      <c r="A917" s="389"/>
      <c r="B917" s="389"/>
      <c r="C917" s="389"/>
      <c r="D917" s="389"/>
      <c r="E917" s="389"/>
      <c r="F917" s="389"/>
      <c r="G917" s="389"/>
      <c r="H917" s="389"/>
      <c r="I917" s="389"/>
      <c r="J917" s="389"/>
      <c r="K917" s="389"/>
      <c r="L917" s="389"/>
      <c r="M917" s="389"/>
      <c r="N917" s="389"/>
      <c r="O917" s="389"/>
      <c r="P917" s="389"/>
      <c r="Q917" s="389"/>
      <c r="R917" s="389"/>
      <c r="S917" s="389"/>
      <c r="T917" s="389"/>
      <c r="U917" s="389"/>
      <c r="V917" s="389"/>
      <c r="W917" s="389"/>
      <c r="X917" s="389"/>
      <c r="Y917" s="389"/>
      <c r="Z917" s="389"/>
      <c r="AA917" s="389"/>
    </row>
    <row r="918">
      <c r="A918" s="389"/>
      <c r="B918" s="389"/>
      <c r="C918" s="389"/>
      <c r="D918" s="389"/>
      <c r="E918" s="389"/>
      <c r="F918" s="389"/>
      <c r="G918" s="389"/>
      <c r="H918" s="389"/>
      <c r="I918" s="389"/>
      <c r="J918" s="389"/>
      <c r="K918" s="389"/>
      <c r="L918" s="389"/>
      <c r="M918" s="389"/>
      <c r="N918" s="389"/>
      <c r="O918" s="389"/>
      <c r="P918" s="389"/>
      <c r="Q918" s="389"/>
      <c r="R918" s="389"/>
      <c r="S918" s="389"/>
      <c r="T918" s="389"/>
      <c r="U918" s="389"/>
      <c r="V918" s="389"/>
      <c r="W918" s="389"/>
      <c r="X918" s="389"/>
      <c r="Y918" s="389"/>
      <c r="Z918" s="389"/>
      <c r="AA918" s="389"/>
    </row>
    <row r="919">
      <c r="A919" s="389"/>
      <c r="B919" s="389"/>
      <c r="C919" s="389"/>
      <c r="D919" s="389"/>
      <c r="E919" s="389"/>
      <c r="F919" s="389"/>
      <c r="G919" s="389"/>
      <c r="H919" s="389"/>
      <c r="I919" s="389"/>
      <c r="J919" s="389"/>
      <c r="K919" s="389"/>
      <c r="L919" s="389"/>
      <c r="M919" s="389"/>
      <c r="N919" s="389"/>
      <c r="O919" s="389"/>
      <c r="P919" s="389"/>
      <c r="Q919" s="389"/>
      <c r="R919" s="389"/>
      <c r="S919" s="389"/>
      <c r="T919" s="389"/>
      <c r="U919" s="389"/>
      <c r="V919" s="389"/>
      <c r="W919" s="389"/>
      <c r="X919" s="389"/>
      <c r="Y919" s="389"/>
      <c r="Z919" s="389"/>
      <c r="AA919" s="389"/>
    </row>
    <row r="920">
      <c r="A920" s="389"/>
      <c r="B920" s="389"/>
      <c r="C920" s="389"/>
      <c r="D920" s="389"/>
      <c r="E920" s="389"/>
      <c r="F920" s="389"/>
      <c r="G920" s="389"/>
      <c r="H920" s="389"/>
      <c r="I920" s="389"/>
      <c r="J920" s="389"/>
      <c r="K920" s="389"/>
      <c r="L920" s="389"/>
      <c r="M920" s="389"/>
      <c r="N920" s="389"/>
      <c r="O920" s="389"/>
      <c r="P920" s="389"/>
      <c r="Q920" s="389"/>
      <c r="R920" s="389"/>
      <c r="S920" s="389"/>
      <c r="T920" s="389"/>
      <c r="U920" s="389"/>
      <c r="V920" s="389"/>
      <c r="W920" s="389"/>
      <c r="X920" s="389"/>
      <c r="Y920" s="389"/>
      <c r="Z920" s="389"/>
      <c r="AA920" s="389"/>
    </row>
    <row r="921">
      <c r="A921" s="389"/>
      <c r="B921" s="389"/>
      <c r="C921" s="389"/>
      <c r="D921" s="389"/>
      <c r="E921" s="389"/>
      <c r="F921" s="389"/>
      <c r="G921" s="389"/>
      <c r="H921" s="389"/>
      <c r="I921" s="389"/>
      <c r="J921" s="389"/>
      <c r="K921" s="389"/>
      <c r="L921" s="389"/>
      <c r="M921" s="389"/>
      <c r="N921" s="389"/>
      <c r="O921" s="389"/>
      <c r="P921" s="389"/>
      <c r="Q921" s="389"/>
      <c r="R921" s="389"/>
      <c r="S921" s="389"/>
      <c r="T921" s="389"/>
      <c r="U921" s="389"/>
      <c r="V921" s="389"/>
      <c r="W921" s="389"/>
      <c r="X921" s="389"/>
      <c r="Y921" s="389"/>
      <c r="Z921" s="389"/>
      <c r="AA921" s="389"/>
    </row>
    <row r="922">
      <c r="A922" s="389"/>
      <c r="B922" s="389"/>
      <c r="C922" s="389"/>
      <c r="D922" s="389"/>
      <c r="E922" s="389"/>
      <c r="F922" s="389"/>
      <c r="G922" s="389"/>
      <c r="H922" s="389"/>
      <c r="I922" s="389"/>
      <c r="J922" s="389"/>
      <c r="K922" s="389"/>
      <c r="L922" s="389"/>
      <c r="M922" s="389"/>
      <c r="N922" s="389"/>
      <c r="O922" s="389"/>
      <c r="P922" s="389"/>
      <c r="Q922" s="389"/>
      <c r="R922" s="389"/>
      <c r="S922" s="389"/>
      <c r="T922" s="389"/>
      <c r="U922" s="389"/>
      <c r="V922" s="389"/>
      <c r="W922" s="389"/>
      <c r="X922" s="389"/>
      <c r="Y922" s="389"/>
      <c r="Z922" s="389"/>
      <c r="AA922" s="389"/>
    </row>
    <row r="923">
      <c r="A923" s="389"/>
      <c r="B923" s="389"/>
      <c r="C923" s="389"/>
      <c r="D923" s="389"/>
      <c r="E923" s="389"/>
      <c r="F923" s="389"/>
      <c r="G923" s="389"/>
      <c r="H923" s="389"/>
      <c r="I923" s="389"/>
      <c r="J923" s="389"/>
      <c r="K923" s="389"/>
      <c r="L923" s="389"/>
      <c r="M923" s="389"/>
      <c r="N923" s="389"/>
      <c r="O923" s="389"/>
      <c r="P923" s="389"/>
      <c r="Q923" s="389"/>
      <c r="R923" s="389"/>
      <c r="S923" s="389"/>
      <c r="T923" s="389"/>
      <c r="U923" s="389"/>
      <c r="V923" s="389"/>
      <c r="W923" s="389"/>
      <c r="X923" s="389"/>
      <c r="Y923" s="389"/>
      <c r="Z923" s="389"/>
      <c r="AA923" s="389"/>
    </row>
    <row r="924">
      <c r="A924" s="389"/>
      <c r="B924" s="389"/>
      <c r="C924" s="389"/>
      <c r="D924" s="389"/>
      <c r="E924" s="389"/>
      <c r="F924" s="389"/>
      <c r="G924" s="389"/>
      <c r="H924" s="389"/>
      <c r="I924" s="389"/>
      <c r="J924" s="389"/>
      <c r="K924" s="389"/>
      <c r="L924" s="389"/>
      <c r="M924" s="389"/>
      <c r="N924" s="389"/>
      <c r="O924" s="389"/>
      <c r="P924" s="389"/>
      <c r="Q924" s="389"/>
      <c r="R924" s="389"/>
      <c r="S924" s="389"/>
      <c r="T924" s="389"/>
      <c r="U924" s="389"/>
      <c r="V924" s="389"/>
      <c r="W924" s="389"/>
      <c r="X924" s="389"/>
      <c r="Y924" s="389"/>
      <c r="Z924" s="389"/>
      <c r="AA924" s="389"/>
    </row>
    <row r="925">
      <c r="A925" s="389"/>
      <c r="B925" s="389"/>
      <c r="C925" s="389"/>
      <c r="D925" s="389"/>
      <c r="E925" s="389"/>
      <c r="F925" s="389"/>
      <c r="G925" s="389"/>
      <c r="H925" s="389"/>
      <c r="I925" s="389"/>
      <c r="J925" s="389"/>
      <c r="K925" s="389"/>
      <c r="L925" s="389"/>
      <c r="M925" s="389"/>
      <c r="N925" s="389"/>
      <c r="O925" s="389"/>
      <c r="P925" s="389"/>
      <c r="Q925" s="389"/>
      <c r="R925" s="389"/>
      <c r="S925" s="389"/>
      <c r="T925" s="389"/>
      <c r="U925" s="389"/>
      <c r="V925" s="389"/>
      <c r="W925" s="389"/>
      <c r="X925" s="389"/>
      <c r="Y925" s="389"/>
      <c r="Z925" s="389"/>
      <c r="AA925" s="389"/>
    </row>
    <row r="926">
      <c r="A926" s="389"/>
      <c r="B926" s="389"/>
      <c r="C926" s="389"/>
      <c r="D926" s="389"/>
      <c r="E926" s="389"/>
      <c r="F926" s="389"/>
      <c r="G926" s="389"/>
      <c r="H926" s="389"/>
      <c r="I926" s="389"/>
      <c r="J926" s="389"/>
      <c r="K926" s="389"/>
      <c r="L926" s="389"/>
      <c r="M926" s="389"/>
      <c r="N926" s="389"/>
      <c r="O926" s="389"/>
      <c r="P926" s="389"/>
      <c r="Q926" s="389"/>
      <c r="R926" s="389"/>
      <c r="S926" s="389"/>
      <c r="T926" s="389"/>
      <c r="U926" s="389"/>
      <c r="V926" s="389"/>
      <c r="W926" s="389"/>
      <c r="X926" s="389"/>
      <c r="Y926" s="389"/>
      <c r="Z926" s="389"/>
      <c r="AA926" s="389"/>
    </row>
    <row r="927">
      <c r="A927" s="389"/>
      <c r="B927" s="389"/>
      <c r="C927" s="389"/>
      <c r="D927" s="389"/>
      <c r="E927" s="389"/>
      <c r="F927" s="389"/>
      <c r="G927" s="389"/>
      <c r="H927" s="389"/>
      <c r="I927" s="389"/>
      <c r="J927" s="389"/>
      <c r="K927" s="389"/>
      <c r="L927" s="389"/>
      <c r="M927" s="389"/>
      <c r="N927" s="389"/>
      <c r="O927" s="389"/>
      <c r="P927" s="389"/>
      <c r="Q927" s="389"/>
      <c r="R927" s="389"/>
      <c r="S927" s="389"/>
      <c r="T927" s="389"/>
      <c r="U927" s="389"/>
      <c r="V927" s="389"/>
      <c r="W927" s="389"/>
      <c r="X927" s="389"/>
      <c r="Y927" s="389"/>
      <c r="Z927" s="389"/>
      <c r="AA927" s="389"/>
    </row>
    <row r="928">
      <c r="A928" s="389"/>
      <c r="B928" s="389"/>
      <c r="C928" s="389"/>
      <c r="D928" s="389"/>
      <c r="E928" s="389"/>
      <c r="F928" s="389"/>
      <c r="G928" s="389"/>
      <c r="H928" s="389"/>
      <c r="I928" s="389"/>
      <c r="J928" s="389"/>
      <c r="K928" s="389"/>
      <c r="L928" s="389"/>
      <c r="M928" s="389"/>
      <c r="N928" s="389"/>
      <c r="O928" s="389"/>
      <c r="P928" s="389"/>
      <c r="Q928" s="389"/>
      <c r="R928" s="389"/>
      <c r="S928" s="389"/>
      <c r="T928" s="389"/>
      <c r="U928" s="389"/>
      <c r="V928" s="389"/>
      <c r="W928" s="389"/>
      <c r="X928" s="389"/>
      <c r="Y928" s="389"/>
      <c r="Z928" s="389"/>
      <c r="AA928" s="389"/>
    </row>
    <row r="929">
      <c r="A929" s="389"/>
      <c r="B929" s="389"/>
      <c r="C929" s="389"/>
      <c r="D929" s="389"/>
      <c r="E929" s="389"/>
      <c r="F929" s="389"/>
      <c r="G929" s="389"/>
      <c r="H929" s="389"/>
      <c r="I929" s="389"/>
      <c r="J929" s="389"/>
      <c r="K929" s="389"/>
      <c r="L929" s="389"/>
      <c r="M929" s="389"/>
      <c r="N929" s="389"/>
      <c r="O929" s="389"/>
      <c r="P929" s="389"/>
      <c r="Q929" s="389"/>
      <c r="R929" s="389"/>
      <c r="S929" s="389"/>
      <c r="T929" s="389"/>
      <c r="U929" s="389"/>
      <c r="V929" s="389"/>
      <c r="W929" s="389"/>
      <c r="X929" s="389"/>
      <c r="Y929" s="389"/>
      <c r="Z929" s="389"/>
      <c r="AA929" s="389"/>
    </row>
    <row r="930">
      <c r="A930" s="389"/>
      <c r="B930" s="389"/>
      <c r="C930" s="389"/>
      <c r="D930" s="389"/>
      <c r="E930" s="389"/>
      <c r="F930" s="389"/>
      <c r="G930" s="389"/>
      <c r="H930" s="389"/>
      <c r="I930" s="389"/>
      <c r="J930" s="389"/>
      <c r="K930" s="389"/>
      <c r="L930" s="389"/>
      <c r="M930" s="389"/>
      <c r="N930" s="389"/>
      <c r="O930" s="389"/>
      <c r="P930" s="389"/>
      <c r="Q930" s="389"/>
      <c r="R930" s="389"/>
      <c r="S930" s="389"/>
      <c r="T930" s="389"/>
      <c r="U930" s="389"/>
      <c r="V930" s="389"/>
      <c r="W930" s="389"/>
      <c r="X930" s="389"/>
      <c r="Y930" s="389"/>
      <c r="Z930" s="389"/>
      <c r="AA930" s="389"/>
    </row>
    <row r="931">
      <c r="A931" s="389"/>
      <c r="B931" s="389"/>
      <c r="C931" s="389"/>
      <c r="D931" s="389"/>
      <c r="E931" s="389"/>
      <c r="F931" s="389"/>
      <c r="G931" s="389"/>
      <c r="H931" s="389"/>
      <c r="I931" s="389"/>
      <c r="J931" s="389"/>
      <c r="K931" s="389"/>
      <c r="L931" s="389"/>
      <c r="M931" s="389"/>
      <c r="N931" s="389"/>
      <c r="O931" s="389"/>
      <c r="P931" s="389"/>
      <c r="Q931" s="389"/>
      <c r="R931" s="389"/>
      <c r="S931" s="389"/>
      <c r="T931" s="389"/>
      <c r="U931" s="389"/>
      <c r="V931" s="389"/>
      <c r="W931" s="389"/>
      <c r="X931" s="389"/>
      <c r="Y931" s="389"/>
      <c r="Z931" s="389"/>
      <c r="AA931" s="389"/>
    </row>
    <row r="932">
      <c r="A932" s="389"/>
      <c r="B932" s="389"/>
      <c r="C932" s="389"/>
      <c r="D932" s="389"/>
      <c r="E932" s="389"/>
      <c r="F932" s="389"/>
      <c r="G932" s="389"/>
      <c r="H932" s="389"/>
      <c r="I932" s="389"/>
      <c r="J932" s="389"/>
      <c r="K932" s="389"/>
      <c r="L932" s="389"/>
      <c r="M932" s="389"/>
      <c r="N932" s="389"/>
      <c r="O932" s="389"/>
      <c r="P932" s="389"/>
      <c r="Q932" s="389"/>
      <c r="R932" s="389"/>
      <c r="S932" s="389"/>
      <c r="T932" s="389"/>
      <c r="U932" s="389"/>
      <c r="V932" s="389"/>
      <c r="W932" s="389"/>
      <c r="X932" s="389"/>
      <c r="Y932" s="389"/>
      <c r="Z932" s="389"/>
      <c r="AA932" s="389"/>
    </row>
    <row r="933">
      <c r="A933" s="389"/>
      <c r="B933" s="389"/>
      <c r="C933" s="389"/>
      <c r="D933" s="389"/>
      <c r="E933" s="389"/>
      <c r="F933" s="389"/>
      <c r="G933" s="389"/>
      <c r="H933" s="389"/>
      <c r="I933" s="389"/>
      <c r="J933" s="389"/>
      <c r="K933" s="389"/>
      <c r="L933" s="389"/>
      <c r="M933" s="389"/>
      <c r="N933" s="389"/>
      <c r="O933" s="389"/>
      <c r="P933" s="389"/>
      <c r="Q933" s="389"/>
      <c r="R933" s="389"/>
      <c r="S933" s="389"/>
      <c r="T933" s="389"/>
      <c r="U933" s="389"/>
      <c r="V933" s="389"/>
      <c r="W933" s="389"/>
      <c r="X933" s="389"/>
      <c r="Y933" s="389"/>
      <c r="Z933" s="389"/>
      <c r="AA933" s="389"/>
    </row>
    <row r="934">
      <c r="A934" s="389"/>
      <c r="B934" s="389"/>
      <c r="C934" s="389"/>
      <c r="D934" s="389"/>
      <c r="E934" s="389"/>
      <c r="F934" s="389"/>
      <c r="G934" s="389"/>
      <c r="H934" s="389"/>
      <c r="I934" s="389"/>
      <c r="J934" s="389"/>
      <c r="K934" s="389"/>
      <c r="L934" s="389"/>
      <c r="M934" s="389"/>
      <c r="N934" s="389"/>
      <c r="O934" s="389"/>
      <c r="P934" s="389"/>
      <c r="Q934" s="389"/>
      <c r="R934" s="389"/>
      <c r="S934" s="389"/>
      <c r="T934" s="389"/>
      <c r="U934" s="389"/>
      <c r="V934" s="389"/>
      <c r="W934" s="389"/>
      <c r="X934" s="389"/>
      <c r="Y934" s="389"/>
      <c r="Z934" s="389"/>
      <c r="AA934" s="389"/>
    </row>
    <row r="935">
      <c r="A935" s="389"/>
      <c r="B935" s="389"/>
      <c r="C935" s="389"/>
      <c r="D935" s="389"/>
      <c r="E935" s="389"/>
      <c r="F935" s="389"/>
      <c r="G935" s="389"/>
      <c r="H935" s="389"/>
      <c r="I935" s="389"/>
      <c r="J935" s="389"/>
      <c r="K935" s="389"/>
      <c r="L935" s="389"/>
      <c r="M935" s="389"/>
      <c r="N935" s="389"/>
      <c r="O935" s="389"/>
      <c r="P935" s="389"/>
      <c r="Q935" s="389"/>
      <c r="R935" s="389"/>
      <c r="S935" s="389"/>
      <c r="T935" s="389"/>
      <c r="U935" s="389"/>
      <c r="V935" s="389"/>
      <c r="W935" s="389"/>
      <c r="X935" s="389"/>
      <c r="Y935" s="389"/>
      <c r="Z935" s="389"/>
      <c r="AA935" s="389"/>
    </row>
    <row r="936">
      <c r="A936" s="389"/>
      <c r="B936" s="389"/>
      <c r="C936" s="389"/>
      <c r="D936" s="389"/>
      <c r="E936" s="389"/>
      <c r="F936" s="389"/>
      <c r="G936" s="389"/>
      <c r="H936" s="389"/>
      <c r="I936" s="389"/>
      <c r="J936" s="389"/>
      <c r="K936" s="389"/>
      <c r="L936" s="389"/>
      <c r="M936" s="389"/>
      <c r="N936" s="389"/>
      <c r="O936" s="389"/>
      <c r="P936" s="389"/>
      <c r="Q936" s="389"/>
      <c r="R936" s="389"/>
      <c r="S936" s="389"/>
      <c r="T936" s="389"/>
      <c r="U936" s="389"/>
      <c r="V936" s="389"/>
      <c r="W936" s="389"/>
      <c r="X936" s="389"/>
      <c r="Y936" s="389"/>
      <c r="Z936" s="389"/>
      <c r="AA936" s="389"/>
    </row>
    <row r="937">
      <c r="A937" s="389"/>
      <c r="B937" s="389"/>
      <c r="C937" s="389"/>
      <c r="D937" s="389"/>
      <c r="E937" s="389"/>
      <c r="F937" s="389"/>
      <c r="G937" s="389"/>
      <c r="H937" s="389"/>
      <c r="I937" s="389"/>
      <c r="J937" s="389"/>
      <c r="K937" s="389"/>
      <c r="L937" s="389"/>
      <c r="M937" s="389"/>
      <c r="N937" s="389"/>
      <c r="O937" s="389"/>
      <c r="P937" s="389"/>
      <c r="Q937" s="389"/>
      <c r="R937" s="389"/>
      <c r="S937" s="389"/>
      <c r="T937" s="389"/>
      <c r="U937" s="389"/>
      <c r="V937" s="389"/>
      <c r="W937" s="389"/>
      <c r="X937" s="389"/>
      <c r="Y937" s="389"/>
      <c r="Z937" s="389"/>
      <c r="AA937" s="389"/>
    </row>
    <row r="938">
      <c r="A938" s="389"/>
      <c r="B938" s="389"/>
      <c r="C938" s="389"/>
      <c r="D938" s="389"/>
      <c r="E938" s="389"/>
      <c r="F938" s="389"/>
      <c r="G938" s="389"/>
      <c r="H938" s="389"/>
      <c r="I938" s="389"/>
      <c r="J938" s="389"/>
      <c r="K938" s="389"/>
      <c r="L938" s="389"/>
      <c r="M938" s="389"/>
      <c r="N938" s="389"/>
      <c r="O938" s="389"/>
      <c r="P938" s="389"/>
      <c r="Q938" s="389"/>
      <c r="R938" s="389"/>
      <c r="S938" s="389"/>
      <c r="T938" s="389"/>
      <c r="U938" s="389"/>
      <c r="V938" s="389"/>
      <c r="W938" s="389"/>
      <c r="X938" s="389"/>
      <c r="Y938" s="389"/>
      <c r="Z938" s="389"/>
      <c r="AA938" s="389"/>
    </row>
    <row r="939">
      <c r="A939" s="389"/>
      <c r="B939" s="389"/>
      <c r="C939" s="389"/>
      <c r="D939" s="389"/>
      <c r="E939" s="389"/>
      <c r="F939" s="389"/>
      <c r="G939" s="389"/>
      <c r="H939" s="389"/>
      <c r="I939" s="389"/>
      <c r="J939" s="389"/>
      <c r="K939" s="389"/>
      <c r="L939" s="389"/>
      <c r="M939" s="389"/>
      <c r="N939" s="389"/>
      <c r="O939" s="389"/>
      <c r="P939" s="389"/>
      <c r="Q939" s="389"/>
      <c r="R939" s="389"/>
      <c r="S939" s="389"/>
      <c r="T939" s="389"/>
      <c r="U939" s="389"/>
      <c r="V939" s="389"/>
      <c r="W939" s="389"/>
      <c r="X939" s="389"/>
      <c r="Y939" s="389"/>
      <c r="Z939" s="389"/>
      <c r="AA939" s="389"/>
    </row>
    <row r="940">
      <c r="A940" s="389"/>
      <c r="B940" s="389"/>
      <c r="C940" s="389"/>
      <c r="D940" s="389"/>
      <c r="E940" s="389"/>
      <c r="F940" s="389"/>
      <c r="G940" s="389"/>
      <c r="H940" s="389"/>
      <c r="I940" s="389"/>
      <c r="J940" s="389"/>
      <c r="K940" s="389"/>
      <c r="L940" s="389"/>
      <c r="M940" s="389"/>
      <c r="N940" s="389"/>
      <c r="O940" s="389"/>
      <c r="P940" s="389"/>
      <c r="Q940" s="389"/>
      <c r="R940" s="389"/>
      <c r="S940" s="389"/>
      <c r="T940" s="389"/>
      <c r="U940" s="389"/>
      <c r="V940" s="389"/>
      <c r="W940" s="389"/>
      <c r="X940" s="389"/>
      <c r="Y940" s="389"/>
      <c r="Z940" s="389"/>
      <c r="AA940" s="389"/>
    </row>
    <row r="941">
      <c r="A941" s="389"/>
      <c r="B941" s="389"/>
      <c r="C941" s="389"/>
      <c r="D941" s="389"/>
      <c r="E941" s="389"/>
      <c r="F941" s="389"/>
      <c r="G941" s="389"/>
      <c r="H941" s="389"/>
      <c r="I941" s="389"/>
      <c r="J941" s="389"/>
      <c r="K941" s="389"/>
      <c r="L941" s="389"/>
      <c r="M941" s="389"/>
      <c r="N941" s="389"/>
      <c r="O941" s="389"/>
      <c r="P941" s="389"/>
      <c r="Q941" s="389"/>
      <c r="R941" s="389"/>
      <c r="S941" s="389"/>
      <c r="T941" s="389"/>
      <c r="U941" s="389"/>
      <c r="V941" s="389"/>
      <c r="W941" s="389"/>
      <c r="X941" s="389"/>
      <c r="Y941" s="389"/>
      <c r="Z941" s="389"/>
      <c r="AA941" s="389"/>
    </row>
    <row r="942">
      <c r="A942" s="389"/>
      <c r="B942" s="389"/>
      <c r="C942" s="389"/>
      <c r="D942" s="389"/>
      <c r="E942" s="389"/>
      <c r="F942" s="389"/>
      <c r="G942" s="389"/>
      <c r="H942" s="389"/>
      <c r="I942" s="389"/>
      <c r="J942" s="389"/>
      <c r="K942" s="389"/>
      <c r="L942" s="389"/>
      <c r="M942" s="389"/>
      <c r="N942" s="389"/>
      <c r="O942" s="389"/>
      <c r="P942" s="389"/>
      <c r="Q942" s="389"/>
      <c r="R942" s="389"/>
      <c r="S942" s="389"/>
      <c r="T942" s="389"/>
      <c r="U942" s="389"/>
      <c r="V942" s="389"/>
      <c r="W942" s="389"/>
      <c r="X942" s="389"/>
      <c r="Y942" s="389"/>
      <c r="Z942" s="389"/>
      <c r="AA942" s="389"/>
    </row>
    <row r="943">
      <c r="A943" s="389"/>
      <c r="B943" s="389"/>
      <c r="C943" s="389"/>
      <c r="D943" s="389"/>
      <c r="E943" s="389"/>
      <c r="F943" s="389"/>
      <c r="G943" s="389"/>
      <c r="H943" s="389"/>
      <c r="I943" s="389"/>
      <c r="J943" s="389"/>
      <c r="K943" s="389"/>
      <c r="L943" s="389"/>
      <c r="M943" s="389"/>
      <c r="N943" s="389"/>
      <c r="O943" s="389"/>
      <c r="P943" s="389"/>
      <c r="Q943" s="389"/>
      <c r="R943" s="389"/>
      <c r="S943" s="389"/>
      <c r="T943" s="389"/>
      <c r="U943" s="389"/>
      <c r="V943" s="389"/>
      <c r="W943" s="389"/>
      <c r="X943" s="389"/>
      <c r="Y943" s="389"/>
      <c r="Z943" s="389"/>
      <c r="AA943" s="389"/>
    </row>
    <row r="944">
      <c r="A944" s="389"/>
      <c r="B944" s="389"/>
      <c r="C944" s="389"/>
      <c r="D944" s="389"/>
      <c r="E944" s="389"/>
      <c r="F944" s="389"/>
      <c r="G944" s="389"/>
      <c r="H944" s="389"/>
      <c r="I944" s="389"/>
      <c r="J944" s="389"/>
      <c r="K944" s="389"/>
      <c r="L944" s="389"/>
      <c r="M944" s="389"/>
      <c r="N944" s="389"/>
      <c r="O944" s="389"/>
      <c r="P944" s="389"/>
      <c r="Q944" s="389"/>
      <c r="R944" s="389"/>
      <c r="S944" s="389"/>
      <c r="T944" s="389"/>
      <c r="U944" s="389"/>
      <c r="V944" s="389"/>
      <c r="W944" s="389"/>
      <c r="X944" s="389"/>
      <c r="Y944" s="389"/>
      <c r="Z944" s="389"/>
      <c r="AA944" s="389"/>
    </row>
    <row r="945">
      <c r="A945" s="389"/>
      <c r="B945" s="389"/>
      <c r="C945" s="389"/>
      <c r="D945" s="389"/>
      <c r="E945" s="389"/>
      <c r="F945" s="389"/>
      <c r="G945" s="389"/>
      <c r="H945" s="389"/>
      <c r="I945" s="389"/>
      <c r="J945" s="389"/>
      <c r="K945" s="389"/>
      <c r="L945" s="389"/>
      <c r="M945" s="389"/>
      <c r="N945" s="389"/>
      <c r="O945" s="389"/>
      <c r="P945" s="389"/>
      <c r="Q945" s="389"/>
      <c r="R945" s="389"/>
      <c r="S945" s="389"/>
      <c r="T945" s="389"/>
      <c r="U945" s="389"/>
      <c r="V945" s="389"/>
      <c r="W945" s="389"/>
      <c r="X945" s="389"/>
      <c r="Y945" s="389"/>
      <c r="Z945" s="389"/>
      <c r="AA945" s="389"/>
    </row>
    <row r="946">
      <c r="A946" s="389"/>
      <c r="B946" s="389"/>
      <c r="C946" s="389"/>
      <c r="D946" s="389"/>
      <c r="E946" s="389"/>
      <c r="F946" s="389"/>
      <c r="G946" s="389"/>
      <c r="H946" s="389"/>
      <c r="I946" s="389"/>
      <c r="J946" s="389"/>
      <c r="K946" s="389"/>
      <c r="L946" s="389"/>
      <c r="M946" s="389"/>
      <c r="N946" s="389"/>
      <c r="O946" s="389"/>
      <c r="P946" s="389"/>
      <c r="Q946" s="389"/>
      <c r="R946" s="389"/>
      <c r="S946" s="389"/>
      <c r="T946" s="389"/>
      <c r="U946" s="389"/>
      <c r="V946" s="389"/>
      <c r="W946" s="389"/>
      <c r="X946" s="389"/>
      <c r="Y946" s="389"/>
      <c r="Z946" s="389"/>
      <c r="AA946" s="389"/>
    </row>
    <row r="947">
      <c r="A947" s="389"/>
      <c r="B947" s="389"/>
      <c r="C947" s="389"/>
      <c r="D947" s="389"/>
      <c r="E947" s="389"/>
      <c r="F947" s="389"/>
      <c r="G947" s="389"/>
      <c r="H947" s="389"/>
      <c r="I947" s="389"/>
      <c r="J947" s="389"/>
      <c r="K947" s="389"/>
      <c r="L947" s="389"/>
      <c r="M947" s="389"/>
      <c r="N947" s="389"/>
      <c r="O947" s="389"/>
      <c r="P947" s="389"/>
      <c r="Q947" s="389"/>
      <c r="R947" s="389"/>
      <c r="S947" s="389"/>
      <c r="T947" s="389"/>
      <c r="U947" s="389"/>
      <c r="V947" s="389"/>
      <c r="W947" s="389"/>
      <c r="X947" s="389"/>
      <c r="Y947" s="389"/>
      <c r="Z947" s="389"/>
      <c r="AA947" s="389"/>
    </row>
    <row r="948">
      <c r="A948" s="389"/>
      <c r="B948" s="389"/>
      <c r="C948" s="389"/>
      <c r="D948" s="389"/>
      <c r="E948" s="389"/>
      <c r="F948" s="389"/>
      <c r="G948" s="389"/>
      <c r="H948" s="389"/>
      <c r="I948" s="389"/>
      <c r="J948" s="389"/>
      <c r="K948" s="389"/>
      <c r="L948" s="389"/>
      <c r="M948" s="389"/>
      <c r="N948" s="389"/>
      <c r="O948" s="389"/>
      <c r="P948" s="389"/>
      <c r="Q948" s="389"/>
      <c r="R948" s="389"/>
      <c r="S948" s="389"/>
      <c r="T948" s="389"/>
      <c r="U948" s="389"/>
      <c r="V948" s="389"/>
      <c r="W948" s="389"/>
      <c r="X948" s="389"/>
      <c r="Y948" s="389"/>
      <c r="Z948" s="389"/>
      <c r="AA948" s="389"/>
    </row>
    <row r="949">
      <c r="A949" s="389"/>
      <c r="B949" s="389"/>
      <c r="C949" s="389"/>
      <c r="D949" s="389"/>
      <c r="E949" s="389"/>
      <c r="F949" s="389"/>
      <c r="G949" s="389"/>
      <c r="H949" s="389"/>
      <c r="I949" s="389"/>
      <c r="J949" s="389"/>
      <c r="K949" s="389"/>
      <c r="L949" s="389"/>
      <c r="M949" s="389"/>
      <c r="N949" s="389"/>
      <c r="O949" s="389"/>
      <c r="P949" s="389"/>
      <c r="Q949" s="389"/>
      <c r="R949" s="389"/>
      <c r="S949" s="389"/>
      <c r="T949" s="389"/>
      <c r="U949" s="389"/>
      <c r="V949" s="389"/>
      <c r="W949" s="389"/>
      <c r="X949" s="389"/>
      <c r="Y949" s="389"/>
      <c r="Z949" s="389"/>
      <c r="AA949" s="389"/>
    </row>
    <row r="950">
      <c r="A950" s="389"/>
      <c r="B950" s="389"/>
      <c r="C950" s="389"/>
      <c r="D950" s="389"/>
      <c r="E950" s="389"/>
      <c r="F950" s="389"/>
      <c r="G950" s="389"/>
      <c r="H950" s="389"/>
      <c r="I950" s="389"/>
      <c r="J950" s="389"/>
      <c r="K950" s="389"/>
      <c r="L950" s="389"/>
      <c r="M950" s="389"/>
      <c r="N950" s="389"/>
      <c r="O950" s="389"/>
      <c r="P950" s="389"/>
      <c r="Q950" s="389"/>
      <c r="R950" s="389"/>
      <c r="S950" s="389"/>
      <c r="T950" s="389"/>
      <c r="U950" s="389"/>
      <c r="V950" s="389"/>
      <c r="W950" s="389"/>
      <c r="X950" s="389"/>
      <c r="Y950" s="389"/>
      <c r="Z950" s="389"/>
      <c r="AA950" s="389"/>
    </row>
    <row r="951">
      <c r="A951" s="389"/>
      <c r="B951" s="389"/>
      <c r="C951" s="389"/>
      <c r="D951" s="389"/>
      <c r="E951" s="389"/>
      <c r="F951" s="389"/>
      <c r="G951" s="389"/>
      <c r="H951" s="389"/>
      <c r="I951" s="389"/>
      <c r="J951" s="389"/>
      <c r="K951" s="389"/>
      <c r="L951" s="389"/>
      <c r="M951" s="389"/>
      <c r="N951" s="389"/>
      <c r="O951" s="389"/>
      <c r="P951" s="389"/>
      <c r="Q951" s="389"/>
      <c r="R951" s="389"/>
      <c r="S951" s="389"/>
      <c r="T951" s="389"/>
      <c r="U951" s="389"/>
      <c r="V951" s="389"/>
      <c r="W951" s="389"/>
      <c r="X951" s="389"/>
      <c r="Y951" s="389"/>
      <c r="Z951" s="389"/>
      <c r="AA951" s="389"/>
    </row>
    <row r="952">
      <c r="A952" s="389"/>
      <c r="B952" s="389"/>
      <c r="C952" s="389"/>
      <c r="D952" s="389"/>
      <c r="E952" s="389"/>
      <c r="F952" s="389"/>
      <c r="G952" s="389"/>
      <c r="H952" s="389"/>
      <c r="I952" s="389"/>
      <c r="J952" s="389"/>
      <c r="K952" s="389"/>
      <c r="L952" s="389"/>
      <c r="M952" s="389"/>
      <c r="N952" s="389"/>
      <c r="O952" s="389"/>
      <c r="P952" s="389"/>
      <c r="Q952" s="389"/>
      <c r="R952" s="389"/>
      <c r="S952" s="389"/>
      <c r="T952" s="389"/>
      <c r="U952" s="389"/>
      <c r="V952" s="389"/>
      <c r="W952" s="389"/>
      <c r="X952" s="389"/>
      <c r="Y952" s="389"/>
      <c r="Z952" s="389"/>
      <c r="AA952" s="389"/>
    </row>
    <row r="953">
      <c r="A953" s="389"/>
      <c r="B953" s="389"/>
      <c r="C953" s="389"/>
      <c r="D953" s="389"/>
      <c r="E953" s="389"/>
      <c r="F953" s="389"/>
      <c r="G953" s="389"/>
      <c r="H953" s="389"/>
      <c r="I953" s="389"/>
      <c r="J953" s="389"/>
      <c r="K953" s="389"/>
      <c r="L953" s="389"/>
      <c r="M953" s="389"/>
      <c r="N953" s="389"/>
      <c r="O953" s="389"/>
      <c r="P953" s="389"/>
      <c r="Q953" s="389"/>
      <c r="R953" s="389"/>
      <c r="S953" s="389"/>
      <c r="T953" s="389"/>
      <c r="U953" s="389"/>
      <c r="V953" s="389"/>
      <c r="W953" s="389"/>
      <c r="X953" s="389"/>
      <c r="Y953" s="389"/>
      <c r="Z953" s="389"/>
      <c r="AA953" s="389"/>
    </row>
    <row r="954">
      <c r="A954" s="389"/>
      <c r="B954" s="389"/>
      <c r="C954" s="389"/>
      <c r="D954" s="389"/>
      <c r="E954" s="389"/>
      <c r="F954" s="389"/>
      <c r="G954" s="389"/>
      <c r="H954" s="389"/>
      <c r="I954" s="389"/>
      <c r="J954" s="389"/>
      <c r="K954" s="389"/>
      <c r="L954" s="389"/>
      <c r="M954" s="389"/>
      <c r="N954" s="389"/>
      <c r="O954" s="389"/>
      <c r="P954" s="389"/>
      <c r="Q954" s="389"/>
      <c r="R954" s="389"/>
      <c r="S954" s="389"/>
      <c r="T954" s="389"/>
      <c r="U954" s="389"/>
      <c r="V954" s="389"/>
      <c r="W954" s="389"/>
      <c r="X954" s="389"/>
      <c r="Y954" s="389"/>
      <c r="Z954" s="389"/>
      <c r="AA954" s="389"/>
    </row>
    <row r="955">
      <c r="A955" s="389"/>
      <c r="B955" s="389"/>
      <c r="C955" s="389"/>
      <c r="D955" s="389"/>
      <c r="E955" s="389"/>
      <c r="F955" s="389"/>
      <c r="G955" s="389"/>
      <c r="H955" s="389"/>
      <c r="I955" s="389"/>
      <c r="J955" s="389"/>
      <c r="K955" s="389"/>
      <c r="L955" s="389"/>
      <c r="M955" s="389"/>
      <c r="N955" s="389"/>
      <c r="O955" s="389"/>
      <c r="P955" s="389"/>
      <c r="Q955" s="389"/>
      <c r="R955" s="389"/>
      <c r="S955" s="389"/>
      <c r="T955" s="389"/>
      <c r="U955" s="389"/>
      <c r="V955" s="389"/>
      <c r="W955" s="389"/>
      <c r="X955" s="389"/>
      <c r="Y955" s="389"/>
      <c r="Z955" s="389"/>
      <c r="AA955" s="389"/>
    </row>
    <row r="956">
      <c r="A956" s="389"/>
      <c r="B956" s="389"/>
      <c r="C956" s="389"/>
      <c r="D956" s="389"/>
      <c r="E956" s="389"/>
      <c r="F956" s="389"/>
      <c r="G956" s="389"/>
      <c r="H956" s="389"/>
      <c r="I956" s="389"/>
      <c r="J956" s="389"/>
      <c r="K956" s="389"/>
      <c r="L956" s="389"/>
      <c r="M956" s="389"/>
      <c r="N956" s="389"/>
      <c r="O956" s="389"/>
      <c r="P956" s="389"/>
      <c r="Q956" s="389"/>
      <c r="R956" s="389"/>
      <c r="S956" s="389"/>
      <c r="T956" s="389"/>
      <c r="U956" s="389"/>
      <c r="V956" s="389"/>
      <c r="W956" s="389"/>
      <c r="X956" s="389"/>
      <c r="Y956" s="389"/>
      <c r="Z956" s="389"/>
      <c r="AA956" s="389"/>
    </row>
    <row r="957">
      <c r="A957" s="389"/>
      <c r="B957" s="389"/>
      <c r="C957" s="389"/>
      <c r="D957" s="389"/>
      <c r="E957" s="389"/>
      <c r="F957" s="389"/>
      <c r="G957" s="389"/>
      <c r="H957" s="389"/>
      <c r="I957" s="389"/>
      <c r="J957" s="389"/>
      <c r="K957" s="389"/>
      <c r="L957" s="389"/>
      <c r="M957" s="389"/>
      <c r="N957" s="389"/>
      <c r="O957" s="389"/>
      <c r="P957" s="389"/>
      <c r="Q957" s="389"/>
      <c r="R957" s="389"/>
      <c r="S957" s="389"/>
      <c r="T957" s="389"/>
      <c r="U957" s="389"/>
      <c r="V957" s="389"/>
      <c r="W957" s="389"/>
      <c r="X957" s="389"/>
      <c r="Y957" s="389"/>
      <c r="Z957" s="389"/>
      <c r="AA957" s="389"/>
    </row>
    <row r="958">
      <c r="A958" s="389"/>
      <c r="B958" s="389"/>
      <c r="C958" s="389"/>
      <c r="D958" s="389"/>
      <c r="E958" s="389"/>
      <c r="F958" s="389"/>
      <c r="G958" s="389"/>
      <c r="H958" s="389"/>
      <c r="I958" s="389"/>
      <c r="J958" s="389"/>
      <c r="K958" s="389"/>
      <c r="L958" s="389"/>
      <c r="M958" s="389"/>
      <c r="N958" s="389"/>
      <c r="O958" s="389"/>
      <c r="P958" s="389"/>
      <c r="Q958" s="389"/>
      <c r="R958" s="389"/>
      <c r="S958" s="389"/>
      <c r="T958" s="389"/>
      <c r="U958" s="389"/>
      <c r="V958" s="389"/>
      <c r="W958" s="389"/>
      <c r="X958" s="389"/>
      <c r="Y958" s="389"/>
      <c r="Z958" s="389"/>
      <c r="AA958" s="389"/>
    </row>
  </sheetData>
  <dataValidations>
    <dataValidation type="list" allowBlank="1" showErrorMessage="1" sqref="C1:C32">
      <formula1>"Active,Inactive,Drop"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4.63"/>
    <col customWidth="1" min="3" max="8" width="7.63"/>
    <col customWidth="1" min="9" max="9" width="8.88"/>
    <col customWidth="1" min="10" max="10" width="9.63"/>
    <col customWidth="1" min="11" max="12" width="7.63"/>
    <col customWidth="1" min="13" max="13" width="10.13"/>
    <col customWidth="1" min="14" max="14" width="8.75"/>
    <col customWidth="1" min="15" max="15" width="8.63"/>
    <col customWidth="1" min="16" max="16" width="6.5"/>
    <col customWidth="1" min="17" max="17" width="7.88"/>
    <col customWidth="1" min="18" max="19" width="7.63"/>
  </cols>
  <sheetData>
    <row r="1">
      <c r="A1" s="195"/>
      <c r="B1" s="195"/>
      <c r="C1" s="186" t="s">
        <v>1511</v>
      </c>
      <c r="D1" s="186" t="s">
        <v>1512</v>
      </c>
      <c r="E1" s="186" t="s">
        <v>1513</v>
      </c>
      <c r="F1" s="186" t="s">
        <v>1514</v>
      </c>
      <c r="G1" s="186" t="s">
        <v>1515</v>
      </c>
      <c r="H1" s="186" t="s">
        <v>1516</v>
      </c>
      <c r="I1" s="186" t="s">
        <v>1517</v>
      </c>
      <c r="J1" s="186" t="s">
        <v>1518</v>
      </c>
      <c r="K1" s="186" t="s">
        <v>1519</v>
      </c>
      <c r="L1" s="186" t="s">
        <v>1520</v>
      </c>
      <c r="M1" s="186" t="s">
        <v>1521</v>
      </c>
      <c r="N1" s="186" t="s">
        <v>1522</v>
      </c>
      <c r="O1" s="186" t="s">
        <v>1523</v>
      </c>
      <c r="P1" s="186" t="s">
        <v>1524</v>
      </c>
      <c r="Q1" s="186" t="s">
        <v>1525</v>
      </c>
      <c r="R1" s="186" t="s">
        <v>1526</v>
      </c>
      <c r="S1" s="186" t="s">
        <v>1527</v>
      </c>
    </row>
    <row r="2">
      <c r="A2" s="186">
        <v>1.0</v>
      </c>
      <c r="B2" s="194" t="s">
        <v>40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>
      <c r="A3" s="186">
        <v>2.0</v>
      </c>
      <c r="B3" s="194" t="s">
        <v>41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</row>
    <row r="4">
      <c r="A4" s="186">
        <v>3.0</v>
      </c>
      <c r="B4" s="183" t="s">
        <v>43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>
      <c r="A5" s="186">
        <v>4.0</v>
      </c>
      <c r="B5" s="183" t="s">
        <v>190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</row>
    <row r="6">
      <c r="A6" s="186">
        <v>5.0</v>
      </c>
      <c r="B6" s="194" t="s">
        <v>106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</row>
    <row r="7">
      <c r="A7" s="186">
        <v>6.0</v>
      </c>
      <c r="B7" s="194" t="s">
        <v>46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</row>
    <row r="8">
      <c r="A8" s="186">
        <v>7.0</v>
      </c>
      <c r="B8" s="194" t="s">
        <v>126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</row>
    <row r="9">
      <c r="A9" s="186">
        <v>8.0</v>
      </c>
      <c r="B9" s="194" t="s">
        <v>48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</row>
    <row r="10">
      <c r="A10" s="186">
        <v>9.0</v>
      </c>
      <c r="B10" s="194" t="s">
        <v>50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</row>
    <row r="11">
      <c r="A11" s="186">
        <v>10.0</v>
      </c>
      <c r="B11" s="194" t="s">
        <v>222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</row>
    <row r="12">
      <c r="A12" s="186">
        <v>11.0</v>
      </c>
      <c r="B12" s="194" t="s">
        <v>346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</row>
    <row r="13">
      <c r="A13" s="186">
        <v>12.0</v>
      </c>
      <c r="B13" s="194" t="s">
        <v>361</v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</row>
    <row r="14">
      <c r="A14" s="186">
        <v>13.0</v>
      </c>
      <c r="B14" s="194" t="s">
        <v>52</v>
      </c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</row>
    <row r="15">
      <c r="A15" s="186">
        <v>14.0</v>
      </c>
      <c r="B15" s="194" t="s">
        <v>53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</row>
    <row r="16">
      <c r="A16" s="186">
        <v>15.0</v>
      </c>
      <c r="B16" s="194" t="s">
        <v>406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</row>
    <row r="17">
      <c r="A17" s="186">
        <v>16.0</v>
      </c>
      <c r="B17" s="194" t="s">
        <v>424</v>
      </c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</row>
    <row r="18">
      <c r="A18" s="186">
        <v>17.0</v>
      </c>
      <c r="B18" s="183" t="s">
        <v>54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</row>
    <row r="19">
      <c r="A19" s="186">
        <v>18.0</v>
      </c>
      <c r="B19" s="184" t="s">
        <v>55</v>
      </c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</row>
    <row r="20">
      <c r="A20" s="186">
        <v>19.0</v>
      </c>
      <c r="B20" s="184" t="s">
        <v>570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</row>
    <row r="21">
      <c r="A21" s="186">
        <v>20.0</v>
      </c>
      <c r="B21" s="197" t="s">
        <v>554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</row>
    <row r="22">
      <c r="A22" s="186">
        <v>21.0</v>
      </c>
      <c r="B22" s="184" t="s">
        <v>57</v>
      </c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</row>
    <row r="23">
      <c r="A23" s="186">
        <v>22.0</v>
      </c>
      <c r="B23" s="184" t="s">
        <v>573</v>
      </c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</row>
    <row r="24">
      <c r="A24" s="186">
        <v>23.0</v>
      </c>
      <c r="B24" s="186" t="s">
        <v>575</v>
      </c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</row>
    <row r="25">
      <c r="A25" s="186">
        <v>24.0</v>
      </c>
      <c r="B25" s="155" t="s">
        <v>583</v>
      </c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</row>
    <row r="26">
      <c r="A26" s="186">
        <v>25.0</v>
      </c>
      <c r="B26" s="497" t="s">
        <v>586</v>
      </c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</row>
    <row r="27">
      <c r="A27" s="186">
        <v>26.0</v>
      </c>
      <c r="B27" s="184" t="s">
        <v>593</v>
      </c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</row>
    <row r="28">
      <c r="A28" s="186">
        <v>27.0</v>
      </c>
      <c r="B28" s="176" t="s">
        <v>597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</row>
    <row r="29">
      <c r="A29" s="186">
        <v>28.0</v>
      </c>
      <c r="B29" s="184" t="s">
        <v>58</v>
      </c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</row>
    <row r="30">
      <c r="A30" s="186">
        <v>29.0</v>
      </c>
      <c r="B30" s="186" t="s">
        <v>601</v>
      </c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</row>
    <row r="31">
      <c r="A31" s="186">
        <v>30.0</v>
      </c>
      <c r="B31" s="186" t="s">
        <v>59</v>
      </c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